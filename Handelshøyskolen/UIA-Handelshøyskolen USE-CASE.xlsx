
<file path=[Content_Types].xml><?xml version="1.0" encoding="utf-8"?>
<Types xmlns="http://schemas.openxmlformats.org/package/2006/content-types">
  <Default Extension="data" ContentType="application/vnd.openxmlformats-officedocument.model+data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k\Desktop\UIA2\Handelshøyskolen\"/>
    </mc:Choice>
  </mc:AlternateContent>
  <xr:revisionPtr revIDLastSave="0" documentId="13_ncr:1_{3DB16E5B-262E-4F03-9B4B-C4671E773A64}" xr6:coauthVersionLast="47" xr6:coauthVersionMax="47" xr10:uidLastSave="{00000000-0000-0000-0000-000000000000}"/>
  <bookViews>
    <workbookView xWindow="-120" yWindow="-16320" windowWidth="29040" windowHeight="15720" xr2:uid="{42CB6622-B1BC-4A21-A0FB-DBE4D087FF10}"/>
  </bookViews>
  <sheets>
    <sheet name="Sheet8" sheetId="8" r:id="rId1"/>
    <sheet name="Sheet1" sheetId="1" r:id="rId2"/>
    <sheet name="Sheet2" sheetId="2" r:id="rId3"/>
    <sheet name="Sheet3" sheetId="3" r:id="rId4"/>
    <sheet name="Sheet4" sheetId="4" r:id="rId5"/>
    <sheet name="Sheet5" sheetId="5" r:id="rId6"/>
    <sheet name="Sheet6" sheetId="6" r:id="rId7"/>
    <sheet name="Sheet7" sheetId="7" r:id="rId8"/>
    <sheet name="Sheet9" sheetId="9" r:id="rId9"/>
    <sheet name="DimDAXDoc" sheetId="12" r:id="rId10"/>
    <sheet name="DimOrganization" sheetId="13" r:id="rId11"/>
    <sheet name="DimDate" sheetId="11" r:id="rId12"/>
    <sheet name="FactGL" sheetId="10" r:id="rId13"/>
  </sheets>
  <definedNames>
    <definedName name="ExternalData_1" localSheetId="12" hidden="1">FactGL!$A$1:$G$650</definedName>
    <definedName name="ExternalData_2" localSheetId="11" hidden="1">DimDate!$A$1:$I$13</definedName>
    <definedName name="ExternalData_3" localSheetId="9" hidden="1">DimDAXDoc!$A$1:$B$288</definedName>
    <definedName name="ExternalData_4" localSheetId="10" hidden="1">DimOrganization!$A$1:$F$10</definedName>
  </definedNames>
  <calcPr calcId="191029"/>
  <pivotCaches>
    <pivotCache cacheId="84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GL_4205a3aa-d438-4b16-b0ca-3ce6e77c649c" name="FactGL" connection="Query - FactGL"/>
          <x15:modelTable id="DimDate_33007e72-461c-4d34-b401-974c3b602647" name="DimDate" connection="Query - DimDate"/>
          <x15:modelTable id="DimOrganization_0556b4be-2474-40e0-b8fe-69be92236f8b" name="DimOrganization" connection="Query - DimOrganization"/>
        </x15:modelTables>
        <x15:modelRelationships>
          <x15:modelRelationship fromTable="FactGL" fromColumn="DatoNokkel" toTable="DimDate" toColumn="DatoNokkel"/>
          <x15:modelRelationship fromTable="FactGL" fromColumn="OrgKode" toTable="DimOrganization" toColumn="OrgKod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7DEF92-5611-4866-995D-401EB593DB7E}" keepAlive="1" name="ModelConnection_ExternalData_1" description="Data Model" type="5" refreshedVersion="8" minRefreshableVersion="5" saveData="1">
    <dbPr connection="Data Model Connection" command="FactGL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DFBEBA12-3BBE-4364-B988-F0335781F7EE}" keepAlive="1" name="ModelConnection_ExternalData_2" description="Data Model" type="5" refreshedVersion="8" minRefreshableVersion="5" saveData="1">
    <dbPr connection="Data Model Connection" command="DimDate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E6878453-597D-4A64-B747-6D5D7200F702}" keepAlive="1" name="ModelConnection_ExternalData_4" description="Data Model" type="5" refreshedVersion="8" minRefreshableVersion="5" saveData="1">
    <dbPr connection="Data Model Connection" command="DimOrganization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A0484C4B-B195-4CDD-A8BA-9F353F7542F6}" name="Query - DimDate" description="Connection to the 'DimDate' query in the workbook." type="100" refreshedVersion="8" minRefreshableVersion="5">
    <extLst>
      <ext xmlns:x15="http://schemas.microsoft.com/office/spreadsheetml/2010/11/main" uri="{DE250136-89BD-433C-8126-D09CA5730AF9}">
        <x15:connection id="dee32c18-574d-4d00-96b5-007014fe6489"/>
      </ext>
    </extLst>
  </connection>
  <connection id="5" xr16:uid="{DCA9915C-4265-4071-A5E5-D222D72DB7F5}" keepAlive="1" name="Query - DimDAXDoc" description="Connection to the 'DimDAXDoc' query in the workbook." type="5" refreshedVersion="8" background="1" saveData="1">
    <dbPr connection="Provider=Microsoft.Mashup.OleDb.1;Data Source=$Workbook$;Location=DimDAXDoc;Extended Properties=&quot;&quot;" command="SELECT * FROM [DimDAXDoc]"/>
  </connection>
  <connection id="6" xr16:uid="{D724D141-91C4-4FCA-9215-A6BECF3E9ED7}" name="Query - DimOrganization" description="Connection to the 'DimOrganization' query in the workbook." type="100" refreshedVersion="8" minRefreshableVersion="5">
    <extLst>
      <ext xmlns:x15="http://schemas.microsoft.com/office/spreadsheetml/2010/11/main" uri="{DE250136-89BD-433C-8126-D09CA5730AF9}">
        <x15:connection id="02c5fdd2-299b-40b4-81da-00d67f77ce49"/>
      </ext>
    </extLst>
  </connection>
  <connection id="7" xr16:uid="{8372FFED-AB92-4F01-A0DA-761FB09B7973}" name="Query - FactGL" description="Connection to the 'FactGL' query in the workbook." type="100" refreshedVersion="8" minRefreshableVersion="5">
    <extLst>
      <ext xmlns:x15="http://schemas.microsoft.com/office/spreadsheetml/2010/11/main" uri="{DE250136-89BD-433C-8126-D09CA5730AF9}">
        <x15:connection id="e1ae35b6-baca-47e8-9aa5-8d1b081e52da"/>
      </ext>
    </extLst>
  </connection>
  <connection id="8" xr16:uid="{71622AA8-DA56-4F0F-B9E8-AB5D655191D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<sst xmlns="http://schemas.openxmlformats.org/spreadsheetml/2006/main" count="3685" uniqueCount="922">
  <si>
    <t>Use Case: Seniorrådgiver / Senior Controller ved Handelshøyskolen (HHU) – Universitetet i Agder</t>
  </si>
  <si>
    <t>1. Stillingsprofil &amp; Strategisk Kontekst</t>
  </si>
  <si>
    <t>+----------------------------------------------------------------------------------------------------+</t>
  </si>
  <si>
    <t>|  ORGANISATORISK PLASSERING OG RAPPORTERINGSLINJE                                                  |</t>
  </si>
  <si>
    <t>|  Universitetsdirektør / Sentral Økonomiavdeling  &lt;---&gt;  Dekan &amp; Fakultetsstyre ved HHU              |</t>
  </si>
  <si>
    <t>|                                                               │                                    |</t>
  </si>
  <si>
    <t>|                                                     Fakultetsdirektør                              |</t>
  </si>
  <si>
    <t>|                                         Seniorrådgiver / Senior Controller (Kode 1364)            |</t>
  </si>
  <si>
    <t>|                                 Økonomiteam, Instituttledere &amp; Prosjektledere (BOA)               |</t>
  </si>
  <si>
    <t>2. Kjerneproblem &amp; Strategiske Utfordringer (The Scenario)</t>
  </si>
  <si>
    <t>3. Operasjonell Arbeidsflyt for Seniorrådgiveren</t>
  </si>
  <si>
    <t xml:space="preserve">   [ FASE 1: DATAINTEGRASJON ]     Hent bilag fra Unit4 ERP (FactGL), UBW Planlegger, FS og SAP Lønn</t>
  </si>
  <si>
    <t xml:space="preserve">                │</t>
  </si>
  <si>
    <t xml:space="preserve">                ▼</t>
  </si>
  <si>
    <t xml:space="preserve">   [ FASE 2: DRIVERANALYSE ]       Evaluer Lønnsandel %, Frikjøpsgrad, SPE60-produksjon og TDI Overhead</t>
  </si>
  <si>
    <t xml:space="preserve">   [ FASE 3: PROGNOSE &amp; LE ]       Oppdater Latest Estimate (LE) per tertial (T1/T2/T3 Cutoff)</t>
  </si>
  <si>
    <t xml:space="preserve">   [ FASE 4: BESLUTNINGSSTØTTE ]   Legg frem 2–3 handlingsalternativer for Dekan og Fakultetsdirektør</t>
  </si>
  <si>
    <t xml:space="preserve">   [ FASE 5: POWER BI RAG ]        Publiser oppdaterte nøkkeltall og FactAction-tiltak i Power BI</t>
  </si>
  <si>
    <t>Fase 1: Månedlig regnskaps- og balansekontroll (Unit4 ERP &amp; SRS)</t>
  </si>
  <si>
    <t>Fase 2: Driverbasert bemannings- og frikjøpsanalyse</t>
  </si>
  <si>
    <t>Fase 3: Rullende prognoser (Latest Estimate – LE) &amp; Bærekraftsbro</t>
  </si>
  <si>
    <t>Ved tertialrapportering (T1/T2/T3) bygger seniorrådgiveren en avstemmingsbro fra bokført regnskap (Actuals YTD M01–M09) via forventet ressursbruk i Q4 (ETC) til endelig helårsprognose (LE / EAC).</t>
  </si>
  <si>
    <t>Analyser om fakultetets lønnsandel overstiger målet om maksimalt 65,0 % av inntektene (HHU ligger på 64,9 % av total inntekt / 65,4 % av kostnader).</t>
  </si>
  <si>
    <t>Fase 4: Beslutningsstøtte til Fakultetsledelsen</t>
  </si>
  <si>
    <t>Når det oppstår avvik, unngår seniorrådgiveren passiv tallrapportering og presenterer i stedet konkrete handlingsalternativer med konsekvensanalyse:</t>
  </si>
  <si>
    <t>4. Power BI Cockpit &amp; DAX-målekoder for HHU</t>
  </si>
  <si>
    <t>+---------------------------------------------------------------------------------------------------+</t>
  </si>
  <si>
    <t>|  POWER BI DASHBOARD — HANDELSHØYSKOLEN VED UIA (HHU)                                               |</t>
  </si>
  <si>
    <t>| [ CARD 1: Total Inntekt ]    [ CARD 2: Netto Resultat ]  [ CARD 3: Bemanningsvolum ] [ CARD 4: SPE60 ] |</t>
  </si>
  <si>
    <t>| 276,6 MNOK (Budsj: 0.0%)    +2,2 MNOK (Grønn 🟢)        230 ÅV (155 UF / 75 TA)     3 120 SPE60     |</t>
  </si>
  <si>
    <t>| (YoY +2.8% | MoM +0.4%)     (Overskudd til formål)      (Lønnsandel: 65.4%)         (22.3 Stud/UF)  |</t>
  </si>
  <si>
    <t>Spesifikke DAX-målekoder for HHU-analyser:</t>
  </si>
  <si>
    <t>// 1. HHU Samlet Inntekt (MNOK)</t>
  </si>
  <si>
    <t xml:space="preserve">HHU Total Revenue = </t>
  </si>
  <si>
    <t>CALCULATE(</t>
  </si>
  <si>
    <t xml:space="preserve">    [Forecast LE (EAC)],</t>
  </si>
  <si>
    <t xml:space="preserve">    'DimOrganization'[Fakultetsnavn] = "Handelshøyskolen ved UiA (HHU)",</t>
  </si>
  <si>
    <t xml:space="preserve">    'DimAccountHierarchy'[Nivaa1_Navn] = "Salgs- og driftsinntekt"</t>
  </si>
  <si>
    <t>)</t>
  </si>
  <si>
    <t>// 2. HHU Lønnsandel % av Totale Driftskostnader</t>
  </si>
  <si>
    <t xml:space="preserve">HHU Lønnsandel % = </t>
  </si>
  <si>
    <t>VAR Lonn = CALCULATE([Forecast LE (EAC)], 'DimOrganization'[Fakultetsnavn] = "Handelshøyskolen ved UiA (HHU)", 'DimAccountHierarchy'[Nivaa1_Navn] = "Lønnskostnad")</t>
  </si>
  <si>
    <t>VAR TotalKost = CALCULATE([Forecast LE (EAC)], 'DimOrganization'[Fakultetsnavn] = "Handelshøyskolen ved UiA (HHU)", 'DimAccountHierarchy'[Kontotype] = "Kostnad")</t>
  </si>
  <si>
    <t>RETURN DIVIDE(Lonn, TotalKost, 0)</t>
  </si>
  <si>
    <t>// 3. HHU Studenter pr Faglig Årsverk (Lærertetthet)</t>
  </si>
  <si>
    <t xml:space="preserve">HHU Studenter pr UF-Årsverk = </t>
  </si>
  <si>
    <t>VAR Studenter = CALCULATE(SUM('FactStudents'[RegistrerteStudenter]), 'DimOrganization'[Fakultetsnavn] = "Handelshøyskolen ved UiA (HHU)")</t>
  </si>
  <si>
    <t>VAR UF = CALCULATE(SUM('FactFTE'[Aarsverk]), 'DimOrganization'[Fakultetsnavn] = "Handelshøyskolen ved UiA (HHU)", 'FactFTE'[Stillingstype] = "UF")</t>
  </si>
  <si>
    <t>RETURN DIVIDE(Studenter, UF, 0)</t>
  </si>
  <si>
    <t>// 4. HHU Frikjøpsdekningsgrad (BOA / Total Lønn)</t>
  </si>
  <si>
    <t xml:space="preserve">HHU BOA Frikjøpsgrad = </t>
  </si>
  <si>
    <t>VAR BOALonn = CALCULATE(SUM('FactGL'[Belop_signert]), 'DimOrganization'[Fakultetsnavn] = "Handelshøyskolen ved UiA (HHU)", 'DimAccountHierarchy'[Nivaa1_Navn] = "Lønnskostnad", 'DimOrganization'[Virksomhetstype] = "BOA")</t>
  </si>
  <si>
    <t>VAR TotalLonn = CALCULATE(SUM('FactGL'[Belop_signert]), 'DimOrganization'[Fakultetsnavn] = "Handelshøyskolen ved UiA (HHU)", 'DimAccountHierarchy'[Nivaa1_Navn] = "Lønnskostnad")</t>
  </si>
  <si>
    <t>RETURN DIVIDE(BOALonn, TotalLonn, 0)</t>
  </si>
  <si>
    <t>// 5. HHU RAG Status (Resultat &amp; Berekraft)</t>
  </si>
  <si>
    <t xml:space="preserve">HHU RAG Status = </t>
  </si>
  <si>
    <t>VAR Resultat = CALCULATE([Sluttavvik (VAC)], 'DimOrganization'[Fakultetsnavn] = "Handelshøyskolen ved UiA (HHU)")</t>
  </si>
  <si>
    <t>RETURN</t>
  </si>
  <si>
    <t>IF(Resultat &gt;= 0, "🟢 Overskudd / I henhold til ramme",</t>
  </si>
  <si>
    <t xml:space="preserve">    IF(Resultat &gt;= -2.0, "🟡 Moderat merforbruk (&lt; 2 MNOK)", "🔴 Kritisk merforbruk (&gt; 2 MNOK)")</t>
  </si>
  <si>
    <t>5. Leveranser og Suksesskriterier for Seniorrådgiveren</t>
  </si>
  <si>
    <t>Område</t>
  </si>
  <si>
    <t>Mål og Kvalitetskrav</t>
  </si>
  <si>
    <t>Evaluering &amp; Dokumentasjon</t>
  </si>
  <si>
    <t>Kvalitetssikring av Budsjett</t>
  </si>
  <si>
    <t>Konsolidere HHUs årsbudsjett i UBW Planlegger med korrekte sosiale kostnader, realistisk vakansfaktor og avstemt studiepoengprognose.</t>
  </si>
  <si>
    <t>Sjekkliste for systemfrys i Q4 fullført uten avvik.</t>
  </si>
  <si>
    <t>BOA- og TDI-oppfølging</t>
  </si>
  <si>
    <t>Sikre 100 % korrekt periodisering etter SRS 10 for NFR/EU-bidrag og full overhead-dekning på oppdragskontrakter.</t>
  </si>
  <si>
    <t>Null uidentifiserte avsetningstap ved tertialavslutning.</t>
  </si>
  <si>
    <t>Beslutningsstøtte til Dekan</t>
  </si>
  <si>
    <t>Utarbeide tertialvise månedsrapporter med "So What?"-analyse, RAG-status og 2–3 konkrete handlingsalternativer ved avvik.</t>
  </si>
  <si>
    <t>Presentert for dekan og instituttledere i dialogmøter.</t>
  </si>
  <si>
    <t>Power BI Cockpit</t>
  </si>
  <si>
    <t>Opprettholde rollestyrt tilgang (RLS) på fakultets- og instituttnivå, og sikre oppdaterte Power BI-dashbord i tråd med 3-30-300-regelen og Tufte-</t>
  </si>
  <si>
    <r>
      <t>Handelshøyskolen ved UiA (HHU) er internasjonalt AACSB-akkreditert, organisert i tre institutter (</t>
    </r>
    <r>
      <rPr>
        <i/>
        <sz val="9"/>
        <color rgb="FF303030"/>
        <rFont val="Arial"/>
        <family val="2"/>
      </rPr>
      <t>Ledelse og innovasjon</t>
    </r>
    <r>
      <rPr>
        <sz val="9"/>
        <color rgb="FF303030"/>
        <rFont val="Arial"/>
        <family val="2"/>
      </rPr>
      <t xml:space="preserve">, </t>
    </r>
    <r>
      <rPr>
        <i/>
        <sz val="9"/>
        <color rgb="FF303030"/>
        <rFont val="Arial"/>
        <family val="2"/>
      </rPr>
      <t>Rettsvitenskap</t>
    </r>
    <r>
      <rPr>
        <sz val="9"/>
        <color rgb="FF303030"/>
        <rFont val="Arial"/>
        <family val="2"/>
      </rPr>
      <t xml:space="preserve">, </t>
    </r>
    <r>
      <rPr>
        <i/>
        <sz val="9"/>
        <color rgb="FF303030"/>
        <rFont val="Arial"/>
        <family val="2"/>
      </rPr>
      <t>Økonomi</t>
    </r>
    <r>
      <rPr>
        <sz val="9"/>
        <color rgb="FF303030"/>
        <rFont val="Arial"/>
        <family val="2"/>
      </rPr>
      <t xml:space="preserve">) samt fakultetsadministrasjonen, med Hovedarbeidssted på Campus Kristiansand. Fakultetet håndterer om lag 3 450 registrerte studenter (3 120 SPE60-ekvivalenter), 230 årsverk (155 faglige UF-årsverk og 75 teknisk-administrative TA-årsverk) og en samlet helårsramme i 2026 på </t>
    </r>
    <r>
      <rPr>
        <b/>
        <sz val="9"/>
        <color rgb="FF303030"/>
        <rFont val="Arial"/>
        <family val="2"/>
      </rPr>
      <t>276,6 MNOK</t>
    </r>
    <r>
      <rPr>
        <sz val="9"/>
        <color rgb="FF303030"/>
        <rFont val="Arial"/>
        <family val="2"/>
      </rPr>
      <t xml:space="preserve"> i inntekter mot </t>
    </r>
    <r>
      <rPr>
        <b/>
        <sz val="9"/>
        <color rgb="FF303030"/>
        <rFont val="Arial"/>
        <family val="2"/>
      </rPr>
      <t>274,4 MNOK</t>
    </r>
    <r>
      <rPr>
        <sz val="9"/>
        <color rgb="FF303030"/>
        <rFont val="Arial"/>
        <family val="2"/>
      </rPr>
      <t xml:space="preserve"> i kostnader (netto avvik/overskudd: </t>
    </r>
    <r>
      <rPr>
        <b/>
        <sz val="9"/>
        <color rgb="FF303030"/>
        <rFont val="Arial"/>
        <family val="2"/>
      </rPr>
      <t>+2,2 MNOK</t>
    </r>
    <r>
      <rPr>
        <sz val="9"/>
        <color rgb="FF303030"/>
        <rFont val="Arial"/>
        <family val="2"/>
      </rPr>
      <t>).</t>
    </r>
  </si>
  <si>
    <r>
      <t xml:space="preserve">Stillingen som </t>
    </r>
    <r>
      <rPr>
        <b/>
        <sz val="9"/>
        <color rgb="FF303030"/>
        <rFont val="Arial"/>
        <family val="2"/>
      </rPr>
      <t>Seniorrådgiver / Senior Controller (stillingskode 1364)</t>
    </r>
    <r>
      <rPr>
        <sz val="9"/>
        <color rgb="FF303030"/>
        <rFont val="Arial"/>
        <family val="2"/>
      </rPr>
      <t xml:space="preserve"> inngår i fakultetets økonomiteam i fakultetsadministrasjonen, rapporterer direkte til fakultetsdirektøren, og leverer strategisk beslutningsstøtte til dekan, instituttledere og sentral økonomiavdeling.</t>
    </r>
  </si>
  <si>
    <r>
      <t xml:space="preserve">Selv om HHU leverer et positivt regnskapsresultat på </t>
    </r>
    <r>
      <rPr>
        <b/>
        <sz val="9"/>
        <color rgb="FF303030"/>
        <rFont val="Arial"/>
        <family val="2"/>
      </rPr>
      <t>+2,2 MNOK</t>
    </r>
    <r>
      <rPr>
        <sz val="9"/>
        <color rgb="FF303030"/>
        <rFont val="Arial"/>
        <family val="2"/>
      </rPr>
      <t xml:space="preserve"> i 2026, avdekker driveranalysen fire underliggende strukturelle utfordringer som krever aktiv oppfølging fra seniorrådgiveren:</t>
    </r>
  </si>
  <si>
    <r>
      <t>Høy studenttetthet og KDs 2025-finansieringsmodell (Kategori 1):</t>
    </r>
    <r>
      <rPr>
        <sz val="9"/>
        <color rgb="FF303030"/>
        <rFont val="Arial"/>
        <family val="2"/>
      </rPr>
      <t xml:space="preserve"> HHUs studier (økonomi, ledelse, juss) plasseres i KDs </t>
    </r>
    <r>
      <rPr>
        <b/>
        <sz val="9"/>
        <color rgb="FF303030"/>
        <rFont val="Arial"/>
        <family val="2"/>
      </rPr>
      <t>Kategori 1</t>
    </r>
    <r>
      <rPr>
        <sz val="9"/>
        <color rgb="FF303030"/>
        <rFont val="Arial"/>
        <family val="2"/>
      </rPr>
      <t xml:space="preserve"> (54 550 NOK per 60 SPE). Fakultetet har en lærertetthet på </t>
    </r>
    <r>
      <rPr>
        <b/>
        <sz val="9"/>
        <color rgb="FF303030"/>
        <rFont val="Arial"/>
        <family val="2"/>
      </rPr>
      <t>22,3 studenter per UF-årsverk</t>
    </r>
    <r>
      <rPr>
        <sz val="9"/>
        <color rgb="FF303030"/>
        <rFont val="Arial"/>
        <family val="2"/>
      </rPr>
      <t>. Under nettobudsjetteringsprinsippet vil volumendringer kun utløse Kategori 1-satser, som i praksis ikke dekker de reelle undervisnings- og oppfølgingskostnadene ved nye studieplasser.</t>
    </r>
  </si>
  <si>
    <r>
      <t>Krav om AACSB-akkreditering vs. avviklet publiseringsinsentiv:</t>
    </r>
    <r>
      <rPr>
        <sz val="9"/>
        <color rgb="FF303030"/>
        <rFont val="Arial"/>
        <family val="2"/>
      </rPr>
      <t xml:space="preserve"> KDs nye finansieringsmodell fra 2025 har innlemmet tidligere resultatuttelling for publisering og BOA i basisbevilgningen. HHU må opprettholde høy forskningsinnsats (publiseringspoeng per vitenskapelig ansatt) for å beholde sin internasjonale AACSB-akkreditering, uten at økt publisering gir automatisk inntektsvekst fra staten.</t>
    </r>
  </si>
  <si>
    <r>
      <t>Prosjektøkonomi og frikjøp (BOA &amp; TDI-modellen):</t>
    </r>
    <r>
      <rPr>
        <sz val="9"/>
        <color rgb="FF303030"/>
        <rFont val="Arial"/>
        <family val="2"/>
      </rPr>
      <t xml:space="preserve"> For å frigjøre faglig kapasitet og finansiere rekrutteringsstillinger (PhD/Postdok) må seniorrådgiveren stimulere til økt frikjøp (</t>
    </r>
    <r>
      <rPr>
        <i/>
        <sz val="9"/>
        <color rgb="FF303030"/>
        <rFont val="Arial"/>
        <family val="2"/>
      </rPr>
      <t>buy-out</t>
    </r>
    <r>
      <rPr>
        <sz val="9"/>
        <color rgb="FF303030"/>
        <rFont val="Arial"/>
        <family val="2"/>
      </rPr>
      <t xml:space="preserve">) i NFR- og EU-prosjekter. Dette krever presis bruk av </t>
    </r>
    <r>
      <rPr>
        <b/>
        <sz val="9"/>
        <color rgb="FF303030"/>
        <rFont val="Arial"/>
        <family val="2"/>
      </rPr>
      <t>TDI-modellen</t>
    </r>
    <r>
      <rPr>
        <sz val="9"/>
        <color rgb="FF303030"/>
        <rFont val="Arial"/>
        <family val="2"/>
      </rPr>
      <t xml:space="preserve"> for å sikre full dekning av direkte kostnader og indirekte felleskostnader (overhead på ca. 22 %) etter SRS 10 (motsatt sammenstilling).</t>
    </r>
  </si>
  <si>
    <r>
      <t>Risikostyring på etter- og videreutdanning (EVU / Oppdrag etter SRS 9):</t>
    </r>
    <r>
      <rPr>
        <sz val="9"/>
        <color rgb="FF303030"/>
        <rFont val="Arial"/>
        <family val="2"/>
      </rPr>
      <t xml:space="preserve"> Ved oppdragsutdanninger (f.eks. </t>
    </r>
    <r>
      <rPr>
        <i/>
        <sz val="9"/>
        <color rgb="FF303030"/>
        <rFont val="Arial"/>
        <family val="2"/>
      </rPr>
      <t>EVU001</t>
    </r>
    <r>
      <rPr>
        <sz val="9"/>
        <color rgb="FF303030"/>
        <rFont val="Arial"/>
        <family val="2"/>
      </rPr>
      <t>) hvor oppdragsgiver krever spesifikke leveranser, må inntektsføringen skje etter fullføringsgrad (SRS 9). Merforbruk på oppdrag utløser krav om umiddelbar avsetning for forventet tap (konto 7790/2800).</t>
    </r>
  </si>
  <si>
    <r>
      <t>SRS 10 (Bidragsforskning - NFR/EU):</t>
    </r>
    <r>
      <rPr>
        <sz val="9"/>
        <color rgb="FF303030"/>
        <rFont val="Arial"/>
        <family val="2"/>
      </rPr>
      <t xml:space="preserve"> Avstem at bevilgningsinntekter på konto 3400/3420 inntektsføres eksakt i takt med påløpte prosjektkostnader, og at mottatt forskuddsbetaling balanseføres korrekt på konto 2180.</t>
    </r>
  </si>
  <si>
    <r>
      <t>SRS 9 (Oppdrag &amp; EVU):</t>
    </r>
    <r>
      <rPr>
        <sz val="9"/>
        <color rgb="FF303030"/>
        <rFont val="Arial"/>
        <family val="2"/>
      </rPr>
      <t xml:space="preserve"> Kontroller at oppdragsforskning på konto 3630 og EVU på konto 3600 inntektsføres etter faktiske milepæler, og at eventuelle tapsbringende prosjekter avsettes umiddelbart.</t>
    </r>
  </si>
  <si>
    <r>
      <t>Internkontroll &amp; BtB (Behov til betaling):</t>
    </r>
    <r>
      <rPr>
        <sz val="9"/>
        <color rgb="FF303030"/>
        <rFont val="Arial"/>
        <family val="2"/>
      </rPr>
      <t xml:space="preserve"> Verifiser attestasjon og anvisning på konsulentkjøp (konto 6700–6730) og reiseregninger (konto 7130) i tråd med FOA og UiAs fullmaktsmatrise.</t>
    </r>
  </si>
  <si>
    <r>
      <t>Vakansestyring:</t>
    </r>
    <r>
      <rPr>
        <sz val="9"/>
        <color rgb="FF303030"/>
        <rFont val="Arial"/>
        <family val="2"/>
      </rPr>
      <t xml:space="preserve"> Gjennomgå alle ledige stillinger på instituttene. Vurder om 3–6 måneders rekrutteringstid og en vakansfaktor på 3–5 % er lagt inn i UBW Planlegger for å forhindre overbudsjettering av fast lønn (konto 5000).</t>
    </r>
  </si>
  <si>
    <r>
      <t>Frikjøpsbalanse (Buy-out):</t>
    </r>
    <r>
      <rPr>
        <sz val="9"/>
        <color rgb="FF303030"/>
        <rFont val="Arial"/>
        <family val="2"/>
      </rPr>
      <t xml:space="preserve"> Beregn om vitenskapelig ansatte som er lagt inn med f.eks. 20 % frikjøp i NFR-prosjekter faktisk avlastes i undervisningsplanen, slik at lønnskostnaden reelt overføres fra basis til ekstern finansiering.</t>
    </r>
  </si>
  <si>
    <r>
      <t>Svak controller-rapportering:</t>
    </r>
    <r>
      <rPr>
        <sz val="9"/>
        <color rgb="FF303030"/>
        <rFont val="Arial"/>
        <family val="2"/>
      </rPr>
      <t xml:space="preserve"> </t>
    </r>
    <r>
      <rPr>
        <i/>
        <sz val="9"/>
        <color rgb="FF303030"/>
        <rFont val="Arial"/>
        <family val="2"/>
      </rPr>
      <t>"HHU har et merforbruk på driftsmidler på 400 000 kr på Institutt for økonomi per T2."</t>
    </r>
  </si>
  <si>
    <r>
      <t>Sterk controller-rapportering (Seniorrådgiverkode 1364):</t>
    </r>
    <r>
      <rPr>
        <sz val="9"/>
        <color rgb="FF303030"/>
        <rFont val="Arial"/>
        <family val="2"/>
      </rPr>
      <t xml:space="preserve"> </t>
    </r>
    <r>
      <rPr>
        <i/>
        <sz val="9"/>
        <color rgb="FF303030"/>
        <rFont val="Arial"/>
        <family val="2"/>
      </rPr>
      <t>"Merforbruket skyldes forsinket frikjøpsinntektsføring på et NFR-prosjekt. For å beskytte fakultetets nettoresultat på +2,2 MNOK anbefales det å: 1) fremskynde bilagsføringen av NFR-prosjektet iht. SRS 10, og 2) holde én administrativ vakans åpen i Q4. Dette vil sikre at HHU opprettholder sitt positive bidrag til UiAs samlede balanse."</t>
    </r>
  </si>
  <si>
    <r>
      <t xml:space="preserve">Seniorrådgiveren benytter den etablerte Power BI-modellen (stjerneskjema med </t>
    </r>
    <r>
      <rPr>
        <sz val="9"/>
        <color rgb="FF303030"/>
        <rFont val="Google Sans Code"/>
        <family val="3"/>
      </rPr>
      <t>FactGL</t>
    </r>
    <r>
      <rPr>
        <sz val="9"/>
        <color rgb="FF303030"/>
        <rFont val="Arial"/>
        <family val="2"/>
      </rPr>
      <t xml:space="preserve">, </t>
    </r>
    <r>
      <rPr>
        <sz val="9"/>
        <color rgb="FF303030"/>
        <rFont val="Google Sans Code"/>
        <family val="3"/>
      </rPr>
      <t>FactFTE</t>
    </r>
    <r>
      <rPr>
        <sz val="9"/>
        <color rgb="FF303030"/>
        <rFont val="Arial"/>
        <family val="2"/>
      </rPr>
      <t xml:space="preserve">, </t>
    </r>
    <r>
      <rPr>
        <sz val="9"/>
        <color rgb="FF303030"/>
        <rFont val="Google Sans Code"/>
        <family val="3"/>
      </rPr>
      <t>FactStudents</t>
    </r>
    <r>
      <rPr>
        <sz val="9"/>
        <color rgb="FF303030"/>
        <rFont val="Arial"/>
        <family val="2"/>
      </rPr>
      <t xml:space="preserve">, </t>
    </r>
    <r>
      <rPr>
        <sz val="9"/>
        <color rgb="FF303030"/>
        <rFont val="Google Sans Code"/>
        <family val="3"/>
      </rPr>
      <t>DimOrganization</t>
    </r>
    <r>
      <rPr>
        <sz val="9"/>
        <color rgb="FF303030"/>
        <rFont val="Arial"/>
        <family val="2"/>
      </rPr>
      <t xml:space="preserve">, </t>
    </r>
    <r>
      <rPr>
        <sz val="9"/>
        <color rgb="FF303030"/>
        <rFont val="Google Sans Code"/>
        <family val="3"/>
      </rPr>
      <t>DimAccountHierarchy</t>
    </r>
    <r>
      <rPr>
        <sz val="9"/>
        <color rgb="FF303030"/>
        <rFont val="Arial"/>
        <family val="2"/>
      </rPr>
      <t>) for å levere et målgruppetilpasset dashbord til dekan og instituttledere.</t>
    </r>
  </si>
  <si>
    <r>
      <t>complete, realistic CSV dataset</t>
    </r>
    <r>
      <rPr>
        <sz val="11"/>
        <color theme="1"/>
        <rFont val="Aptos Narrow"/>
        <family val="2"/>
        <scheme val="minor"/>
      </rPr>
      <t xml:space="preserve">, along with </t>
    </r>
    <r>
      <rPr>
        <b/>
        <sz val="11"/>
        <color theme="1"/>
        <rFont val="Aptos Narrow"/>
        <family val="2"/>
        <scheme val="minor"/>
      </rPr>
      <t>two technical architecture diagrams</t>
    </r>
    <r>
      <rPr>
        <sz val="11"/>
        <color theme="1"/>
        <rFont val="Aptos Narrow"/>
        <family val="2"/>
        <scheme val="minor"/>
      </rPr>
      <t xml:space="preserve"> tailored specifically to the </t>
    </r>
    <r>
      <rPr>
        <b/>
        <sz val="11"/>
        <color theme="1"/>
        <rFont val="Aptos Narrow"/>
        <family val="2"/>
        <scheme val="minor"/>
      </rPr>
      <t>Handelshøyskolen ved UiA (HHU)</t>
    </r>
    <r>
      <rPr>
        <sz val="11"/>
        <color theme="1"/>
        <rFont val="Aptos Narrow"/>
        <family val="2"/>
        <scheme val="minor"/>
      </rPr>
      <t xml:space="preserve"> financial and operational ecosystem for the 2026 budget year (with </t>
    </r>
    <r>
      <rPr>
        <b/>
        <sz val="11"/>
        <color theme="1"/>
        <rFont val="Aptos Narrow"/>
        <family val="2"/>
        <scheme val="minor"/>
      </rPr>
      <t>Actuals as of September 30, 2026 / M01–M09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Q4 Forecast / M10–M12</t>
    </r>
    <r>
      <rPr>
        <sz val="11"/>
        <color theme="1"/>
        <rFont val="Aptos Narrow"/>
        <family val="2"/>
        <scheme val="minor"/>
      </rPr>
      <t>).</t>
    </r>
  </si>
  <si>
    <r>
      <t xml:space="preserve">All 11 CSV files and both high-resolution diagram images have been generated and published to your </t>
    </r>
    <r>
      <rPr>
        <b/>
        <sz val="11"/>
        <color theme="1"/>
        <rFont val="Aptos Narrow"/>
        <family val="2"/>
        <scheme val="minor"/>
      </rPr>
      <t>Studio panel</t>
    </r>
    <r>
      <rPr>
        <sz val="11"/>
        <color theme="1"/>
        <rFont val="Aptos Narrow"/>
        <family val="2"/>
        <scheme val="minor"/>
      </rPr>
      <t>.</t>
    </r>
  </si>
  <si>
    <t>1. Overview of Generated CSV Dataset (Published to Studio)</t>
  </si>
  <si>
    <r>
      <t>The dataset is formatted with semi-colon (</t>
    </r>
    <r>
      <rPr>
        <sz val="10"/>
        <color theme="1"/>
        <rFont val="Arial Unicode MS"/>
      </rPr>
      <t>;</t>
    </r>
    <r>
      <rPr>
        <sz val="11"/>
        <color theme="1"/>
        <rFont val="Aptos Narrow"/>
        <family val="2"/>
        <scheme val="minor"/>
      </rPr>
      <t>) delimiters and UTF-8 BOM encoding for direct import into Power BI Desktop or Excel [1, 2].</t>
    </r>
  </si>
  <si>
    <t>CSV Filename</t>
  </si>
  <si>
    <t>Table Type</t>
  </si>
  <si>
    <t>Key Contents &amp; HHU-Specific Specifics</t>
  </si>
  <si>
    <t>FactGL.csv</t>
  </si>
  <si>
    <t>Fact Table</t>
  </si>
  <si>
    <r>
      <t xml:space="preserve">Monthly general ledger entries [1]. Contains </t>
    </r>
    <r>
      <rPr>
        <b/>
        <sz val="11"/>
        <color theme="1"/>
        <rFont val="Aptos Narrow"/>
        <family val="2"/>
        <scheme val="minor"/>
      </rPr>
      <t>Actuals (M01–M09)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Forecast Q4 (M10–M12)</t>
    </r>
    <r>
      <rPr>
        <sz val="11"/>
        <color theme="1"/>
        <rFont val="Aptos Narrow"/>
        <family val="2"/>
        <scheme val="minor"/>
      </rPr>
      <t xml:space="preserve"> [1]. Includes HHU transactions for AACSB accreditation audits (Konto 6700 / Project </t>
    </r>
    <r>
      <rPr>
        <sz val="10"/>
        <color theme="1"/>
        <rFont val="Arial Unicode MS"/>
      </rPr>
      <t>AACSB01</t>
    </r>
    <r>
      <rPr>
        <sz val="11"/>
        <color theme="1"/>
        <rFont val="Aptos Narrow"/>
        <family val="2"/>
        <scheme val="minor"/>
      </rPr>
      <t>), EVU001 contract loss provisions (Konto 7790 / SRS 9) [1], and NFR research buy-out (Konto 3400/5000 / SRS 10) [1].</t>
    </r>
  </si>
  <si>
    <t>FactBudget.csv</t>
  </si>
  <si>
    <r>
      <t>Approved 2026 annual budget (</t>
    </r>
    <r>
      <rPr>
        <b/>
        <sz val="11"/>
        <color theme="1"/>
        <rFont val="Aptos Narrow"/>
        <family val="2"/>
        <scheme val="minor"/>
      </rPr>
      <t>BUD2026</t>
    </r>
    <r>
      <rPr>
        <sz val="11"/>
        <color theme="1"/>
        <rFont val="Aptos Narrow"/>
        <family val="2"/>
        <scheme val="minor"/>
      </rPr>
      <t>) periodized by month, department, and account line [1, 3].</t>
    </r>
  </si>
  <si>
    <t>FactFTE.csv</t>
  </si>
  <si>
    <r>
      <t xml:space="preserve">Monthly staffing tracking [1]. For HHU: </t>
    </r>
    <r>
      <rPr>
        <b/>
        <sz val="11"/>
        <color theme="1"/>
        <rFont val="Aptos Narrow"/>
        <family val="2"/>
        <scheme val="minor"/>
      </rPr>
      <t>155 UF FTEs</t>
    </r>
    <r>
      <rPr>
        <sz val="11"/>
        <color theme="1"/>
        <rFont val="Aptos Narrow"/>
        <family val="2"/>
        <scheme val="minor"/>
      </rPr>
      <t xml:space="preserve"> (vitenskapelige) [2], </t>
    </r>
    <r>
      <rPr>
        <b/>
        <sz val="11"/>
        <color theme="1"/>
        <rFont val="Aptos Narrow"/>
        <family val="2"/>
        <scheme val="minor"/>
      </rPr>
      <t>75 TA FTEs</t>
    </r>
    <r>
      <rPr>
        <sz val="11"/>
        <color theme="1"/>
        <rFont val="Aptos Narrow"/>
        <family val="2"/>
        <scheme val="minor"/>
      </rPr>
      <t xml:space="preserve"> (teknisk-administrative) [2], </t>
    </r>
    <r>
      <rPr>
        <b/>
        <sz val="11"/>
        <color theme="1"/>
        <rFont val="Aptos Narrow"/>
        <family val="2"/>
        <scheme val="minor"/>
      </rPr>
      <t>252 staff members</t>
    </r>
    <r>
      <rPr>
        <sz val="11"/>
        <color theme="1"/>
        <rFont val="Aptos Narrow"/>
        <family val="2"/>
        <scheme val="minor"/>
      </rPr>
      <t>, vacancy counts, and monthly salary expenses [1].</t>
    </r>
  </si>
  <si>
    <t>FactStudents.csv</t>
  </si>
  <si>
    <r>
      <t xml:space="preserve">Student metrics and credit production [1]. Tracks HHU’s </t>
    </r>
    <r>
      <rPr>
        <b/>
        <sz val="11"/>
        <color theme="1"/>
        <rFont val="Aptos Narrow"/>
        <family val="2"/>
        <scheme val="minor"/>
      </rPr>
      <t>3,450 registered students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3,120 SPE60</t>
    </r>
    <r>
      <rPr>
        <sz val="11"/>
        <color theme="1"/>
        <rFont val="Aptos Narrow"/>
        <family val="2"/>
        <scheme val="minor"/>
      </rPr>
      <t xml:space="preserve"> (helårsstudenter), </t>
    </r>
    <r>
      <rPr>
        <b/>
        <sz val="11"/>
        <color theme="1"/>
        <rFont val="Aptos Narrow"/>
        <family val="2"/>
        <scheme val="minor"/>
      </rPr>
      <t>KD Category 1 rates</t>
    </r>
    <r>
      <rPr>
        <sz val="11"/>
        <color theme="1"/>
        <rFont val="Aptos Narrow"/>
        <family val="2"/>
        <scheme val="minor"/>
      </rPr>
      <t xml:space="preserve"> (54,550 NOK/60 SPE), and student-to-faculty ratio (</t>
    </r>
    <r>
      <rPr>
        <b/>
        <sz val="11"/>
        <color theme="1"/>
        <rFont val="Aptos Narrow"/>
        <family val="2"/>
        <scheme val="minor"/>
      </rPr>
      <t>22.3 students/UF</t>
    </r>
    <r>
      <rPr>
        <sz val="11"/>
        <color theme="1"/>
        <rFont val="Aptos Narrow"/>
        <family val="2"/>
        <scheme val="minor"/>
      </rPr>
      <t>) [2, 4].</t>
    </r>
  </si>
  <si>
    <t>FactEVM.csv</t>
  </si>
  <si>
    <r>
      <t xml:space="preserve">Earned Value parameters per month [1, 5]. BAC = </t>
    </r>
    <r>
      <rPr>
        <b/>
        <sz val="11"/>
        <color theme="1"/>
        <rFont val="Aptos Narrow"/>
        <family val="2"/>
        <scheme val="minor"/>
      </rPr>
      <t>1,433.0 MNOK</t>
    </r>
    <r>
      <rPr>
        <sz val="11"/>
        <color theme="1"/>
        <rFont val="Aptos Narrow"/>
        <family val="2"/>
        <scheme val="minor"/>
      </rPr>
      <t xml:space="preserve">, EAC = </t>
    </r>
    <r>
      <rPr>
        <b/>
        <sz val="11"/>
        <color theme="1"/>
        <rFont val="Aptos Narrow"/>
        <family val="2"/>
        <scheme val="minor"/>
      </rPr>
      <t>1,444.0 MNOK</t>
    </r>
    <r>
      <rPr>
        <sz val="11"/>
        <color theme="1"/>
        <rFont val="Aptos Narrow"/>
        <family val="2"/>
        <scheme val="minor"/>
      </rPr>
      <t xml:space="preserve">, ETC = </t>
    </r>
    <r>
      <rPr>
        <b/>
        <sz val="11"/>
        <color theme="1"/>
        <rFont val="Aptos Narrow"/>
        <family val="2"/>
        <scheme val="minor"/>
      </rPr>
      <t>100.0 MNOK</t>
    </r>
    <r>
      <rPr>
        <sz val="11"/>
        <color theme="1"/>
        <rFont val="Aptos Narrow"/>
        <family val="2"/>
        <scheme val="minor"/>
      </rPr>
      <t xml:space="preserve"> [2, 5], CPI = </t>
    </r>
    <r>
      <rPr>
        <b/>
        <sz val="11"/>
        <color theme="1"/>
        <rFont val="Aptos Narrow"/>
        <family val="2"/>
        <scheme val="minor"/>
      </rPr>
      <t>0.95</t>
    </r>
    <r>
      <rPr>
        <sz val="11"/>
        <color theme="1"/>
        <rFont val="Aptos Narrow"/>
        <family val="2"/>
        <scheme val="minor"/>
      </rPr>
      <t xml:space="preserve">, SPI = </t>
    </r>
    <r>
      <rPr>
        <b/>
        <sz val="11"/>
        <color theme="1"/>
        <rFont val="Aptos Narrow"/>
        <family val="2"/>
        <scheme val="minor"/>
      </rPr>
      <t>0.92</t>
    </r>
    <r>
      <rPr>
        <sz val="11"/>
        <color theme="1"/>
        <rFont val="Aptos Narrow"/>
        <family val="2"/>
        <scheme val="minor"/>
      </rPr>
      <t xml:space="preserve">, VAC = </t>
    </r>
    <r>
      <rPr>
        <b/>
        <sz val="11"/>
        <color theme="1"/>
        <rFont val="Aptos Narrow"/>
        <family val="2"/>
        <scheme val="minor"/>
      </rPr>
      <t>-11.0 MNOK</t>
    </r>
    <r>
      <rPr>
        <sz val="11"/>
        <color theme="1"/>
        <rFont val="Aptos Narrow"/>
        <family val="2"/>
        <scheme val="minor"/>
      </rPr>
      <t xml:space="preserve"> [2, 5].</t>
    </r>
  </si>
  <si>
    <t>FactAction.csv</t>
  </si>
  <si>
    <r>
      <t>Restructuring action tracker [1]. Includes HHU administrative vacancy freeze (</t>
    </r>
    <r>
      <rPr>
        <sz val="10"/>
        <color theme="1"/>
        <rFont val="Arial Unicode MS"/>
      </rPr>
      <t>T001</t>
    </r>
    <r>
      <rPr>
        <sz val="11"/>
        <color theme="1"/>
        <rFont val="Aptos Narrow"/>
        <family val="2"/>
        <scheme val="minor"/>
      </rPr>
      <t>), academic reallocation (</t>
    </r>
    <r>
      <rPr>
        <sz val="10"/>
        <color theme="1"/>
        <rFont val="Arial Unicode MS"/>
      </rPr>
      <t>T002</t>
    </r>
    <r>
      <rPr>
        <sz val="11"/>
        <color theme="1"/>
        <rFont val="Aptos Narrow"/>
        <family val="2"/>
        <scheme val="minor"/>
      </rPr>
      <t>), and EVU portfolio expansion (</t>
    </r>
    <r>
      <rPr>
        <sz val="10"/>
        <color theme="1"/>
        <rFont val="Arial Unicode MS"/>
      </rPr>
      <t>T003</t>
    </r>
    <r>
      <rPr>
        <sz val="11"/>
        <color theme="1"/>
        <rFont val="Aptos Narrow"/>
        <family val="2"/>
        <scheme val="minor"/>
      </rPr>
      <t>) [2, 6].</t>
    </r>
  </si>
  <si>
    <t>DimOrganization.csv</t>
  </si>
  <si>
    <t>Dimension</t>
  </si>
  <si>
    <r>
      <t xml:space="preserve">Hierarchical organization structure [1]. Level 1: UiA [2]; Level 2: HHU, TEK, HEL, SAM, HUM, ADM [2]; Level 3 (HHU): </t>
    </r>
    <r>
      <rPr>
        <i/>
        <sz val="11"/>
        <color theme="1"/>
        <rFont val="Aptos Narrow"/>
        <family val="2"/>
        <scheme val="minor"/>
      </rPr>
      <t>Institutt for ledelse og innovasjon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I001</t>
    </r>
    <r>
      <rPr>
        <sz val="11"/>
        <color theme="1"/>
        <rFont val="Aptos Narrow"/>
        <family val="2"/>
        <scheme val="minor"/>
      </rPr>
      <t xml:space="preserve">), </t>
    </r>
    <r>
      <rPr>
        <i/>
        <sz val="11"/>
        <color theme="1"/>
        <rFont val="Aptos Narrow"/>
        <family val="2"/>
        <scheme val="minor"/>
      </rPr>
      <t>Institutt for rettsvitenskap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I002</t>
    </r>
    <r>
      <rPr>
        <sz val="11"/>
        <color theme="1"/>
        <rFont val="Aptos Narrow"/>
        <family val="2"/>
        <scheme val="minor"/>
      </rPr>
      <t xml:space="preserve">), </t>
    </r>
    <r>
      <rPr>
        <i/>
        <sz val="11"/>
        <color theme="1"/>
        <rFont val="Aptos Narrow"/>
        <family val="2"/>
        <scheme val="minor"/>
      </rPr>
      <t>Institutt for økonomi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I003</t>
    </r>
    <r>
      <rPr>
        <sz val="11"/>
        <color theme="1"/>
        <rFont val="Aptos Narrow"/>
        <family val="2"/>
        <scheme val="minor"/>
      </rPr>
      <t xml:space="preserve">), </t>
    </r>
    <r>
      <rPr>
        <i/>
        <sz val="11"/>
        <color theme="1"/>
        <rFont val="Aptos Narrow"/>
        <family val="2"/>
        <scheme val="minor"/>
      </rPr>
      <t>HHU Fakultetsadministrasjon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I004</t>
    </r>
    <r>
      <rPr>
        <sz val="11"/>
        <color theme="1"/>
        <rFont val="Aptos Narrow"/>
        <family val="2"/>
        <scheme val="minor"/>
      </rPr>
      <t>).</t>
    </r>
  </si>
  <si>
    <t>DimAccountHierarchy.csv</t>
  </si>
  <si>
    <t>DFØ R-102 standard chart of accounts hierarchy for state accrual accounting (SRS) [1, 7].</t>
  </si>
  <si>
    <t>DimDate.csv</t>
  </si>
  <si>
    <r>
      <t xml:space="preserve">2026 calendar dimension marking M01–M09 as </t>
    </r>
    <r>
      <rPr>
        <sz val="10"/>
        <color theme="1"/>
        <rFont val="Arial Unicode MS"/>
      </rPr>
      <t>Actual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ErActualYTD = TRUE</t>
    </r>
    <r>
      <rPr>
        <sz val="11"/>
        <color theme="1"/>
        <rFont val="Aptos Narrow"/>
        <family val="2"/>
        <scheme val="minor"/>
      </rPr>
      <t xml:space="preserve">) and M10–M12 as </t>
    </r>
    <r>
      <rPr>
        <sz val="10"/>
        <color theme="1"/>
        <rFont val="Arial Unicode MS"/>
      </rPr>
      <t>Forecast</t>
    </r>
    <r>
      <rPr>
        <sz val="11"/>
        <color theme="1"/>
        <rFont val="Aptos Narrow"/>
        <family val="2"/>
        <scheme val="minor"/>
      </rPr>
      <t xml:space="preserve"> [1, 3].</t>
    </r>
  </si>
  <si>
    <t>DimForecastVersion.csv</t>
  </si>
  <si>
    <r>
      <t>Version metadata (</t>
    </r>
    <r>
      <rPr>
        <sz val="10"/>
        <color theme="1"/>
        <rFont val="Arial Unicode MS"/>
      </rPr>
      <t>BUD2026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ACTUAL_YTD_SEP2026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FC_Q4_2026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LE_2026</t>
    </r>
    <r>
      <rPr>
        <sz val="11"/>
        <color theme="1"/>
        <rFont val="Aptos Narrow"/>
        <family val="2"/>
        <scheme val="minor"/>
      </rPr>
      <t>) [1, 3].</t>
    </r>
  </si>
  <si>
    <t>Relationships.csv</t>
  </si>
  <si>
    <t>Documentation</t>
  </si>
  <si>
    <t>Cardinality and cross-filtering rules ($1:*$ single direction) for setting up the Power BI semantic model [1].</t>
  </si>
  <si>
    <t>2. Specific HHU Issues Represented in the Data</t>
  </si>
  <si>
    <r>
      <t>1. KD 2025 Category 1 Funding Bottleneck:</t>
    </r>
    <r>
      <rPr>
        <sz val="11"/>
        <color theme="1"/>
        <rFont val="Aptos Narrow"/>
        <family val="2"/>
        <scheme val="minor"/>
      </rPr>
      <t xml:space="preserve"> HHU produces </t>
    </r>
    <r>
      <rPr>
        <b/>
        <sz val="11"/>
        <color theme="1"/>
        <rFont val="Aptos Narrow"/>
        <family val="2"/>
        <scheme val="minor"/>
      </rPr>
      <t>3,120 SPE60</t>
    </r>
    <r>
      <rPr>
        <sz val="11"/>
        <color theme="1"/>
        <rFont val="Aptos Narrow"/>
        <family val="2"/>
        <scheme val="minor"/>
      </rPr>
      <t xml:space="preserve"> across its three institutes (</t>
    </r>
    <r>
      <rPr>
        <i/>
        <sz val="11"/>
        <color theme="1"/>
        <rFont val="Aptos Narrow"/>
        <family val="2"/>
        <scheme val="minor"/>
      </rPr>
      <t>Ledelse og innovasjon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Rettsvitenskap</t>
    </r>
    <r>
      <rPr>
        <sz val="11"/>
        <color theme="1"/>
        <rFont val="Aptos Narrow"/>
        <family val="2"/>
        <scheme val="minor"/>
      </rPr>
      <t xml:space="preserve">, </t>
    </r>
    <r>
      <rPr>
        <i/>
        <sz val="11"/>
        <color theme="1"/>
        <rFont val="Aptos Narrow"/>
        <family val="2"/>
        <scheme val="minor"/>
      </rPr>
      <t>Økonomi</t>
    </r>
    <r>
      <rPr>
        <sz val="11"/>
        <color theme="1"/>
        <rFont val="Aptos Narrow"/>
        <family val="2"/>
        <scheme val="minor"/>
      </rPr>
      <t xml:space="preserve">) [2]. Because business/law studies fall under </t>
    </r>
    <r>
      <rPr>
        <b/>
        <sz val="11"/>
        <color theme="1"/>
        <rFont val="Aptos Narrow"/>
        <family val="2"/>
        <scheme val="minor"/>
      </rPr>
      <t>KD Category 1</t>
    </r>
    <r>
      <rPr>
        <sz val="11"/>
        <color theme="1"/>
        <rFont val="Aptos Narrow"/>
        <family val="2"/>
        <scheme val="minor"/>
      </rPr>
      <t xml:space="preserve"> (54,550 NOK per 60 SPE) [4] and HHU operates at </t>
    </r>
    <r>
      <rPr>
        <b/>
        <sz val="11"/>
        <color theme="1"/>
        <rFont val="Aptos Narrow"/>
        <family val="2"/>
        <scheme val="minor"/>
      </rPr>
      <t>22.3 students per UF FTE</t>
    </r>
    <r>
      <rPr>
        <sz val="11"/>
        <color theme="1"/>
        <rFont val="Aptos Narrow"/>
        <family val="2"/>
        <scheme val="minor"/>
      </rPr>
      <t xml:space="preserve"> [2], marginal volume expansion does not cover clinical/seminar teaching costs [4].</t>
    </r>
  </si>
  <si>
    <r>
      <t>2. AACSB Accreditation Costs:</t>
    </r>
    <r>
      <rPr>
        <sz val="11"/>
        <color theme="1"/>
        <rFont val="Aptos Narrow"/>
        <family val="2"/>
        <scheme val="minor"/>
      </rPr>
      <t xml:space="preserve"> Account </t>
    </r>
    <r>
      <rPr>
        <sz val="10"/>
        <color theme="1"/>
        <rFont val="Arial Unicode MS"/>
      </rPr>
      <t>6700</t>
    </r>
    <r>
      <rPr>
        <sz val="11"/>
        <color theme="1"/>
        <rFont val="Aptos Narrow"/>
        <family val="2"/>
        <scheme val="minor"/>
      </rPr>
      <t xml:space="preserve"> and Project </t>
    </r>
    <r>
      <rPr>
        <sz val="10"/>
        <color theme="1"/>
        <rFont val="Arial Unicode MS"/>
      </rPr>
      <t>AACSB01</t>
    </r>
    <r>
      <rPr>
        <sz val="11"/>
        <color theme="1"/>
        <rFont val="Aptos Narrow"/>
        <family val="2"/>
        <scheme val="minor"/>
      </rPr>
      <t xml:space="preserve"> capture 450,000 NOK in international review audit fees and consultant support in M03 and M09 to maintain HHU's international accreditation.</t>
    </r>
  </si>
  <si>
    <r>
      <t>3. SRS 9 Contract Loss Provision (EVU001):</t>
    </r>
    <r>
      <rPr>
        <sz val="11"/>
        <color theme="1"/>
        <rFont val="Aptos Narrow"/>
        <family val="2"/>
        <scheme val="minor"/>
      </rPr>
      <t xml:space="preserve"> Account </t>
    </r>
    <r>
      <rPr>
        <sz val="10"/>
        <color theme="1"/>
        <rFont val="Arial Unicode MS"/>
      </rPr>
      <t>7790</t>
    </r>
    <r>
      <rPr>
        <sz val="11"/>
        <color theme="1"/>
        <rFont val="Aptos Narrow"/>
        <family val="2"/>
        <scheme val="minor"/>
      </rPr>
      <t xml:space="preserve"> records a </t>
    </r>
    <r>
      <rPr>
        <b/>
        <sz val="11"/>
        <color theme="1"/>
        <rFont val="Aptos Narrow"/>
        <family val="2"/>
        <scheme val="minor"/>
      </rPr>
      <t>350,000 NOK loss provision</t>
    </r>
    <r>
      <rPr>
        <sz val="11"/>
        <color theme="1"/>
        <rFont val="Aptos Narrow"/>
        <family val="2"/>
        <scheme val="minor"/>
      </rPr>
      <t xml:space="preserve"> in M09 for project </t>
    </r>
    <r>
      <rPr>
        <sz val="10"/>
        <color theme="1"/>
        <rFont val="Arial Unicode MS"/>
      </rPr>
      <t>EVU001</t>
    </r>
    <r>
      <rPr>
        <sz val="11"/>
        <color theme="1"/>
        <rFont val="Aptos Narrow"/>
        <family val="2"/>
        <scheme val="minor"/>
      </rPr>
      <t xml:space="preserve"> (custom corporate executive program) due to delivery overruns, complying with SRS 9 onerous contract rules [1].</t>
    </r>
  </si>
  <si>
    <r>
      <t>4. SRS 10 NFR Research Buy-out (Frikjøp):</t>
    </r>
    <r>
      <rPr>
        <sz val="11"/>
        <color theme="1"/>
        <rFont val="Aptos Narrow"/>
        <family val="2"/>
        <scheme val="minor"/>
      </rPr>
      <t xml:space="preserve"> Accounts </t>
    </r>
    <r>
      <rPr>
        <sz val="10"/>
        <color theme="1"/>
        <rFont val="Arial Unicode MS"/>
      </rPr>
      <t>3400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</rPr>
      <t>5000</t>
    </r>
    <r>
      <rPr>
        <sz val="11"/>
        <color theme="1"/>
        <rFont val="Aptos Narrow"/>
        <family val="2"/>
        <scheme val="minor"/>
      </rPr>
      <t xml:space="preserve"> on project </t>
    </r>
    <r>
      <rPr>
        <sz val="10"/>
        <color theme="1"/>
        <rFont val="Arial Unicode MS"/>
      </rPr>
      <t>NFR001</t>
    </r>
    <r>
      <rPr>
        <sz val="11"/>
        <color theme="1"/>
        <rFont val="Aptos Narrow"/>
        <family val="2"/>
        <scheme val="minor"/>
      </rPr>
      <t xml:space="preserve"> reflect research buy-out where external grant revenue matches project expenses [1, 8].</t>
    </r>
  </si>
  <si>
    <r>
      <t>5. Positive Net Surplus (+2.2 MNOK):</t>
    </r>
    <r>
      <rPr>
        <sz val="11"/>
        <color theme="1"/>
        <rFont val="Aptos Narrow"/>
        <family val="2"/>
        <scheme val="minor"/>
      </rPr>
      <t xml:space="preserve"> HHU delivers total revenues of </t>
    </r>
    <r>
      <rPr>
        <b/>
        <sz val="11"/>
        <color theme="1"/>
        <rFont val="Aptos Narrow"/>
        <family val="2"/>
        <scheme val="minor"/>
      </rPr>
      <t>276.6 MNOK</t>
    </r>
    <r>
      <rPr>
        <sz val="11"/>
        <color theme="1"/>
        <rFont val="Aptos Narrow"/>
        <family val="2"/>
        <scheme val="minor"/>
      </rPr>
      <t xml:space="preserve"> against expenses of </t>
    </r>
    <r>
      <rPr>
        <b/>
        <sz val="11"/>
        <color theme="1"/>
        <rFont val="Aptos Narrow"/>
        <family val="2"/>
        <scheme val="minor"/>
      </rPr>
      <t>274.4 MNOK</t>
    </r>
    <r>
      <rPr>
        <sz val="11"/>
        <color theme="1"/>
        <rFont val="Aptos Narrow"/>
        <family val="2"/>
        <scheme val="minor"/>
      </rPr>
      <t xml:space="preserve">, contributing </t>
    </r>
    <r>
      <rPr>
        <b/>
        <sz val="11"/>
        <color theme="1"/>
        <rFont val="Aptos Narrow"/>
        <family val="2"/>
        <scheme val="minor"/>
      </rPr>
      <t>+2.2 MNOK</t>
    </r>
    <r>
      <rPr>
        <sz val="11"/>
        <color theme="1"/>
        <rFont val="Aptos Narrow"/>
        <family val="2"/>
        <scheme val="minor"/>
      </rPr>
      <t xml:space="preserve"> in positive operating margin to offset central deficits [2].</t>
    </r>
  </si>
  <si>
    <t>3. Data Workflow Diagram: Ingestion, ETL &amp; Reporting</t>
  </si>
  <si>
    <r>
      <t xml:space="preserve">The visual image </t>
    </r>
    <r>
      <rPr>
        <b/>
        <sz val="11"/>
        <color theme="1"/>
        <rFont val="Aptos Narrow"/>
        <family val="2"/>
        <scheme val="minor"/>
      </rPr>
      <t>data_workflow_ingestion_reporting.png</t>
    </r>
    <r>
      <rPr>
        <sz val="11"/>
        <color theme="1"/>
        <rFont val="Aptos Narrow"/>
        <family val="2"/>
        <scheme val="minor"/>
      </rPr>
      <t xml:space="preserve"> is published in Studio. Below is the workflow breakdown:</t>
    </r>
  </si>
  <si>
    <t>| UiA DATA INGESTION &amp; REPORTING PIPELINE WORKFLOW                                                 |</t>
  </si>
  <si>
    <t xml:space="preserve">  [ PHASE 1: SOURCE LAYER (Kildesystemer) ]</t>
  </si>
  <si>
    <t xml:space="preserve">  ├── Unit4 ERP (BOTT)        ──&gt; General Ledger, BOA Projects, e-Commerce (FactGL) [1]</t>
  </si>
  <si>
    <t xml:space="preserve">  ├── Unit4 UBW Planlegger    ──&gt; Approved Budgets (BUD2026) &amp; Forecasts (FactBudget) [1]</t>
  </si>
  <si>
    <t xml:space="preserve">  ├── SAP / BOTT Lønn         ──&gt; Monthly Payroll &amp; FTE Staffing Snapshot (FactFTE) [1]</t>
  </si>
  <si>
    <t xml:space="preserve">  ├── FS (Felles Studentsys)  ──&gt; Registered Students &amp; SPE60 Credits (FactStudents) [1]</t>
  </si>
  <si>
    <t xml:space="preserve">  └── Manual Logs / Excel     ──&gt; Restructuring Action Tracker (FactAction) [1]</t>
  </si>
  <si>
    <t xml:space="preserve">            │</t>
  </si>
  <si>
    <t xml:space="preserve">            ▼</t>
  </si>
  <si>
    <t xml:space="preserve">  [ PHASE 2: ETL &amp; INTEGRATION LAYER ]</t>
  </si>
  <si>
    <t xml:space="preserve">  ├── Azure Data Factory / SSIS ──&gt; Automated nightly batch &amp; API extractions [1]</t>
  </si>
  <si>
    <t xml:space="preserve">  ├── Data Cleaning &amp; Validation──&gt; Org keys, SRS accounting compliance &amp; account validation [1]</t>
  </si>
  <si>
    <t xml:space="preserve">  └── Staging Dataflows        ──&gt; Mapping accounts to DFØ R-102 hierarchy [1, 7]</t>
  </si>
  <si>
    <t xml:space="preserve">  [ PHASE 3: STORAGE &amp; STAGING LAYER ]</t>
  </si>
  <si>
    <t xml:space="preserve">  ├── SQL Data Warehouse (ODS)  ──&gt; Central Star Schema repository [1]</t>
  </si>
  <si>
    <t xml:space="preserve">  ├── 6 Fact Tables             ──&gt; FactGL, FactBudget, FactFTE, FactStudents, FactEVM, FactAction [1]</t>
  </si>
  <si>
    <t xml:space="preserve">  └── 5 Dimension Tables        ──&gt; DimOrganization, DimAccountHierarchy, DimDate, etc. [1]</t>
  </si>
  <si>
    <t xml:space="preserve">  [ PHASE 4: PRESENTATION &amp; REPORTING LAYER ]</t>
  </si>
  <si>
    <t xml:space="preserve">  ├── Power BI Tabular Model    ──&gt; DAX Measures, RAG Status &amp; Temporal Context (YoY/MoM) [1, 3]</t>
  </si>
  <si>
    <t xml:space="preserve">  ├── Power BI Service (Cloud)  ──&gt; Row-Level Security (RLS) per faculty/department [1]</t>
  </si>
  <si>
    <t xml:space="preserve">  ├── Dekanens Dashbord         ──&gt; 3-30-300 Executive visual interface [1, 9]</t>
  </si>
  <si>
    <t xml:space="preserve">  └── HHU Cockpit &amp; Excel       ──&gt; Senior Controller drill-down analysis [1]</t>
  </si>
  <si>
    <t>4. Power BI Data Model Diagram (Star Schema Architecture)</t>
  </si>
  <si>
    <r>
      <t xml:space="preserve">The visual image </t>
    </r>
    <r>
      <rPr>
        <b/>
        <sz val="11"/>
        <color theme="1"/>
        <rFont val="Aptos Narrow"/>
        <family val="2"/>
        <scheme val="minor"/>
      </rPr>
      <t>powerbi_datamodel_diagram.png</t>
    </r>
    <r>
      <rPr>
        <sz val="11"/>
        <color theme="1"/>
        <rFont val="Aptos Narrow"/>
        <family val="2"/>
        <scheme val="minor"/>
      </rPr>
      <t xml:space="preserve"> is published in Studio. The semantic model follows a </t>
    </r>
    <r>
      <rPr>
        <b/>
        <sz val="11"/>
        <color theme="1"/>
        <rFont val="Aptos Narrow"/>
        <family val="2"/>
        <scheme val="minor"/>
      </rPr>
      <t>Star Schema</t>
    </r>
    <r>
      <rPr>
        <sz val="11"/>
        <color theme="1"/>
        <rFont val="Aptos Narrow"/>
        <family val="2"/>
        <scheme val="minor"/>
      </rPr>
      <t xml:space="preserve"> with $1:*$ single-direction relationships [1]:</t>
    </r>
  </si>
  <si>
    <t>| POWER BI SEMANTIC MODEL (STAR SCHEMA ARCHITECTURE)                                               |</t>
  </si>
  <si>
    <t xml:space="preserve">        [ DimOrganization ]         [ DimAccountHierarchy ]         [ DimDate ]         [ DimForecastVersion ]</t>
  </si>
  <si>
    <t xml:space="preserve">         (PK: OrgKode)               (PK: Konto)                 (PK: DatoNokkel)    (PK: VersjonKode)</t>
  </si>
  <si>
    <t xml:space="preserve">               │                          │                           │                     │</t>
  </si>
  <si>
    <t xml:space="preserve">               │ (1)                      │ (1)                       │ (1)                 │ (1)</t>
  </si>
  <si>
    <t xml:space="preserve">               ├──────────────────────────┼───────────────────────────┼─────────────────────┘</t>
  </si>
  <si>
    <t xml:space="preserve">               │                          │                           │</t>
  </si>
  <si>
    <t xml:space="preserve">               ▼ (*)                      ▼ (*)                       ▼ (*)</t>
  </si>
  <si>
    <t xml:space="preserve">    +───────────────────+      +───────────────────+       +───────────────────+</t>
  </si>
  <si>
    <t xml:space="preserve">    |      FactGL       |      |    FactBudget     |       |      FactFTE      |</t>
  </si>
  <si>
    <t xml:space="preserve">    | (FK: OrgKode)     |      | (FK: OrgKode)     |       | (FK: OrgKode)     |</t>
  </si>
  <si>
    <t xml:space="preserve">    | (FK: Konto)       |      | (FK: Konto)       |       | (FK: DatoNokkel)  |</t>
  </si>
  <si>
    <t xml:space="preserve">    | (FK: DatoNokkel)  |      | (FK: DatoNokkel)  |       | [UF/TA, ÅV, Lønn] |</t>
  </si>
  <si>
    <t xml:space="preserve">    |   FactStudents    |      |      FactEVM      |       |    FactAction     |</t>
  </si>
  <si>
    <t xml:space="preserve">    | (FK: OrgKode)     |      | (FK: DatoNokkel)  |       | (FK: OrgKode)     |</t>
  </si>
  <si>
    <t xml:space="preserve">    | (FK: DatoNokkel)  |      | [PV, EV, AC, BAC, |       | [Effekt, Status,  |</t>
  </si>
  <si>
    <t xml:space="preserve">    | [Studenter, SPE]  |      |  EAC, CPI, SPI]   |       |  Ansvarlig]       |</t>
  </si>
  <si>
    <t>Use Case: 2027 Budgeting &amp; Financial Planning for Handelshøyskolen ved UiA (HHU)</t>
  </si>
  <si>
    <t>1. Strategic Context &amp; Organizational Framework</t>
  </si>
  <si>
    <r>
      <t xml:space="preserve">Handelshøyskolen ved UiA (HHU) is an internationally </t>
    </r>
    <r>
      <rPr>
        <b/>
        <sz val="11"/>
        <color rgb="FF1B1B1C"/>
        <rFont val="Arial"/>
        <family val="2"/>
      </rPr>
      <t>AACSB-accredited</t>
    </r>
    <r>
      <rPr>
        <sz val="11"/>
        <color rgb="FF1B1B1C"/>
        <rFont val="Arial"/>
        <family val="2"/>
      </rPr>
      <t xml:space="preserve"> business school at the University of Agder, organized into three academic departments (</t>
    </r>
    <r>
      <rPr>
        <i/>
        <sz val="11"/>
        <color rgb="FF1B1B1C"/>
        <rFont val="Arial"/>
        <family val="2"/>
      </rPr>
      <t>Institutt for ledelse og innovasjon</t>
    </r>
    <r>
      <rPr>
        <sz val="11"/>
        <color rgb="FF1B1B1C"/>
        <rFont val="Arial"/>
        <family val="2"/>
      </rPr>
      <t xml:space="preserve">, </t>
    </r>
    <r>
      <rPr>
        <i/>
        <sz val="11"/>
        <color rgb="FF1B1B1C"/>
        <rFont val="Arial"/>
        <family val="2"/>
      </rPr>
      <t>Institutt for rettsvitenskap</t>
    </r>
    <r>
      <rPr>
        <sz val="11"/>
        <color rgb="FF1B1B1C"/>
        <rFont val="Arial"/>
        <family val="2"/>
      </rPr>
      <t xml:space="preserve">, and </t>
    </r>
    <r>
      <rPr>
        <i/>
        <sz val="11"/>
        <color rgb="FF1B1B1C"/>
        <rFont val="Arial"/>
        <family val="2"/>
      </rPr>
      <t>Institutt for økonomi</t>
    </r>
    <r>
      <rPr>
        <sz val="11"/>
        <color rgb="FF1B1B1C"/>
        <rFont val="Arial"/>
        <family val="2"/>
      </rPr>
      <t>) plus the faculty administration on Campus Kristiansand.</t>
    </r>
  </si>
  <si>
    <r>
      <t xml:space="preserve">HHU operates with a 2026 baseline of </t>
    </r>
    <r>
      <rPr>
        <b/>
        <sz val="11"/>
        <color rgb="FF1B1B1C"/>
        <rFont val="Arial"/>
        <family val="2"/>
      </rPr>
      <t>3,450 registered students</t>
    </r>
    <r>
      <rPr>
        <sz val="11"/>
        <color rgb="FF1B1B1C"/>
        <rFont val="Arial"/>
        <family val="2"/>
      </rPr>
      <t xml:space="preserve"> (</t>
    </r>
    <r>
      <rPr>
        <b/>
        <sz val="11"/>
        <color rgb="FF1B1B1C"/>
        <rFont val="Arial"/>
        <family val="2"/>
      </rPr>
      <t>3,120 SPE60 credit-equivalents</t>
    </r>
    <r>
      <rPr>
        <sz val="11"/>
        <color rgb="FF1B1B1C"/>
        <rFont val="Arial"/>
        <family val="2"/>
      </rPr>
      <t xml:space="preserve">), </t>
    </r>
    <r>
      <rPr>
        <b/>
        <sz val="11"/>
        <color rgb="FF1B1B1C"/>
        <rFont val="Arial"/>
        <family val="2"/>
      </rPr>
      <t>230 FTEs</t>
    </r>
    <r>
      <rPr>
        <sz val="11"/>
        <color rgb="FF1B1B1C"/>
        <rFont val="Arial"/>
        <family val="2"/>
      </rPr>
      <t xml:space="preserve"> (</t>
    </r>
    <r>
      <rPr>
        <b/>
        <sz val="11"/>
        <color rgb="FF1B1B1C"/>
        <rFont val="Arial"/>
        <family val="2"/>
      </rPr>
      <t>155 academic/UF FTEs</t>
    </r>
    <r>
      <rPr>
        <sz val="11"/>
        <color rgb="FF1B1B1C"/>
        <rFont val="Arial"/>
        <family val="2"/>
      </rPr>
      <t xml:space="preserve"> and </t>
    </r>
    <r>
      <rPr>
        <b/>
        <sz val="11"/>
        <color rgb="FF1B1B1C"/>
        <rFont val="Arial"/>
        <family val="2"/>
      </rPr>
      <t>75 technical-administrative/TA FTEs</t>
    </r>
    <r>
      <rPr>
        <sz val="11"/>
        <color rgb="FF1B1B1C"/>
        <rFont val="Arial"/>
        <family val="2"/>
      </rPr>
      <t xml:space="preserve">), and a total annual operating budget of </t>
    </r>
    <r>
      <rPr>
        <b/>
        <sz val="11"/>
        <color rgb="FF1B1B1C"/>
        <rFont val="Arial"/>
        <family val="2"/>
      </rPr>
      <t>276.6 MNOK in revenue</t>
    </r>
    <r>
      <rPr>
        <sz val="11"/>
        <color rgb="FF1B1B1C"/>
        <rFont val="Arial"/>
        <family val="2"/>
      </rPr>
      <t xml:space="preserve"> against </t>
    </r>
    <r>
      <rPr>
        <b/>
        <sz val="11"/>
        <color rgb="FF1B1B1C"/>
        <rFont val="Arial"/>
        <family val="2"/>
      </rPr>
      <t>274.4 MNOK in total expenses</t>
    </r>
    <r>
      <rPr>
        <sz val="11"/>
        <color rgb="FF1B1B1C"/>
        <rFont val="Arial"/>
        <family val="2"/>
      </rPr>
      <t xml:space="preserve">, yielding a net operating surplus of </t>
    </r>
    <r>
      <rPr>
        <b/>
        <sz val="11"/>
        <color rgb="FF1B1B1C"/>
        <rFont val="Arial"/>
        <family val="2"/>
      </rPr>
      <t>+2.2 MNOK</t>
    </r>
    <r>
      <rPr>
        <sz val="11"/>
        <color rgb="FF1B1B1C"/>
        <rFont val="Arial"/>
        <family val="2"/>
      </rPr>
      <t>.</t>
    </r>
  </si>
  <si>
    <r>
      <t xml:space="preserve">In accordance with the UiA Controller Framework and the position profile for </t>
    </r>
    <r>
      <rPr>
        <b/>
        <sz val="11"/>
        <color rgb="FF1B1B1C"/>
        <rFont val="Arial"/>
        <family val="2"/>
      </rPr>
      <t>Senior Controller / Seniorrådgiver (stillingskode 1364)</t>
    </r>
    <r>
      <rPr>
        <sz val="11"/>
        <color rgb="FF1B1B1C"/>
        <rFont val="Arial"/>
        <family val="2"/>
      </rPr>
      <t>, the senior controller leads the 2027 budgeting cycle. The controller reports to the Faculty Director (</t>
    </r>
    <r>
      <rPr>
        <i/>
        <sz val="11"/>
        <color rgb="FF1B1B1C"/>
        <rFont val="Arial"/>
        <family val="2"/>
      </rPr>
      <t>Fakultetsdirektør</t>
    </r>
    <r>
      <rPr>
        <sz val="11"/>
        <color rgb="FF1B1B1C"/>
        <rFont val="Arial"/>
        <family val="2"/>
      </rPr>
      <t>) and works closely with the Dean (</t>
    </r>
    <r>
      <rPr>
        <i/>
        <sz val="11"/>
        <color rgb="FF1B1B1C"/>
        <rFont val="Arial"/>
        <family val="2"/>
      </rPr>
      <t>Dekan</t>
    </r>
    <r>
      <rPr>
        <sz val="11"/>
        <color rgb="FF1B1B1C"/>
        <rFont val="Arial"/>
        <family val="2"/>
      </rPr>
      <t>), Department Heads (</t>
    </r>
    <r>
      <rPr>
        <i/>
        <sz val="11"/>
        <color rgb="FF1B1B1C"/>
        <rFont val="Arial"/>
        <family val="2"/>
      </rPr>
      <t>Instituttledere</t>
    </r>
    <r>
      <rPr>
        <sz val="11"/>
        <color rgb="FF1B1B1C"/>
        <rFont val="Arial"/>
        <family val="2"/>
      </rPr>
      <t>), and the central University Financial Department (</t>
    </r>
    <r>
      <rPr>
        <i/>
        <sz val="11"/>
        <color rgb="FF1B1B1C"/>
        <rFont val="Arial"/>
        <family val="2"/>
      </rPr>
      <t>Sentral Økonomiavdeling</t>
    </r>
    <r>
      <rPr>
        <sz val="11"/>
        <color rgb="FF1B1B1C"/>
        <rFont val="Arial"/>
        <family val="2"/>
      </rPr>
      <t>) to prepare a realistic, driver-based 2027 budget (</t>
    </r>
    <r>
      <rPr>
        <b/>
        <sz val="11"/>
        <color rgb="FF1B1B1C"/>
        <rFont val="Arial"/>
        <family val="2"/>
      </rPr>
      <t>BUD2027</t>
    </r>
    <r>
      <rPr>
        <sz val="11"/>
        <color rgb="FF1B1B1C"/>
        <rFont val="Arial"/>
        <family val="2"/>
      </rPr>
      <t>) and 5-year long-term forecast (</t>
    </r>
    <r>
      <rPr>
        <b/>
        <sz val="11"/>
        <color rgb="FF1B1B1C"/>
        <rFont val="Arial"/>
        <family val="2"/>
      </rPr>
      <t>PROG2027–2031</t>
    </r>
    <r>
      <rPr>
        <sz val="11"/>
        <color rgb="FF1B1B1C"/>
        <rFont val="Arial"/>
        <family val="2"/>
      </rPr>
      <t xml:space="preserve">) in </t>
    </r>
    <r>
      <rPr>
        <b/>
        <sz val="11"/>
        <color rgb="FF1B1B1C"/>
        <rFont val="Arial"/>
        <family val="2"/>
      </rPr>
      <t>Unit4 UBW Planlegger</t>
    </r>
    <r>
      <rPr>
        <sz val="11"/>
        <color rgb="FF1B1B1C"/>
        <rFont val="Arial"/>
        <family val="2"/>
      </rPr>
      <t>.</t>
    </r>
  </si>
  <si>
    <t>|  HHU 2027 BUDGET PLANNING &amp; GOVERNANCE HIERARCHY                                                   |</t>
  </si>
  <si>
    <t>|  KD Award Letter (Tildelingsbrev Kap. 260)  ──&gt;  UiA Board Allocation Frame                        |</t>
  </si>
  <si>
    <t>|       Institutt for ledelse &amp; innovasjon  │  Institutt for rettsvitenskap  │  Institutt for økonomi  |</t>
  </si>
  <si>
    <t>|       (UBW Planlegger Dept Budgets)       │  (UBW Planlegger Dept Budgets)  │  (UBW Planlegger)        |</t>
  </si>
  <si>
    <t>2. Core Drivers &amp; Strategic Constraints for Budget 2027</t>
  </si>
  <si>
    <t>When building the 2027 budget model, the senior controller must address four critical financial mechanisms and constraints:</t>
  </si>
  <si>
    <t>Driver A: The 2-Year Etterslep (Lag) in KDs Funding Model</t>
  </si>
  <si>
    <r>
      <t>Under Ministry of Education (KD) financing rules, performance-based study credit allocations (</t>
    </r>
    <r>
      <rPr>
        <b/>
        <sz val="11"/>
        <color rgb="FF1B1B1C"/>
        <rFont val="Arial"/>
        <family val="2"/>
      </rPr>
      <t>SPE60</t>
    </r>
    <r>
      <rPr>
        <sz val="11"/>
        <color rgb="FF1B1B1C"/>
        <rFont val="Arial"/>
        <family val="2"/>
      </rPr>
      <t xml:space="preserve">) operate with a </t>
    </r>
    <r>
      <rPr>
        <b/>
        <sz val="11"/>
        <color rgb="FF1B1B1C"/>
        <rFont val="Arial"/>
        <family val="2"/>
      </rPr>
      <t>2-year lag</t>
    </r>
    <r>
      <rPr>
        <sz val="11"/>
        <color rgb="FF1B1B1C"/>
        <rFont val="Arial"/>
        <family val="2"/>
      </rPr>
      <t xml:space="preserve">. This means that </t>
    </r>
    <r>
      <rPr>
        <b/>
        <sz val="11"/>
        <color rgb="FF1B1B1C"/>
        <rFont val="Arial"/>
        <family val="2"/>
      </rPr>
      <t>actual student credit production achieved in 2025 directly determines the 2027 performance allocation</t>
    </r>
    <r>
      <rPr>
        <sz val="11"/>
        <color rgb="FF1B1B1C"/>
        <rFont val="Arial"/>
        <family val="2"/>
      </rPr>
      <t>!</t>
    </r>
  </si>
  <si>
    <r>
      <t>KD Category 1 Rate:</t>
    </r>
    <r>
      <rPr>
        <sz val="14"/>
        <color rgb="FF1B1B1C"/>
        <rFont val="Arial"/>
        <family val="2"/>
      </rPr>
      <t xml:space="preserve"> HHU’s degree programs (economics, business administration, law) fall under </t>
    </r>
    <r>
      <rPr>
        <b/>
        <sz val="14"/>
        <color rgb="FF1B1B1C"/>
        <rFont val="Arial"/>
        <family val="2"/>
      </rPr>
      <t>KD Category 1</t>
    </r>
    <r>
      <rPr>
        <sz val="14"/>
        <color rgb="FF1B1B1C"/>
        <rFont val="Arial"/>
        <family val="2"/>
      </rPr>
      <t xml:space="preserve"> at </t>
    </r>
    <r>
      <rPr>
        <b/>
        <sz val="14"/>
        <color rgb="FF1B1B1C"/>
        <rFont val="Arial"/>
        <family val="2"/>
      </rPr>
      <t>54,550 NOK per 60 SPE</t>
    </r>
    <r>
      <rPr>
        <sz val="14"/>
        <color rgb="FF1B1B1C"/>
        <rFont val="Arial"/>
        <family val="2"/>
      </rPr>
      <t>.</t>
    </r>
  </si>
  <si>
    <r>
      <t>Net Budgeting Protection:</t>
    </r>
    <r>
      <rPr>
        <sz val="14"/>
        <color rgb="FF1B1B1C"/>
        <rFont val="Arial"/>
        <family val="2"/>
      </rPr>
      <t xml:space="preserve"> Existing baseline volume is protected inside the university’s fixed basis grant (</t>
    </r>
    <r>
      <rPr>
        <i/>
        <sz val="14"/>
        <color rgb="FF1B1B1C"/>
        <rFont val="Arial"/>
        <family val="2"/>
      </rPr>
      <t>basisbevilgning</t>
    </r>
    <r>
      <rPr>
        <sz val="14"/>
        <color rgb="FF1B1B1C"/>
        <rFont val="Arial"/>
        <family val="2"/>
      </rPr>
      <t>). Only net changes in 2025 SPE60 credit volume trigger funding adjustments at the marginal Category 1 rate.</t>
    </r>
  </si>
  <si>
    <r>
      <t>HHU Student Density:</t>
    </r>
    <r>
      <rPr>
        <sz val="14"/>
        <color rgb="FF1B1B1C"/>
        <rFont val="Arial"/>
        <family val="2"/>
      </rPr>
      <t xml:space="preserve"> HHU has a high student-to-faculty density of </t>
    </r>
    <r>
      <rPr>
        <b/>
        <sz val="14"/>
        <color rgb="FF1B1B1C"/>
        <rFont val="Arial"/>
        <family val="2"/>
      </rPr>
      <t>22.3 students per academic UF FTE</t>
    </r>
    <r>
      <rPr>
        <sz val="14"/>
        <color rgb="FF1B1B1C"/>
        <rFont val="Arial"/>
        <family val="2"/>
      </rPr>
      <t>. Because Category 1 generates a relatively low marginal payout per student, student enrollment increases must be managed carefully so that additional teaching costs do not exceed marginal revenue.</t>
    </r>
  </si>
  <si>
    <t>Driver B: AACSB Accreditation Requirements vs. Abolished Publishing Incentives</t>
  </si>
  <si>
    <r>
      <t xml:space="preserve">KDs 2025 funding model incorporated historical publishing points and research income into the permanent basis grant. Although published papers no longer trigger automatic per-article cash payouts from the Ministry, </t>
    </r>
    <r>
      <rPr>
        <b/>
        <sz val="11"/>
        <color rgb="FF1B1B1C"/>
        <rFont val="Arial"/>
        <family val="2"/>
      </rPr>
      <t>HHU must maintain high research activity per academic FTE to satisfy AACSB international accreditation standards</t>
    </r>
    <r>
      <rPr>
        <sz val="11"/>
        <color rgb="FF1B1B1C"/>
        <rFont val="Arial"/>
        <family val="2"/>
      </rPr>
      <t>.</t>
    </r>
  </si>
  <si>
    <r>
      <t>Research Buy-Out (</t>
    </r>
    <r>
      <rPr>
        <b/>
        <i/>
        <sz val="14"/>
        <color rgb="FF1B1B1C"/>
        <rFont val="Arial"/>
        <family val="2"/>
      </rPr>
      <t>Frikjøp</t>
    </r>
    <r>
      <rPr>
        <b/>
        <sz val="14"/>
        <color rgb="FF1B1B1C"/>
        <rFont val="Arial"/>
        <family val="2"/>
      </rPr>
      <t>):</t>
    </r>
    <r>
      <rPr>
        <sz val="14"/>
        <color rgb="FF1B1B1C"/>
        <rFont val="Arial"/>
        <family val="2"/>
      </rPr>
      <t xml:space="preserve"> To fund PhD/Postdoc positions and give senior faculty research time, the 2027 budget must actively plan for external project buy-out in Research Council of Norway (NFR) and EU Horizon Europe projects using the </t>
    </r>
    <r>
      <rPr>
        <b/>
        <sz val="14"/>
        <color rgb="FF1B1B1C"/>
        <rFont val="Arial"/>
        <family val="2"/>
      </rPr>
      <t>TDI model</t>
    </r>
    <r>
      <rPr>
        <sz val="14"/>
        <color rgb="FF1B1B1C"/>
        <rFont val="Arial"/>
        <family val="2"/>
      </rPr>
      <t xml:space="preserve"> (including a ~22% indirect overhead markup).</t>
    </r>
  </si>
  <si>
    <t>Driver C: Restructuring Targets (Action Items T001–T004)</t>
  </si>
  <si>
    <r>
      <t xml:space="preserve">To ensure long-term sustainability across UiA, the university board enacted a binding restructuring plan targeting a </t>
    </r>
    <r>
      <rPr>
        <b/>
        <sz val="11"/>
        <color rgb="FF1B1B1C"/>
        <rFont val="Arial"/>
        <family val="2"/>
      </rPr>
      <t>4.85 MNOK annual reduction in personnel expenses by 2027</t>
    </r>
    <r>
      <rPr>
        <sz val="11"/>
        <color rgb="FF1B1B1C"/>
        <rFont val="Arial"/>
        <family val="2"/>
      </rPr>
      <t>:</t>
    </r>
  </si>
  <si>
    <r>
      <t>T001 &amp; T002 (Staffing Optimization):</t>
    </r>
    <r>
      <rPr>
        <sz val="14"/>
        <color rgb="FF1B1B1C"/>
        <rFont val="Arial"/>
        <family val="2"/>
      </rPr>
      <t xml:space="preserve"> The 2027 budget must enforce a freeze on non-critical administrative hiring (</t>
    </r>
    <r>
      <rPr>
        <b/>
        <sz val="14"/>
        <color rgb="FF1B1B1C"/>
        <rFont val="Arial"/>
        <family val="2"/>
      </rPr>
      <t>TA FTEs</t>
    </r>
    <r>
      <rPr>
        <sz val="14"/>
        <color rgb="FF1B1B1C"/>
        <rFont val="Arial"/>
        <family val="2"/>
      </rPr>
      <t xml:space="preserve">) and incorporate a mandatory </t>
    </r>
    <r>
      <rPr>
        <b/>
        <sz val="14"/>
        <color rgb="FF1B1B1C"/>
        <rFont val="Arial"/>
        <family val="2"/>
      </rPr>
      <t>3–5% vacancy factor</t>
    </r>
    <r>
      <rPr>
        <sz val="14"/>
        <color rgb="FF1B1B1C"/>
        <rFont val="Arial"/>
        <family val="2"/>
      </rPr>
      <t xml:space="preserve"> (</t>
    </r>
    <r>
      <rPr>
        <i/>
        <sz val="14"/>
        <color rgb="FF1B1B1C"/>
        <rFont val="Arial"/>
        <family val="2"/>
      </rPr>
      <t>vakansfaktor</t>
    </r>
    <r>
      <rPr>
        <sz val="14"/>
        <color rgb="FF1B1B1C"/>
        <rFont val="Arial"/>
        <family val="2"/>
      </rPr>
      <t xml:space="preserve">) in UBW Planlegger. It also reflects the strategic reallocation of </t>
    </r>
    <r>
      <rPr>
        <b/>
        <sz val="14"/>
        <color rgb="FF1B1B1C"/>
        <rFont val="Arial"/>
        <family val="2"/>
      </rPr>
      <t>5.0 academic FTEs</t>
    </r>
    <r>
      <rPr>
        <sz val="14"/>
        <color rgb="FF1B1B1C"/>
        <rFont val="Arial"/>
        <family val="2"/>
      </rPr>
      <t xml:space="preserve"> across departments.</t>
    </r>
  </si>
  <si>
    <r>
      <t>T003 &amp; T004 (BOA &amp; EVU Revenue Expansion):</t>
    </r>
    <r>
      <rPr>
        <sz val="14"/>
        <color rgb="FF1B1B1C"/>
        <rFont val="Arial"/>
        <family val="2"/>
      </rPr>
      <t xml:space="preserve"> Targets increasing external research and executive education revenue (</t>
    </r>
    <r>
      <rPr>
        <i/>
        <sz val="14"/>
        <color rgb="FF1B1B1C"/>
        <rFont val="Arial"/>
        <family val="2"/>
      </rPr>
      <t>Etter- og videreutdanning / EVU</t>
    </r>
    <r>
      <rPr>
        <sz val="14"/>
        <color rgb="FF1B1B1C"/>
        <rFont val="Arial"/>
        <family val="2"/>
      </rPr>
      <t>) towards 150.0 MNOK university-wide.</t>
    </r>
  </si>
  <si>
    <t>Driver D: The 5% Carryover Rule (Circular F-05-20)</t>
  </si>
  <si>
    <r>
      <t>Under state accounting rules (</t>
    </r>
    <r>
      <rPr>
        <b/>
        <sz val="11"/>
        <color rgb="FF1B1B1C"/>
        <rFont val="Arial"/>
        <family val="2"/>
      </rPr>
      <t>F-05-20</t>
    </r>
    <r>
      <rPr>
        <sz val="11"/>
        <color rgb="FF1B1B1C"/>
        <rFont val="Arial"/>
        <family val="2"/>
      </rPr>
      <t xml:space="preserve">), unspent government grant reserves exceeding </t>
    </r>
    <r>
      <rPr>
        <b/>
        <sz val="11"/>
        <color rgb="FF1B1B1C"/>
        <rFont val="Arial"/>
        <family val="2"/>
      </rPr>
      <t>5% of årets bevilgning</t>
    </r>
    <r>
      <rPr>
        <sz val="11"/>
        <color rgb="FF1B1B1C"/>
        <rFont val="Arial"/>
        <family val="2"/>
      </rPr>
      <t xml:space="preserve"> risk clawback by the Ministry. The controller must ensure that HHU’s portion of reserve capital (</t>
    </r>
    <r>
      <rPr>
        <i/>
        <sz val="11"/>
        <color rgb="FF1B1B1C"/>
        <rFont val="Arial"/>
        <family val="2"/>
      </rPr>
      <t>formålskapital</t>
    </r>
    <r>
      <rPr>
        <sz val="11"/>
        <color rgb="FF1B1B1C"/>
        <rFont val="Arial"/>
        <family val="2"/>
      </rPr>
      <t>) is tied to multi-year investment plans (e.g., IT systems, lab upgrades, AACSB review cycles) rather than passive unbudgeted balances.</t>
    </r>
  </si>
  <si>
    <t>3. The 2027 Budget Cycle &amp; Operational Workflow (UiA Årshjul)</t>
  </si>
  <si>
    <t>The 2027 budgeting process follows the standard four-quarter cycle of the university fiscal year:</t>
  </si>
  <si>
    <t xml:space="preserve">   [ Q1 2027: FRAME CLARIFICATION ]     Analyze KD Award Letter (Kap. 260) &amp; Central Allocation [7, 12, 15]</t>
  </si>
  <si>
    <t xml:space="preserve">   [ Q2-Q3 2027: UBW DRAFTING ]        Departmental Budgeting, Vacancy Factor &amp; 5-Yr Prognosis [7, 8, 17]</t>
  </si>
  <si>
    <t xml:space="preserve">   [ Q4 2027: SYSTEM FREEZE ]          Consolidation, Board Approval &amp; System Lock in UBW [7, 8]</t>
  </si>
  <si>
    <t xml:space="preserve">   [ 2027 OPERATING YEAR ]             Monthly Actuals vs Budget (FactGL) &amp; LE Rolling Forecasts [7, 8, 23]</t>
  </si>
  <si>
    <r>
      <t>Q1 2027 – Frame Clarification (</t>
    </r>
    <r>
      <rPr>
        <b/>
        <i/>
        <sz val="14"/>
        <color rgb="FF1B1B1C"/>
        <rFont val="Arial"/>
        <family val="2"/>
      </rPr>
      <t>Rammeavklaring</t>
    </r>
    <r>
      <rPr>
        <b/>
        <sz val="14"/>
        <color rgb="FF1B1B1C"/>
        <rFont val="Arial"/>
        <family val="2"/>
      </rPr>
      <t>):</t>
    </r>
  </si>
  <si>
    <t>Review KD allocation letter (Kap. 260) and central UiA board guidelines.</t>
  </si>
  <si>
    <r>
      <t xml:space="preserve">Calculate HHU's exact 2027 performance allocation based on final audited </t>
    </r>
    <r>
      <rPr>
        <b/>
        <sz val="14"/>
        <color rgb="FF1B1B1C"/>
        <rFont val="Arial"/>
        <family val="2"/>
      </rPr>
      <t>2025 SPE60 production</t>
    </r>
    <r>
      <rPr>
        <sz val="14"/>
        <color rgb="FF1B1B1C"/>
        <rFont val="Arial"/>
        <family val="2"/>
      </rPr>
      <t xml:space="preserve"> in the Felles Studentsystem (FS).</t>
    </r>
  </si>
  <si>
    <t>Q2–Q3 2027 – Departmental Budgeting in UBW Planlegger:</t>
  </si>
  <si>
    <r>
      <t xml:space="preserve">Department heads enter detailed staffing, teaching, and operating plans into </t>
    </r>
    <r>
      <rPr>
        <b/>
        <sz val="14"/>
        <color rgb="FF1B1B1C"/>
        <rFont val="Arial"/>
        <family val="2"/>
      </rPr>
      <t>Unit4 UBW Planlegger</t>
    </r>
    <r>
      <rPr>
        <sz val="14"/>
        <color rgb="FF1B1B1C"/>
        <rFont val="Arial"/>
        <family val="2"/>
      </rPr>
      <t>.</t>
    </r>
  </si>
  <si>
    <r>
      <t>Senior Controller verifies that every position includes exact SPK pension rates, employer national insurance contributions (</t>
    </r>
    <r>
      <rPr>
        <i/>
        <sz val="14"/>
        <color rgb="FF1B1B1C"/>
        <rFont val="Arial"/>
        <family val="2"/>
      </rPr>
      <t>arbeidsgiveravgift</t>
    </r>
    <r>
      <rPr>
        <sz val="14"/>
        <color rgb="FF1B1B1C"/>
        <rFont val="Arial"/>
        <family val="2"/>
      </rPr>
      <t xml:space="preserve">), realistic recruitment lag (3–6 months), and a </t>
    </r>
    <r>
      <rPr>
        <b/>
        <sz val="14"/>
        <color rgb="FF1B1B1C"/>
        <rFont val="Arial"/>
        <family val="2"/>
      </rPr>
      <t>3–5% central vacancy factor</t>
    </r>
    <r>
      <rPr>
        <sz val="14"/>
        <color rgb="FF1B1B1C"/>
        <rFont val="Arial"/>
        <family val="2"/>
      </rPr>
      <t>.</t>
    </r>
  </si>
  <si>
    <r>
      <t>Construct a 5-year rolling sustainability forecast (</t>
    </r>
    <r>
      <rPr>
        <b/>
        <sz val="14"/>
        <color rgb="FF1B1B1C"/>
        <rFont val="Arial"/>
        <family val="2"/>
      </rPr>
      <t>PROG2027–2031</t>
    </r>
    <r>
      <rPr>
        <sz val="14"/>
        <color rgb="FF1B1B1C"/>
        <rFont val="Arial"/>
        <family val="2"/>
      </rPr>
      <t>).</t>
    </r>
  </si>
  <si>
    <r>
      <t>Q4 2027 – Executive Review &amp; System Freeze (</t>
    </r>
    <r>
      <rPr>
        <b/>
        <i/>
        <sz val="14"/>
        <color rgb="FF1B1B1C"/>
        <rFont val="Arial"/>
        <family val="2"/>
      </rPr>
      <t>Systemfrys</t>
    </r>
    <r>
      <rPr>
        <b/>
        <sz val="14"/>
        <color rgb="FF1B1B1C"/>
        <rFont val="Arial"/>
        <family val="2"/>
      </rPr>
      <t>):</t>
    </r>
  </si>
  <si>
    <t>Reconcile HHU's consolidated draft with central finance.</t>
  </si>
  <si>
    <r>
      <t xml:space="preserve">Execute the formal </t>
    </r>
    <r>
      <rPr>
        <b/>
        <sz val="14"/>
        <color rgb="FF1B1B1C"/>
        <rFont val="Arial"/>
        <family val="2"/>
      </rPr>
      <t>system freeze</t>
    </r>
    <r>
      <rPr>
        <sz val="14"/>
        <color rgb="FF1B1B1C"/>
        <rFont val="Arial"/>
        <family val="2"/>
      </rPr>
      <t xml:space="preserve"> in UBW. Once locked, baseline budget figures (</t>
    </r>
    <r>
      <rPr>
        <b/>
        <sz val="14"/>
        <color rgb="FF1B1B1C"/>
        <rFont val="Arial"/>
        <family val="2"/>
      </rPr>
      <t>BUD2027</t>
    </r>
    <r>
      <rPr>
        <sz val="14"/>
        <color rgb="FF1B1B1C"/>
        <rFont val="Arial"/>
        <family val="2"/>
      </rPr>
      <t>) cannot be altered, establishing audit-trail integrity for subsequent variance reporting.</t>
    </r>
  </si>
  <si>
    <t>4. 2027 Financial Budget Scenario for HHU</t>
  </si>
  <si>
    <r>
      <t xml:space="preserve">Based on the 2026 baseline (276.6 MNOK Revenue / 274.4 MNOK Expenses), the table below presents the </t>
    </r>
    <r>
      <rPr>
        <b/>
        <sz val="11"/>
        <color rgb="FF1B1B1C"/>
        <rFont val="Arial"/>
        <family val="2"/>
      </rPr>
      <t>full 2027 budget reconciliation model (BUD2027)</t>
    </r>
    <r>
      <rPr>
        <sz val="11"/>
        <color rgb="FF1B1B1C"/>
        <rFont val="Arial"/>
        <family val="2"/>
      </rPr>
      <t xml:space="preserve"> prepared by the Senior Controller:</t>
    </r>
  </si>
  <si>
    <t>Budget Line Item</t>
  </si>
  <si>
    <t>Account Class / Source</t>
  </si>
  <si>
    <t>2026 Baseline (MNOK)</t>
  </si>
  <si>
    <t>2027 Adjustments / Drivers</t>
  </si>
  <si>
    <t>2027 Budget (MNOK)</t>
  </si>
  <si>
    <t>Notes &amp; Regulatory Justification</t>
  </si>
  <si>
    <t>KD State Allocation (Basis)</t>
  </si>
  <si>
    <t>Konto 3900 / Post 50</t>
  </si>
  <si>
    <t>+5.2 (Price/salary indexation ~2.1%)</t>
  </si>
  <si>
    <t>252.0</t>
  </si>
  <si>
    <t>Fixed basis protected by net budgeting.</t>
  </si>
  <si>
    <t>KD Performance (2025 SPE60 Lag)</t>
  </si>
  <si>
    <t>Konto 3900 / FS</t>
  </si>
  <si>
    <t>+1.8 (+33 SPE60 @ Kat 1 54 550 kr)</t>
  </si>
  <si>
    <t>2-year lag payout from 2025 credit growth.</t>
  </si>
  <si>
    <t>Research Grants (NFR / EU)</t>
  </si>
  <si>
    <t>Konto 3400 / 3420</t>
  </si>
  <si>
    <t>+1.8 (Increased buy-out / TDI overhead)</t>
  </si>
  <si>
    <t>20.0</t>
  </si>
  <si>
    <t>SRS 10 revenue matching project expenses.</t>
  </si>
  <si>
    <t>Commission &amp; EVU Revenue</t>
  </si>
  <si>
    <t>Konto 3600 / 3630</t>
  </si>
  <si>
    <t>+1.4 (Expanded corporate EVU portfolio)</t>
  </si>
  <si>
    <t>13.0</t>
  </si>
  <si>
    <t>SRS 9 completion-rate accounting (T003 target).</t>
  </si>
  <si>
    <t>TOTAL REVENUE (BUD2027)</t>
  </si>
  <si>
    <t>Klasse 3</t>
  </si>
  <si>
    <t>+10.2 MNOK (+3.7%)</t>
  </si>
  <si>
    <t>286.8</t>
  </si>
  <si>
    <r>
      <t>Approved 2027 Revenue Baseline (BAC)</t>
    </r>
    <r>
      <rPr>
        <sz val="11"/>
        <color rgb="FF1B1B1C"/>
        <rFont val="Arial"/>
        <family val="2"/>
      </rPr>
      <t>.</t>
    </r>
  </si>
  <si>
    <t>Personnel Expenses (Lønn)</t>
  </si>
  <si>
    <t>Konto 5000–5999</t>
  </si>
  <si>
    <t>+4.6 (Lønnssoppgjør minus T001/T002 freeze)</t>
  </si>
  <si>
    <t>184.0</t>
  </si>
  <si>
    <r>
      <t xml:space="preserve">Keeps labor share at </t>
    </r>
    <r>
      <rPr>
        <b/>
        <sz val="11"/>
        <color rgb="FF1B1B1C"/>
        <rFont val="Arial"/>
        <family val="2"/>
      </rPr>
      <t>64.2%</t>
    </r>
    <r>
      <rPr>
        <sz val="11"/>
        <color rgb="FF1B1B1C"/>
        <rFont val="Arial"/>
        <family val="2"/>
      </rPr>
      <t xml:space="preserve"> of revenue (&lt;65.0% norm).</t>
    </r>
  </si>
  <si>
    <t>Operating Expenses (Drift)</t>
  </si>
  <si>
    <t>Konto 6000–7999</t>
  </si>
  <si>
    <t>+1.4 (IT licenses, travel, AACSB audit)</t>
  </si>
  <si>
    <t>66.0</t>
  </si>
  <si>
    <t>Includes AACSB review fees (Konto 6700).</t>
  </si>
  <si>
    <t>Capital Expenditures (Capex)</t>
  </si>
  <si>
    <t>SRS 17 / Konto 1250</t>
  </si>
  <si>
    <t>+1.6 (IT infrastructure &amp; lab renewal)</t>
  </si>
  <si>
    <t>32.0</t>
  </si>
  <si>
    <t>Approved multi-year investment plan.</t>
  </si>
  <si>
    <t>TOTAL EXPENSES (BUD2027)</t>
  </si>
  <si>
    <t>Klasse 5–7</t>
  </si>
  <si>
    <t>+7.6 MNOK (+2.8%)</t>
  </si>
  <si>
    <t>282.0</t>
  </si>
  <si>
    <r>
      <t>Approved 2027 Expense Baseline (EAC)</t>
    </r>
    <r>
      <rPr>
        <sz val="11"/>
        <color rgb="FF1B1B1C"/>
        <rFont val="Arial"/>
        <family val="2"/>
      </rPr>
      <t>.</t>
    </r>
  </si>
  <si>
    <t>NET OPERATING RESULT</t>
  </si>
  <si>
    <t>Net Margin</t>
  </si>
  <si>
    <t>+2.6 MNOK Net Surplus</t>
  </si>
  <si>
    <t>+4.8</t>
  </si>
  <si>
    <r>
      <t>Positive operating contribution to UiA reserves</t>
    </r>
    <r>
      <rPr>
        <sz val="11"/>
        <color rgb="FF1B1B1C"/>
        <rFont val="Arial"/>
        <family val="2"/>
      </rPr>
      <t>.</t>
    </r>
  </si>
  <si>
    <t>5. Power BI 2027 Budgeting Measures &amp; RAG Status</t>
  </si>
  <si>
    <t>To monitor 2027 execution against the BUD2027 baseline in Power BI, the Senior Controller uses these DAX measures:</t>
  </si>
  <si>
    <t>// 1. Approved 2027 Budget Baseline (BAC)</t>
  </si>
  <si>
    <t xml:space="preserve">HHU 2027 Budget BAC = </t>
  </si>
  <si>
    <t xml:space="preserve">    SUM('FactBudget'[BudsjettBelop]),</t>
  </si>
  <si>
    <t xml:space="preserve">    'DimForecastVersion'[VersjonKode] = "BUD2027"</t>
  </si>
  <si>
    <t>// 2. 2027 YTD Budget Variance (Actual vs BUD2027)</t>
  </si>
  <si>
    <t xml:space="preserve">HHU 2027 Budget Variance YTD = </t>
  </si>
  <si>
    <t>VAR ActualYTD = CALCULATE([Actual YTD], 'DimOrganization'[Fakultetsnavn] = "Handelshøyskolen ved UiA (HHU)")</t>
  </si>
  <si>
    <t>VAR BudgetYTD = CALCULATE(SUM('FactBudget'[BudsjettBelop]), 'DimOrganization'[Fakultetsnavn] = "Handelshøyskolen ved UiA (HHU)", 'DimForecastVersion'[VersjonKode] = "BUD2027", 'DimDate'[ErActualYTD] = TRUE())</t>
  </si>
  <si>
    <t>RETURN ActualYTD - BudgetYTD</t>
  </si>
  <si>
    <t>// 3. 2027 Personnel Cost Ratio (% of Total Revenue)</t>
  </si>
  <si>
    <t xml:space="preserve">HHU 2027 Labor Share % = </t>
  </si>
  <si>
    <t>VAR Labor = CALCULATE([Forecast LE (EAC)], 'DimOrganization'[Fakultetsnavn] = "Handelshøyskolen ved UiA (HHU)", 'DimAccountHierarchy'[Nivaa1_Navn] = "Lønnskostnad")</t>
  </si>
  <si>
    <t>VAR Revenue = CALCULATE([Forecast LE (EAC)], 'DimOrganization'[Fakultetsnavn] = "Handelshøyskolen ved UiA (HHU)", 'DimAccountHierarchy'[Nivaa1_Navn] = "Salgs- og driftsinntekt")</t>
  </si>
  <si>
    <t>RETURN DIVIDE(Labor, Revenue, 0)</t>
  </si>
  <si>
    <t>// 4. HHU 2027 Executive RAG Status</t>
  </si>
  <si>
    <t xml:space="preserve">HHU 2027 RAG Status = </t>
  </si>
  <si>
    <t>VAR NetResult = CALCULATE([Sluttavvik (VAC)], 'DimOrganization'[Fakultetsnavn] = "Handelshøyskolen ved UiA (HHU)")</t>
  </si>
  <si>
    <t>VAR LaborShare = [HHU 2027 Labor Share %]</t>
  </si>
  <si>
    <t>SWITCH(</t>
  </si>
  <si>
    <t xml:space="preserve">    TRUE(),</t>
  </si>
  <si>
    <t xml:space="preserve">    NetResult &gt;= 0.0 &amp;&amp; LaborShare &lt;= 0.65, "🟢 On Track (Surplus &amp; Labor &lt; 65%)",</t>
  </si>
  <si>
    <t xml:space="preserve">    NetResult &gt;= -2.0, "🟡 Moderate Variance (Deficit &lt; 2.0 MNOK)",</t>
  </si>
  <si>
    <t xml:space="preserve">    "🔴 Critical Deficit / High Labor Share"</t>
  </si>
  <si>
    <t>6. Controller Deliverables &amp; Compliance Checklist (Seniorrådgiver Code 1364)</t>
  </si>
  <si>
    <t>To complete the 2027 budgeting process successfully, the Senior Controller delivers the following documentation:</t>
  </si>
  <si>
    <r>
      <t xml:space="preserve">[x] </t>
    </r>
    <r>
      <rPr>
        <b/>
        <sz val="14"/>
        <color rgb="FF1B1B1C"/>
        <rFont val="Arial"/>
        <family val="2"/>
      </rPr>
      <t>BUD2027 Consolidation in UBW Planlegger:</t>
    </r>
    <r>
      <rPr>
        <sz val="14"/>
        <color rgb="FF1B1B1C"/>
        <rFont val="Arial"/>
        <family val="2"/>
      </rPr>
      <t xml:space="preserve"> Verified 100% agreement between departmental staffing plans, social costs, vacancy factors, and approved faculty frames.</t>
    </r>
  </si>
  <si>
    <r>
      <t xml:space="preserve">[x] </t>
    </r>
    <r>
      <rPr>
        <b/>
        <sz val="14"/>
        <color rgb="FF1B1B1C"/>
        <rFont val="Arial"/>
        <family val="2"/>
      </rPr>
      <t>2025 SPE60 Lag Verification:</t>
    </r>
    <r>
      <rPr>
        <sz val="14"/>
        <color rgb="FF1B1B1C"/>
        <rFont val="Arial"/>
        <family val="2"/>
      </rPr>
      <t xml:space="preserve"> Verified that performance funding adjustments reflect actual audited 2025 credit production from FS.</t>
    </r>
  </si>
  <si>
    <r>
      <t xml:space="preserve">[x] </t>
    </r>
    <r>
      <rPr>
        <b/>
        <sz val="14"/>
        <color rgb="FF1B1B1C"/>
        <rFont val="Arial"/>
        <family val="2"/>
      </rPr>
      <t>TDI Overhead &amp; Buy-out Audit:</t>
    </r>
    <r>
      <rPr>
        <sz val="14"/>
        <color rgb="FF1B1B1C"/>
        <rFont val="Arial"/>
        <family val="2"/>
      </rPr>
      <t xml:space="preserve"> Checked all NFR/EU project budgets for full ~22% overhead recovery and verified that academic buy-out is offset by reduced teaching loads.</t>
    </r>
  </si>
  <si>
    <r>
      <t xml:space="preserve">[x] </t>
    </r>
    <r>
      <rPr>
        <b/>
        <sz val="14"/>
        <color rgb="FF1B1B1C"/>
        <rFont val="Arial"/>
        <family val="2"/>
      </rPr>
      <t>5% Reserve Rule Compliance (F-05-20):</t>
    </r>
    <r>
      <rPr>
        <sz val="14"/>
        <color rgb="FF1B1B1C"/>
        <rFont val="Arial"/>
        <family val="2"/>
      </rPr>
      <t xml:space="preserve"> Confirmed that HHU's capital allocations are mapped to approved multi-year investment plans (IT, labs, AACSB review).</t>
    </r>
  </si>
  <si>
    <r>
      <t xml:space="preserve">[x] </t>
    </r>
    <r>
      <rPr>
        <b/>
        <sz val="14"/>
        <color rgb="FF1B1B1C"/>
        <rFont val="Arial"/>
        <family val="2"/>
      </rPr>
      <t>System Freeze Execution:</t>
    </r>
    <r>
      <rPr>
        <sz val="14"/>
        <color rgb="FF1B1B1C"/>
        <rFont val="Arial"/>
        <family val="2"/>
      </rPr>
      <t xml:space="preserve"> Locked </t>
    </r>
    <r>
      <rPr>
        <sz val="10"/>
        <color rgb="FF303030"/>
        <rFont val="Google Sans Code"/>
        <family val="3"/>
      </rPr>
      <t>BUD2027</t>
    </r>
    <r>
      <rPr>
        <sz val="14"/>
        <color rgb="FF1B1B1C"/>
        <rFont val="Arial"/>
        <family val="2"/>
      </rPr>
      <t xml:space="preserve"> in Unit4 UBW prior to final board approval to establish an immutable baseline for 2027 variance tracking.</t>
    </r>
  </si>
  <si>
    <t>Budsjettnotat 2027: Handelshøyskolen ved UiA (HHU)</t>
  </si>
  <si>
    <r>
      <t>Til:</t>
    </r>
    <r>
      <rPr>
        <sz val="11"/>
        <color rgb="FF303030"/>
        <rFont val="Arial"/>
        <family val="2"/>
      </rPr>
      <t xml:space="preserve"> Fakultetsstyret ved Handelshøyskolen ved UiA </t>
    </r>
    <r>
      <rPr>
        <b/>
        <sz val="11"/>
        <color rgb="FF303030"/>
        <rFont val="Arial"/>
        <family val="2"/>
      </rPr>
      <t>Fra:</t>
    </r>
    <r>
      <rPr>
        <sz val="11"/>
        <color rgb="FF303030"/>
        <rFont val="Arial"/>
        <family val="2"/>
      </rPr>
      <t xml:space="preserve"> Fakultetsadministrasjonen </t>
    </r>
    <r>
      <rPr>
        <b/>
        <sz val="11"/>
        <color rgb="FF303030"/>
        <rFont val="Arial"/>
        <family val="2"/>
      </rPr>
      <t>Dato:</t>
    </r>
    <r>
      <rPr>
        <sz val="11"/>
        <color rgb="FF303030"/>
        <rFont val="Arial"/>
        <family val="2"/>
      </rPr>
      <t xml:space="preserve"> 15. oktober 2026 </t>
    </r>
    <r>
      <rPr>
        <b/>
        <sz val="11"/>
        <color rgb="FF303030"/>
        <rFont val="Arial"/>
        <family val="2"/>
      </rPr>
      <t>Saksbehandler:</t>
    </r>
    <r>
      <rPr>
        <sz val="11"/>
        <color rgb="FF303030"/>
        <rFont val="Arial"/>
        <family val="2"/>
      </rPr>
      <t xml:space="preserve"> Seniorrådgiver innen strategisk økonomistyring </t>
    </r>
    <r>
      <rPr>
        <b/>
        <sz val="11"/>
        <color rgb="FF303030"/>
        <rFont val="Arial"/>
        <family val="2"/>
      </rPr>
      <t>Gjelder:</t>
    </r>
    <r>
      <rPr>
        <sz val="11"/>
        <color rgb="FF303030"/>
        <rFont val="Arial"/>
        <family val="2"/>
      </rPr>
      <t xml:space="preserve"> Forslag til budsjettramme for 2027</t>
    </r>
  </si>
  <si>
    <t>1. Executive Summary og Vedtaksforslag</t>
  </si>
  <si>
    <t>Budsjettet for 2027 markerer fullføringen av overgangen til Kunnskapsdepartementets (KD) nye finansieringsregime. For Handelshøyskolen ved UiA (HHU) er dette budsjettet det viktigste verktøyet for å opprettholde faglig autonomi og vår internasjonale posisjon gjennom AACSB-akkrediteringen. Strategien for 2027 er todelt: Vi skal utnytte handlingsrommet i Bevilgningsfinansiert virksomhet (BFV) for å beskytte kjerneaktiviteten, samtidig som vi profesjonaliserer prosjektøkonomien for å sikre vekst gjennom eksternfinansiering (BOA).</t>
  </si>
  <si>
    <t>Hovedmåltallet for 2027 viser et planlagt driftsoverskudd som skal anvendes til strategiske investeringer fremfor passiv sparing:</t>
  </si>
  <si>
    <t>Kategori</t>
  </si>
  <si>
    <t>Budsjettert 2027 (MNOK)</t>
  </si>
  <si>
    <t>Samlede inntekter</t>
  </si>
  <si>
    <t>286,8</t>
  </si>
  <si>
    <t>Samlede kostnader</t>
  </si>
  <si>
    <t>282,0</t>
  </si>
  <si>
    <t>Forventet driftsresultat</t>
  </si>
  <si>
    <t>+4,8</t>
  </si>
  <si>
    <t>Vedtaksforslag</t>
  </si>
  <si>
    <t>Fakultetsstyret godkjenner budsjettrammen for 2027 med en samlet inntektsramme på 286,8 MNOK og kostnadsramme på 282,0 MNOK.</t>
  </si>
  <si>
    <t>Fakultetsdirektøren gis mandat til å realisere omstillingstiltakene T001–T004 for å sikre budsjettbalanse og faglig handlingsrom.</t>
  </si>
  <si>
    <t>Fakultetsledelsen gis fullmakt til å utarbeide periodiserte investeringsplaner (Capex) for å styre overskuddet i tråd med 5 %-regelen.</t>
  </si>
  <si>
    <t>Budsjettoppfølgingen skal skje i henhold til 3-30-300-regelen med månedlig rapportering av RAG-status i Power BI.</t>
  </si>
  <si>
    <t>Det økonomiske handlingsrommet i 2027 er direkte avhengig av vår evne til å navigere i de nye statlige rammebetingelsene.</t>
  </si>
  <si>
    <t>2. Rammebetingelser og KDs Finansieringsmodell 2027</t>
  </si>
  <si>
    <t>Overgangen til KDs 2025/2027-modell innebærer et skifte mot "styring i det store", der departementet overlater dimensjoneringsrisikoen i sin helhet til fakultetet.</t>
  </si>
  <si>
    <t>Strategisk analyse av finansieringslogikken:</t>
  </si>
  <si>
    <r>
      <t>Nettobudsjetteringseffekten:</t>
    </r>
    <r>
      <rPr>
        <sz val="14"/>
        <color rgb="FF303030"/>
        <rFont val="Arial"/>
        <family val="2"/>
      </rPr>
      <t xml:space="preserve"> Eksisterende studieplassvolum ligger fast i basisbevilgningen, som fungerer som et beskyttende "skjold" mot devalueringsrisiko. Det er kritisk å forstå at basisbevilgningen dekker våre reelle historiske kostnader, mens nye tildelinger og produksjonsendringer følger de nye satsene.</t>
    </r>
  </si>
  <si>
    <r>
      <t>Kategori 1-satser (54 550 kr per 60 SPE):</t>
    </r>
    <r>
      <rPr>
        <sz val="14"/>
        <color rgb="FF303030"/>
        <rFont val="Arial"/>
        <family val="2"/>
      </rPr>
      <t xml:space="preserve"> Våre kjernefag innen økonomi, ledelse og juss er plassert i laveste kategori. Denne satsen reflekterer et insentiv for endring, ikke den reelle kostnaden ved utdanning av høy kvalitet. Å skalere opp volum utelukkende basert på denne satsen vil skape et strukturelt underskudd på sikt.</t>
    </r>
  </si>
  <si>
    <r>
      <t>2-års etterslep på SPE60:</t>
    </r>
    <r>
      <rPr>
        <sz val="14"/>
        <color rgb="FF303030"/>
        <rFont val="Arial"/>
        <family val="2"/>
      </rPr>
      <t xml:space="preserve"> Inntektene i 2027 er låst til produksjonen i 2025. Dette krever at vi i dag styrer gjennomføringsgraden for 3 120 SPE60-ekvivalenter for å sikre inntektsstrømmen i 2029.</t>
    </r>
  </si>
  <si>
    <r>
      <t>Konklusjon:</t>
    </r>
    <r>
      <rPr>
        <sz val="11"/>
        <color rgb="FF303030"/>
        <rFont val="Arial"/>
        <family val="2"/>
      </rPr>
      <t xml:space="preserve"> Fakultetet må balansere volumvekst strengt mot marginalkostnader, da de nye kategorisatsene undergraver finansieringen av tettere studentoppfølging.</t>
    </r>
  </si>
  <si>
    <t>3. Inntekt- og Kostnadsanalyse (BUD2027 vs. 2026 Baseline)</t>
  </si>
  <si>
    <t>For å sikre sporbarhet og dataintegritet benyttes driverbasert budsjettering, der endringer fra 2026-baseline forklares gjennom aktivitet og lønnsutvikling.</t>
  </si>
  <si>
    <r>
      <t xml:space="preserve">| Finansiell post | 2026 Baseline (MNOK) | Budsjett 2027 (MNOK) | Endring (%) | | :--- | :--- | : :--- | :--- | | </t>
    </r>
    <r>
      <rPr>
        <b/>
        <sz val="11"/>
        <color rgb="FF303030"/>
        <rFont val="Arial"/>
        <family val="2"/>
      </rPr>
      <t>Statlig ramme og BOA-inntekt</t>
    </r>
    <r>
      <rPr>
        <sz val="11"/>
        <color rgb="FF303030"/>
        <rFont val="Arial"/>
        <family val="2"/>
      </rPr>
      <t xml:space="preserve"> | 276,6 | 286,8 | +3,7 % | | </t>
    </r>
    <r>
      <rPr>
        <b/>
        <sz val="11"/>
        <color rgb="FF303030"/>
        <rFont val="Arial"/>
        <family val="2"/>
      </rPr>
      <t>Lønnskostnader</t>
    </r>
    <r>
      <rPr>
        <sz val="11"/>
        <color rgb="FF303030"/>
        <rFont val="Arial"/>
        <family val="2"/>
      </rPr>
      <t xml:space="preserve"> | 180,9 | 184,0 | +1,7 % | | </t>
    </r>
    <r>
      <rPr>
        <b/>
        <sz val="11"/>
        <color rgb="FF303030"/>
        <rFont val="Arial"/>
        <family val="2"/>
      </rPr>
      <t>Drift (inkl. AACSB-avsetning)</t>
    </r>
    <r>
      <rPr>
        <sz val="11"/>
        <color rgb="FF303030"/>
        <rFont val="Arial"/>
        <family val="2"/>
      </rPr>
      <t xml:space="preserve"> | 61,5 | 66,0 | +7,3 % | | </t>
    </r>
    <r>
      <rPr>
        <b/>
        <sz val="11"/>
        <color rgb="FF303030"/>
        <rFont val="Arial"/>
        <family val="2"/>
      </rPr>
      <t>Investeringer (Capex)</t>
    </r>
    <r>
      <rPr>
        <sz val="11"/>
        <color rgb="FF303030"/>
        <rFont val="Arial"/>
        <family val="2"/>
      </rPr>
      <t xml:space="preserve"> | 32,0 | 32,0 | 0,0 % | | </t>
    </r>
    <r>
      <rPr>
        <b/>
        <sz val="11"/>
        <color rgb="FF303030"/>
        <rFont val="Arial"/>
        <family val="2"/>
      </rPr>
      <t>Netto driftsresultat</t>
    </r>
    <r>
      <rPr>
        <sz val="11"/>
        <color rgb="FF303030"/>
        <rFont val="Arial"/>
        <family val="2"/>
      </rPr>
      <t xml:space="preserve"> | </t>
    </r>
    <r>
      <rPr>
        <b/>
        <sz val="11"/>
        <color rgb="FF303030"/>
        <rFont val="Arial"/>
        <family val="2"/>
      </rPr>
      <t>+2,2</t>
    </r>
    <r>
      <rPr>
        <sz val="11"/>
        <color rgb="FF303030"/>
        <rFont val="Arial"/>
        <family val="2"/>
      </rPr>
      <t xml:space="preserve"> | </t>
    </r>
    <r>
      <rPr>
        <b/>
        <sz val="11"/>
        <color rgb="FF303030"/>
        <rFont val="Arial"/>
        <family val="2"/>
      </rPr>
      <t>+4,8</t>
    </r>
    <r>
      <rPr>
        <sz val="11"/>
        <color rgb="FF303030"/>
        <rFont val="Arial"/>
        <family val="2"/>
      </rPr>
      <t xml:space="preserve"> | </t>
    </r>
    <r>
      <rPr>
        <b/>
        <sz val="11"/>
        <color rgb="FF303030"/>
        <rFont val="Arial"/>
        <family val="2"/>
      </rPr>
      <t>+118 %</t>
    </r>
    <r>
      <rPr>
        <sz val="11"/>
        <color rgb="FF303030"/>
        <rFont val="Arial"/>
        <family val="2"/>
      </rPr>
      <t xml:space="preserve"> |</t>
    </r>
  </si>
  <si>
    <t>"So What?"-analyse av lønnsandelen</t>
  </si>
  <si>
    <r>
      <t xml:space="preserve">Lønnskostnadene på 184,0 MNOK tilsvarer en lønnsandel på </t>
    </r>
    <r>
      <rPr>
        <b/>
        <sz val="11"/>
        <color rgb="FF303030"/>
        <rFont val="Arial"/>
        <family val="2"/>
      </rPr>
      <t>64,2 %</t>
    </r>
    <r>
      <rPr>
        <sz val="11"/>
        <color rgb="FF303030"/>
        <rFont val="Arial"/>
        <family val="2"/>
      </rPr>
      <t>. Dette er under fakultetets kritiske tak på 65 % og gir HHU nødvendig strategisk fleksibilitet.</t>
    </r>
  </si>
  <si>
    <r>
      <t>Strategisk betydning:</t>
    </r>
    <r>
      <rPr>
        <sz val="14"/>
        <color rgb="FF303030"/>
        <rFont val="Arial"/>
        <family val="2"/>
      </rPr>
      <t xml:space="preserve"> En lønnsandel under 65 % betyr at vi kan absorbere uforutsett prisvekst eller svikt i resultatbevilgningen uten å ty til umiddelbar ansettelsesstopp. Dette handlingsrommet skal brukes til å styrke forskningskapasiteten gjennom målrettede rekrutteringer i tråd med bemanningsplanen.</t>
    </r>
  </si>
  <si>
    <t>4. Bemanning, Lærertetthet og Omstillingstiltak</t>
  </si>
  <si>
    <t>Årsverksstyring er vårt kraftigste verktøy for økonomisk bærekraft. Bemanningsplanen for 2027 er dimensjonert for å håndtere 3 450 registrerte studenter med høy faglig kvalitet.</t>
  </si>
  <si>
    <t>Nøkkeltall for bemanning:</t>
  </si>
  <si>
    <r>
      <t>Totalt 230 årsverk:</t>
    </r>
    <r>
      <rPr>
        <sz val="14"/>
        <color rgb="FF303030"/>
        <rFont val="Arial"/>
        <family val="2"/>
      </rPr>
      <t xml:space="preserve"> 155 UF (vitenskapelige) og 75 TA (teknisk-administrative).</t>
    </r>
  </si>
  <si>
    <r>
      <t>Lærertetthet:</t>
    </r>
    <r>
      <rPr>
        <sz val="14"/>
        <color rgb="FF303030"/>
        <rFont val="Arial"/>
        <family val="2"/>
      </rPr>
      <t xml:space="preserve"> 22,3 studenter per UF-årsverk. Dette er en sunn ratio som underbygger kravene i AACSB-akkrediteringen.</t>
    </r>
  </si>
  <si>
    <r>
      <t>Vakansfaktor:</t>
    </r>
    <r>
      <rPr>
        <sz val="14"/>
        <color rgb="FF303030"/>
        <rFont val="Arial"/>
        <family val="2"/>
      </rPr>
      <t xml:space="preserve"> Det er lagt inn en sentral vakansreduksjon på </t>
    </r>
    <r>
      <rPr>
        <b/>
        <sz val="14"/>
        <color rgb="FF303030"/>
        <rFont val="Arial"/>
        <family val="2"/>
      </rPr>
      <t>3–5 %</t>
    </r>
    <r>
      <rPr>
        <sz val="14"/>
        <color rgb="FF303030"/>
        <rFont val="Arial"/>
        <family val="2"/>
      </rPr>
      <t xml:space="preserve"> i budsjettet. Dette er et proaktivt grep for å unngå overbudsjettering av lønn grunnet naturlig rekrutteringstid.</t>
    </r>
  </si>
  <si>
    <t>Omstillingstiltak (T001–T004):</t>
  </si>
  <si>
    <t>For å eliminere restavvik og styrke driftsmarginen skal fakultetet:</t>
  </si>
  <si>
    <r>
      <t>Sanere</t>
    </r>
    <r>
      <rPr>
        <sz val="14"/>
        <color rgb="FF303030"/>
        <rFont val="Arial"/>
        <family val="2"/>
      </rPr>
      <t xml:space="preserve"> ulønnsomme emner med lav studenttilstrømning gjennom en kritisk porteføljeanalyse.</t>
    </r>
  </si>
  <si>
    <r>
      <t>Optimalisere</t>
    </r>
    <r>
      <rPr>
        <sz val="14"/>
        <color rgb="FF303030"/>
        <rFont val="Arial"/>
        <family val="2"/>
      </rPr>
      <t xml:space="preserve"> studieporteføljen for å øke SPE60-produksjonen per UF-årsverk.</t>
    </r>
  </si>
  <si>
    <r>
      <t>Stramme inn</t>
    </r>
    <r>
      <rPr>
        <sz val="14"/>
        <color rgb="FF303030"/>
        <rFont val="Arial"/>
        <family val="2"/>
      </rPr>
      <t xml:space="preserve"> på administrative støtteprosesser ved å utnytte fellestjenester i større grad. Disse tiltakene overvåkes i </t>
    </r>
    <r>
      <rPr>
        <i/>
        <sz val="14"/>
        <color rgb="FF303030"/>
        <rFont val="Arial"/>
        <family val="2"/>
      </rPr>
      <t>FactAction</t>
    </r>
    <r>
      <rPr>
        <sz val="14"/>
        <color rgb="FF303030"/>
        <rFont val="Arial"/>
        <family val="2"/>
      </rPr>
      <t>-tabellen for å sikre at realiseringsgraden korresponderer med budsjettmålene.</t>
    </r>
  </si>
  <si>
    <t>5. Forskning, BOA-prosjektøkonomi og AACSB</t>
  </si>
  <si>
    <t>HHU må balansere kravet til AACSB-akkreditering mot fraværet av nasjonale publiseringsinsentiver. Løsningen er en offensiv satsing på eksternfinansiering.</t>
  </si>
  <si>
    <t>Strategiske suksessfaktorer:</t>
  </si>
  <si>
    <r>
      <t>TDI-modellen og overhead:</t>
    </r>
    <r>
      <rPr>
        <sz val="14"/>
        <color rgb="FF303030"/>
        <rFont val="Arial"/>
        <family val="2"/>
      </rPr>
      <t xml:space="preserve"> Vi benytter et påslag for indirekte kostnader (overhead) på ca. </t>
    </r>
    <r>
      <rPr>
        <b/>
        <sz val="14"/>
        <color rgb="FF303030"/>
        <rFont val="Arial"/>
        <family val="2"/>
      </rPr>
      <t>22 %</t>
    </r>
    <r>
      <rPr>
        <sz val="14"/>
        <color rgb="FF303030"/>
        <rFont val="Arial"/>
        <family val="2"/>
      </rPr>
      <t>. Det er en strategisk balansegang: For høy overhead svekker våre forskeres konkurransekraft i NFR/EU-søknader, mens for lav dekningsgrad fører til at BFV-midler subsidierer eksterne oppdragsgivere.</t>
    </r>
  </si>
  <si>
    <r>
      <t>Frikjøp (Buy-out):</t>
    </r>
    <r>
      <rPr>
        <sz val="14"/>
        <color rgb="FF303030"/>
        <rFont val="Arial"/>
        <family val="2"/>
      </rPr>
      <t xml:space="preserve"> Aktiv bruk av frikjøp er obligatorisk for å flytte lønnskostnader fra basisbudsjettet og skape rom for nye rekrutteringsstillinger.</t>
    </r>
  </si>
  <si>
    <t>Regnskapsmessig risiko (SRS 9 vs. SRS 10):</t>
  </si>
  <si>
    <r>
      <t>SRS 10 (Bidrag):</t>
    </r>
    <r>
      <rPr>
        <sz val="14"/>
        <color rgb="FF303030"/>
        <rFont val="Arial"/>
        <family val="2"/>
      </rPr>
      <t xml:space="preserve"> Inntektsføres i takt med kostnader (motsatt sammenstilling).</t>
    </r>
  </si>
  <si>
    <r>
      <t>SRS 9 (Oppdrag/EVU):</t>
    </r>
    <r>
      <rPr>
        <sz val="14"/>
        <color rgb="FF303030"/>
        <rFont val="Arial"/>
        <family val="2"/>
      </rPr>
      <t xml:space="preserve"> Her ligger den største risikoen. Eventuelle underskudd i oppdragsprosjekter utløser krav om umiddelbar </t>
    </r>
    <r>
      <rPr>
        <b/>
        <sz val="14"/>
        <color rgb="FF303030"/>
        <rFont val="Arial"/>
        <family val="2"/>
      </rPr>
      <t>avsetning for forventet tap (Konto 7790/2800)</t>
    </r>
    <r>
      <rPr>
        <sz val="14"/>
        <color rgb="FF303030"/>
        <rFont val="Arial"/>
        <family val="2"/>
      </rPr>
      <t>. Dette vil direkte belaste overskuddet på 4,8 MNOK og må unngås gjennom tett prosjektcontrolling.</t>
    </r>
  </si>
  <si>
    <t>6. Risikovurdering, 5 %-regelen og Digital Oppfølging</t>
  </si>
  <si>
    <t>Controllerens rolle er å fungere som strategisk navigatør gjennom Power BI-dashbordet, der vi beveger oss fra data til handling.</t>
  </si>
  <si>
    <t>Kritiske kontrollpunkter:</t>
  </si>
  <si>
    <r>
      <t>5 %-regelen (F-05-20) som planleggingsverktøy:</t>
    </r>
    <r>
      <rPr>
        <sz val="14"/>
        <color rgb="FF303030"/>
        <rFont val="Arial"/>
        <family val="2"/>
      </rPr>
      <t xml:space="preserve"> Et overskudd på 4,8 MNOK utgjør en risiko for inndragning dersom det ikke er knyttet til forpliktelser. Vi skal bruke 5 %-regelen som et "skjold" ved å etablere </t>
    </r>
    <r>
      <rPr>
        <b/>
        <sz val="14"/>
        <color rgb="FF303030"/>
        <rFont val="Arial"/>
        <family val="2"/>
      </rPr>
      <t>flerårige investeringsplaner (Capex)</t>
    </r>
    <r>
      <rPr>
        <sz val="14"/>
        <color rgb="FF303030"/>
        <rFont val="Arial"/>
        <family val="2"/>
      </rPr>
      <t>. Dette forhindrer "desember-panikk" og sikrer at midlene investeres i lab-infrastruktur og digital omstilling fremfor kortsiktige utstyrskjøp.</t>
    </r>
  </si>
  <si>
    <r>
      <t>Power BI &amp; 3-30-300-regelen:</t>
    </r>
    <r>
      <rPr>
        <sz val="14"/>
        <color rgb="FF303030"/>
        <rFont val="Arial"/>
        <family val="2"/>
      </rPr>
      <t xml:space="preserve"> Ledelsen skal overvåke budsjettavvik via dashbordet:</t>
    </r>
  </si>
  <si>
    <r>
      <t>Grønn (&lt;= 2 %):</t>
    </r>
    <r>
      <rPr>
        <sz val="14"/>
        <color rgb="FF303030"/>
        <rFont val="Arial"/>
        <family val="2"/>
      </rPr>
      <t xml:space="preserve"> Planmessig drift.</t>
    </r>
  </si>
  <si>
    <r>
      <t>Gul (2-5 %):</t>
    </r>
    <r>
      <rPr>
        <sz val="14"/>
        <color rgb="FF303030"/>
        <rFont val="Arial"/>
        <family val="2"/>
      </rPr>
      <t xml:space="preserve"> Krever observasjon og interne justeringer.</t>
    </r>
  </si>
  <si>
    <r>
      <t>Rød (&gt; 5 %):</t>
    </r>
    <r>
      <rPr>
        <sz val="14"/>
        <color rgb="FF303030"/>
        <rFont val="Arial"/>
        <family val="2"/>
      </rPr>
      <t xml:space="preserve"> Kritisk avvik som krever skriftlig rapport og umiddelbare tiltak i </t>
    </r>
    <r>
      <rPr>
        <i/>
        <sz val="14"/>
        <color rgb="FF303030"/>
        <rFont val="Arial"/>
        <family val="2"/>
      </rPr>
      <t>FactAction</t>
    </r>
    <r>
      <rPr>
        <sz val="14"/>
        <color rgb="FF303030"/>
        <rFont val="Arial"/>
        <family val="2"/>
      </rPr>
      <t>.</t>
    </r>
  </si>
  <si>
    <t>Langsiktige utsikter 2027–2031:</t>
  </si>
  <si>
    <r>
      <t>Dimensjoneringsrisiko:</t>
    </r>
    <r>
      <rPr>
        <sz val="14"/>
        <color rgb="FF303030"/>
        <rFont val="Arial"/>
        <family val="2"/>
      </rPr>
      <t xml:space="preserve"> Kontinuerlig vurdering av studieporteføljen opp mot de lave kategorisatsene.</t>
    </r>
  </si>
  <si>
    <r>
      <t>Økonomisk bærekraft:</t>
    </r>
    <r>
      <rPr>
        <sz val="14"/>
        <color rgb="FF303030"/>
        <rFont val="Arial"/>
        <family val="2"/>
      </rPr>
      <t xml:space="preserve"> Det positive resultatet i 2027 er en nødvendig buffer for fremtidige svingninger i KDs resultatbevilgning.</t>
    </r>
  </si>
  <si>
    <r>
      <t>BOA-vekst:</t>
    </r>
    <r>
      <rPr>
        <sz val="14"/>
        <color rgb="FF303030"/>
        <rFont val="Arial"/>
        <family val="2"/>
      </rPr>
      <t xml:space="preserve"> Økt eksternfinansiering er den eneste veien til betydelig kapasitetsøkning i forskning.</t>
    </r>
  </si>
  <si>
    <r>
      <t>Oppsummering:</t>
    </r>
    <r>
      <rPr>
        <sz val="11"/>
        <color rgb="FF303030"/>
        <rFont val="Arial"/>
        <family val="2"/>
      </rPr>
      <t xml:space="preserve"> Budsjett 2027 ruster Handelshøyskolen ved UiA for fremtiden. Ved å kombinere streng kostnadskontroll med offensive investeringer og profesjonalisert prosjektøkonomi, sikrer vi HHUs posisjon som et autonomt og internasjonalt anerkjent fakultet.</t>
    </r>
  </si>
  <si>
    <r>
      <t xml:space="preserve">I offentlig sektor og universitets- og høgskolesektoren (UH) har budsjettering beveget seg fra passiv historisk rammetildeling til strategisk virksomhetsstyring. Nedenfor gis en gjennomgang av de mest sentrale budsjetteringsmetodene, følges opp av en konkret anbefaling for </t>
    </r>
    <r>
      <rPr>
        <b/>
        <sz val="11"/>
        <color rgb="FF303030"/>
        <rFont val="Arial"/>
        <family val="2"/>
      </rPr>
      <t>Handelshøyskolen ved UiA (HHU)</t>
    </r>
    <r>
      <rPr>
        <sz val="11"/>
        <color rgb="FF303030"/>
        <rFont val="Arial"/>
        <family val="2"/>
      </rPr>
      <t>.</t>
    </r>
  </si>
  <si>
    <t>1. Oversikt over ulike budsjetteringsmetoder</t>
  </si>
  <si>
    <t>A. Historisk / Inkrementell budsjettering (Rammebudsjettering)</t>
  </si>
  <si>
    <t>B. Driverbasert budsjettering (Driver-Based Budgeting)</t>
  </si>
  <si>
    <t>C. Totalkostnadsbudsjettering (TDI-modellen for BOA)</t>
  </si>
  <si>
    <t>D. Rullende prognoser (Rolling Forecast / Latest Estimate – LE)</t>
  </si>
  <si>
    <t>E. Nullbasert budsjettering (Zero-Based Budgeting – ZBB)</t>
  </si>
  <si>
    <t>2. Anbefalt budsjettmodell for HHU</t>
  </si>
  <si>
    <r>
      <t xml:space="preserve">For </t>
    </r>
    <r>
      <rPr>
        <b/>
        <sz val="11"/>
        <color rgb="FF303030"/>
        <rFont val="Arial"/>
        <family val="2"/>
      </rPr>
      <t>Handelshøyskolen ved UiA (HHU)</t>
    </r>
    <r>
      <rPr>
        <sz val="11"/>
        <color rgb="FF303030"/>
        <rFont val="Arial"/>
        <family val="2"/>
      </rPr>
      <t xml:space="preserve"> anbefales en </t>
    </r>
    <r>
      <rPr>
        <b/>
        <sz val="11"/>
        <color rgb="FF303030"/>
        <rFont val="Arial"/>
        <family val="2"/>
      </rPr>
      <t>hybrid modell</t>
    </r>
    <r>
      <rPr>
        <sz val="11"/>
        <color rgb="FF303030"/>
        <rFont val="Arial"/>
        <family val="2"/>
      </rPr>
      <t xml:space="preserve"> som kombinerer </t>
    </r>
    <r>
      <rPr>
        <b/>
        <sz val="11"/>
        <color rgb="FF303030"/>
        <rFont val="Arial"/>
        <family val="2"/>
      </rPr>
      <t>Driverbasert budsjettering</t>
    </r>
    <r>
      <rPr>
        <sz val="11"/>
        <color rgb="FF303030"/>
        <rFont val="Arial"/>
        <family val="2"/>
      </rPr>
      <t xml:space="preserve">, </t>
    </r>
    <r>
      <rPr>
        <b/>
        <sz val="11"/>
        <color rgb="FF303030"/>
        <rFont val="Arial"/>
        <family val="2"/>
      </rPr>
      <t>TDI-modellen for BOA</t>
    </r>
    <r>
      <rPr>
        <sz val="11"/>
        <color rgb="FF303030"/>
        <rFont val="Arial"/>
        <family val="2"/>
      </rPr>
      <t xml:space="preserve"> og </t>
    </r>
    <r>
      <rPr>
        <b/>
        <sz val="11"/>
        <color rgb="FF303030"/>
        <rFont val="Arial"/>
        <family val="2"/>
      </rPr>
      <t>Rullende prognoser (LE)</t>
    </r>
    <r>
      <rPr>
        <sz val="11"/>
        <color rgb="FF303030"/>
        <rFont val="Arial"/>
        <family val="2"/>
      </rPr>
      <t>. Modelldesignet må tilpasses de spesifikke rammebetingelsene som gjelder for fakultetet:</t>
    </r>
  </si>
  <si>
    <t xml:space="preserve">   [ DRIVERBASET BEMANNING ]     Årsverksstyring i UBW (UF/TA, vakansfaktor 3-5%, ansettelsestid)</t>
  </si>
  <si>
    <t xml:space="preserve">              │</t>
  </si>
  <si>
    <t xml:space="preserve">              ▼</t>
  </si>
  <si>
    <t xml:space="preserve">   [ KD 2025 VOLUMMODELL ]       SPE60-produksjon x Kat. 1 (54 550 kr) m/ 2-års etterslep &amp; nettobudsjettering</t>
  </si>
  <si>
    <t xml:space="preserve">   [ TDI &amp; FRIKJØP (BOA) ]       Prosjektfrikjøp overfører lønn fra basis til NFR/EU m/ overhead</t>
  </si>
  <si>
    <t xml:space="preserve">   [ LE &amp; RULLENDE PROGNOSE ]    Oppfølging T1/T2/T3 i Power BI mot 5 %-regelen (F-05-20)</t>
  </si>
  <si>
    <t>Hvorfor denne modellen er optimal for HHU:</t>
  </si>
  <si>
    <t>Presis styring av lønnskostnader (Driverbasert bemanningsplanlegging):</t>
  </si>
  <si>
    <t>Lønn utgjør ca. 65–71 % av totalkostnadene ved UiA og HHU.</t>
  </si>
  <si>
    <t>Håndtering av KDs 2025-modell og lærertetthet:</t>
  </si>
  <si>
    <t>Kontinuerlig risikostyring og 5 %-regelen (F-05-20):</t>
  </si>
  <si>
    <t>Oppsummering for Senior Controller ved HHU</t>
  </si>
  <si>
    <t>Anbefalt Metode</t>
  </si>
  <si>
    <t>Hovedfokus / Styringssignal</t>
  </si>
  <si>
    <t>Lønn &amp; Bemanning</t>
  </si>
  <si>
    <t>Driverbasert (UBW Planlegger)</t>
  </si>
  <si>
    <t>Stillingsgrupper, sosiale kostnader, 3–5 % vakansfaktor, 3–6 mnd rekrutteringstid.</t>
  </si>
  <si>
    <t>Utdanningsinntekter</t>
  </si>
  <si>
    <t>Driverbasert (KD 2025-modell)</t>
  </si>
  <si>
    <t>SPE60-produksjon, 2-års etterslep, Kategori 1 (54 550 kr) og nettobudsjettering.</t>
  </si>
  <si>
    <t>Ekstern Forskning (BOA)</t>
  </si>
  <si>
    <t>TDI-modellen</t>
  </si>
  <si>
    <r>
      <t>Frikjøpsbalanse (</t>
    </r>
    <r>
      <rPr>
        <i/>
        <sz val="11"/>
        <color rgb="FF303030"/>
        <rFont val="Arial"/>
        <family val="2"/>
      </rPr>
      <t>buy-out</t>
    </r>
    <r>
      <rPr>
        <sz val="11"/>
        <color rgb="FF303030"/>
        <rFont val="Arial"/>
        <family val="2"/>
      </rPr>
      <t>), korrekt SRS 10-periodisering og full overhead-dekning.</t>
    </r>
  </si>
  <si>
    <t>Løpende Oppfølging</t>
  </si>
  <si>
    <t>Rullende prognoser (LE) &amp; Power BI</t>
  </si>
  <si>
    <t>T3 Cutoff, avviksdrivere, RAG-status og overvåking mot 5 %-regelen (F-05-20).</t>
  </si>
  <si>
    <r>
      <t>Konsept:</t>
    </r>
    <r>
      <rPr>
        <sz val="11"/>
        <color rgb="FF303030"/>
        <rFont val="Arial"/>
        <family val="2"/>
      </rPr>
      <t xml:space="preserve"> Fjorårets budsjett eller regnskap legges til grunn som baseline, og justeres marginalt opp eller ned basert på generell pris- og lønnsvekst (deflator) samt flate rammekutt (f.eks. ABE-kutt).</t>
    </r>
  </si>
  <si>
    <r>
      <t>Fordeler:</t>
    </r>
    <r>
      <rPr>
        <sz val="11"/>
        <color rgb="FF303030"/>
        <rFont val="Arial"/>
        <family val="2"/>
      </rPr>
      <t xml:space="preserve"> Enkel å gjennomføre, krever lite ressursbruk.</t>
    </r>
  </si>
  <si>
    <r>
      <t>Ulemper:</t>
    </r>
    <r>
      <rPr>
        <sz val="11"/>
        <color rgb="FF303030"/>
        <rFont val="Arial"/>
        <family val="2"/>
      </rPr>
      <t xml:space="preserve"> Konserverer historiske skjevheter, skjermer ineffektive aktiviteter og fanger i liten grad opp reelle endringer i studieproduksjon eller bemanningsstruktur.</t>
    </r>
  </si>
  <si>
    <r>
      <t>Konsept:</t>
    </r>
    <r>
      <rPr>
        <sz val="11"/>
        <color rgb="FF303030"/>
        <rFont val="Arial"/>
        <family val="2"/>
      </rPr>
      <t xml:space="preserve"> Budsjettet bygges opp fra underliggende operasjonelle volum- og aktivitetsdrivere.</t>
    </r>
  </si>
  <si>
    <r>
      <t>Inntektssiden</t>
    </r>
    <r>
      <rPr>
        <sz val="11"/>
        <color rgb="FF303030"/>
        <rFont val="Arial"/>
        <family val="2"/>
      </rPr>
      <t xml:space="preserve"> styres av KDs finansieringsmodell (antall avlagte studiepoeng/SPE60, kandidater og PhD-er).</t>
    </r>
  </si>
  <si>
    <r>
      <t>Kostnadssiden</t>
    </r>
    <r>
      <rPr>
        <sz val="11"/>
        <color rgb="FF303030"/>
        <rFont val="Arial"/>
        <family val="2"/>
      </rPr>
      <t xml:space="preserve"> styres av antall årsverk (UF/TA), lønnstrinn, sosiale kostnader, antall emner og undervisningstimer.</t>
    </r>
  </si>
  <si>
    <r>
      <t>Fordeler:</t>
    </r>
    <r>
      <rPr>
        <sz val="11"/>
        <color rgb="FF303030"/>
        <rFont val="Arial"/>
        <family val="2"/>
      </rPr>
      <t xml:space="preserve"> Høy presisjon, direkte kobling mellom faglig aktivitet og økonomisk konsekvens, og mulighet for årsakssammenhengende avviksanalyser (volum- vs. prisavvik).</t>
    </r>
  </si>
  <si>
    <r>
      <t>Ulemper:</t>
    </r>
    <r>
      <rPr>
        <sz val="11"/>
        <color rgb="FF303030"/>
        <rFont val="Arial"/>
        <family val="2"/>
      </rPr>
      <t xml:space="preserve"> Krever god datakvalitet på tvers av fagsystemer (Unit4 ERP, SAP Lønn, FS).</t>
    </r>
  </si>
  <si>
    <r>
      <t>Konsept:</t>
    </r>
    <r>
      <rPr>
        <sz val="11"/>
        <color rgb="FF303030"/>
        <rFont val="Arial"/>
        <family val="2"/>
      </rPr>
      <t xml:space="preserve"> Benyttes spesifikt for eksternfinansiert forskning og oppdrag (Bidrags- og oppdragsaktivitet / BOA). Beregner alle direkte prosjektkostnader (lønn, reiser, drift) pluss et standardisert påslag for indirekte felleskostnader (overhead for husleie, IT, bibliotek og administrasjon – typisk ~22 %).</t>
    </r>
  </si>
  <si>
    <r>
      <t>Fordeler:</t>
    </r>
    <r>
      <rPr>
        <sz val="11"/>
        <color rgb="FF303030"/>
        <rFont val="Arial"/>
        <family val="2"/>
      </rPr>
      <t xml:space="preserve"> Sikrer at eksterne prosjekter ikke underfinansieres eller subsidieres ulovlig av grunnbevilgningen, samt synliggjør verdien av frikjøp (</t>
    </r>
    <r>
      <rPr>
        <i/>
        <sz val="11"/>
        <color rgb="FF303030"/>
        <rFont val="Arial"/>
        <family val="2"/>
      </rPr>
      <t>buy-out</t>
    </r>
    <r>
      <rPr>
        <sz val="11"/>
        <color rgb="FF303030"/>
        <rFont val="Arial"/>
        <family val="2"/>
      </rPr>
      <t>).</t>
    </r>
  </si>
  <si>
    <r>
      <t>Konsept:</t>
    </r>
    <r>
      <rPr>
        <sz val="11"/>
        <color rgb="FF303030"/>
        <rFont val="Arial"/>
        <family val="2"/>
      </rPr>
      <t xml:space="preserve"> I stedet for å behandle årsbudsjettet som en låst, statisk størrelse gjennom regnskapsåret, oppdateres forventet årsresultat (Latest Estimate / EAC) kontinuerlig ved tertialene (T1/T2/T3) ved å kombinere bokført regnskap (Actuals YTD) med oppdaterte estimater for resten av året (ETC).</t>
    </r>
  </si>
  <si>
    <r>
      <t>Fordeler:</t>
    </r>
    <r>
      <rPr>
        <sz val="11"/>
        <color rgb="FF303030"/>
        <rFont val="Arial"/>
        <family val="2"/>
      </rPr>
      <t xml:space="preserve"> Gjøre ledelsen i stand til å fange opp avvik tidlig og iverksette korrigerende tiltak før året er omme.</t>
    </r>
  </si>
  <si>
    <r>
      <t>Konsept:</t>
    </r>
    <r>
      <rPr>
        <sz val="11"/>
        <color rgb="FF303030"/>
        <rFont val="Arial"/>
        <family val="2"/>
      </rPr>
      <t xml:space="preserve"> Hver enhet må begrunne alle sine kostnader fra «null» ved hver nye budsjettrunde, uavhengig av historisk nivå.</t>
    </r>
  </si>
  <si>
    <r>
      <t>Fordeler:</t>
    </r>
    <r>
      <rPr>
        <sz val="11"/>
        <color rgb="FF303030"/>
        <rFont val="Arial"/>
        <family val="2"/>
      </rPr>
      <t xml:space="preserve"> Identifiserer uhensiktsmessig ressursbruk og tvinger frem streng prioritering.</t>
    </r>
  </si>
  <si>
    <r>
      <t>Ulemper:</t>
    </r>
    <r>
      <rPr>
        <sz val="11"/>
        <color rgb="FF303030"/>
        <rFont val="Arial"/>
        <family val="2"/>
      </rPr>
      <t xml:space="preserve"> Svært krevende og lite egnet for UH-sektoren som helhet, ettersom faste lønnskostnader og studieprogrammer ligger fast på lang sikt.</t>
    </r>
  </si>
  <si>
    <r>
      <t xml:space="preserve">Bemanningsbudsjettet i </t>
    </r>
    <r>
      <rPr>
        <b/>
        <sz val="11"/>
        <color rgb="FF303030"/>
        <rFont val="Arial"/>
        <family val="2"/>
      </rPr>
      <t>Unit4 UBW Planlegger</t>
    </r>
    <r>
      <rPr>
        <sz val="11"/>
        <color rgb="FF303030"/>
        <rFont val="Arial"/>
        <family val="2"/>
      </rPr>
      <t xml:space="preserve"> må bygges opp driverbasert på individ- og stillingsgruppenivå (Professorer, Førsteamanuenser, Stipendiater, TA-ansatte).</t>
    </r>
  </si>
  <si>
    <r>
      <t>Vakansestyring:</t>
    </r>
    <r>
      <rPr>
        <sz val="11"/>
        <color rgb="FF303030"/>
        <rFont val="Arial"/>
        <family val="2"/>
      </rPr>
      <t xml:space="preserve"> Det </t>
    </r>
    <r>
      <rPr>
        <b/>
        <sz val="11"/>
        <color rgb="FF303030"/>
        <rFont val="Arial"/>
        <family val="2"/>
      </rPr>
      <t>må</t>
    </r>
    <r>
      <rPr>
        <sz val="11"/>
        <color rgb="FF303030"/>
        <rFont val="Arial"/>
        <family val="2"/>
      </rPr>
      <t xml:space="preserve"> legges inn en innlagt central vakansfaktor (3–5 %) og realistisk rekrutteringstid (3–6 måneder) for å unngå systematisk overbudsjettering av fast lønn.</t>
    </r>
  </si>
  <si>
    <r>
      <t xml:space="preserve">HHUs studier (økonomi, ledelse, juss) tilhører KDs </t>
    </r>
    <r>
      <rPr>
        <b/>
        <sz val="11"/>
        <color rgb="FF303030"/>
        <rFont val="Arial"/>
        <family val="2"/>
      </rPr>
      <t>Kategori 1 (54 550 kr per 60 SPE)</t>
    </r>
    <r>
      <rPr>
        <sz val="11"/>
        <color rgb="FF303030"/>
        <rFont val="Arial"/>
        <family val="2"/>
      </rPr>
      <t xml:space="preserve"> med </t>
    </r>
    <r>
      <rPr>
        <b/>
        <sz val="11"/>
        <color rgb="FF303030"/>
        <rFont val="Arial"/>
        <family val="2"/>
      </rPr>
      <t>2-års etterslep</t>
    </r>
    <r>
      <rPr>
        <sz val="11"/>
        <color rgb="FF303030"/>
        <rFont val="Arial"/>
        <family val="2"/>
      </rPr>
      <t xml:space="preserve"> på resultatbevilgningen.</t>
    </r>
  </si>
  <si>
    <r>
      <t xml:space="preserve">HHU har en lærertetthet på </t>
    </r>
    <r>
      <rPr>
        <b/>
        <sz val="11"/>
        <color rgb="FF303030"/>
        <rFont val="Arial"/>
        <family val="2"/>
      </rPr>
      <t>22,3 studenter per UF-årsverk</t>
    </r>
    <r>
      <rPr>
        <sz val="11"/>
        <color rgb="FF303030"/>
        <rFont val="Arial"/>
        <family val="2"/>
      </rPr>
      <t>.</t>
    </r>
  </si>
  <si>
    <r>
      <t xml:space="preserve">Under </t>
    </r>
    <r>
      <rPr>
        <b/>
        <sz val="11"/>
        <color rgb="FF303030"/>
        <rFont val="Arial"/>
        <family val="2"/>
      </rPr>
      <t>nettobudsjetteringsprinsippet</t>
    </r>
    <r>
      <rPr>
        <sz val="11"/>
        <color rgb="FF303030"/>
        <rFont val="Arial"/>
        <family val="2"/>
      </rPr>
      <t xml:space="preserve"> ligger eksisterende volum fast i basisbevilgningen, mens volumendringer utløser Kategori 1-satser. Fordi Kategori 1-satsen er lav, må den driverbaserte inntektsmodellen vise at ubegrenset studentvekst uten tilsvarende bevilgningsøkning i praksis kan svekke fakultetets marginer.</t>
    </r>
  </si>
  <si>
    <r>
      <t>Aktiv bruk av TDI-modellen for frikjøp (</t>
    </r>
    <r>
      <rPr>
        <b/>
        <i/>
        <sz val="11"/>
        <color rgb="FF303030"/>
        <rFont val="Arial"/>
        <family val="2"/>
      </rPr>
      <t>Buy-out</t>
    </r>
    <r>
      <rPr>
        <b/>
        <sz val="11"/>
        <color rgb="FF303030"/>
        <rFont val="Arial"/>
        <family val="2"/>
      </rPr>
      <t>):</t>
    </r>
  </si>
  <si>
    <r>
      <t xml:space="preserve">For å opprettholde høyt forskningstrykk og finansiere rekrutteringsstillinger (PhD/Postdok) – som er avgjørende for HHUs internasjonale </t>
    </r>
    <r>
      <rPr>
        <b/>
        <sz val="11"/>
        <color rgb="FF303030"/>
        <rFont val="Arial"/>
        <family val="2"/>
      </rPr>
      <t>AACSB-akkreditering</t>
    </r>
    <r>
      <rPr>
        <sz val="11"/>
        <color rgb="FF303030"/>
        <rFont val="Arial"/>
        <family val="2"/>
      </rPr>
      <t xml:space="preserve"> – må prosjektøkonomien budsjetteres etter TDI-modellen.</t>
    </r>
  </si>
  <si>
    <r>
      <t>Ved å budsjettere vitenskapelige ansattes tid inn i NFR- og EU-prosjekter (</t>
    </r>
    <r>
      <rPr>
        <i/>
        <sz val="11"/>
        <color rgb="FF303030"/>
        <rFont val="Arial"/>
        <family val="2"/>
      </rPr>
      <t>frikjøp</t>
    </r>
    <r>
      <rPr>
        <sz val="11"/>
        <color rgb="FF303030"/>
        <rFont val="Arial"/>
        <family val="2"/>
      </rPr>
      <t>), overføres lønnskostnader fra basisbudsjettet til ekstern finansiering, samtidig som fakultetet sikres full overhead-dekning (~22 %) til fellesinfrastruktur.</t>
    </r>
  </si>
  <si>
    <r>
      <t xml:space="preserve">Ved å kombinere vedtatt årsbudsjett (BUD) med </t>
    </r>
    <r>
      <rPr>
        <b/>
        <sz val="11"/>
        <color rgb="FF303030"/>
        <rFont val="Arial"/>
        <family val="2"/>
      </rPr>
      <t>rullende prognoser (LE)</t>
    </r>
    <r>
      <rPr>
        <sz val="11"/>
        <color rgb="FF303030"/>
        <rFont val="Arial"/>
        <family val="2"/>
      </rPr>
      <t xml:space="preserve"> ved T1, T2 og T3, kan controlleren og fakultetsledelsen fange opp avvik tidlig.</t>
    </r>
  </si>
  <si>
    <r>
      <t xml:space="preserve">Dette forhindrer «desember-panikk» og sikrer at akkumulerte ubrukte midler avsettes til godkjente flerårige investeringsplaner (f.eks. IT, lab, AACSB-evalueringer) i tråd med </t>
    </r>
    <r>
      <rPr>
        <b/>
        <sz val="11"/>
        <color rgb="FF303030"/>
        <rFont val="Arial"/>
        <family val="2"/>
      </rPr>
      <t>5 %-regelen (F-05-20)</t>
    </r>
    <r>
      <rPr>
        <sz val="11"/>
        <color rgb="FF303030"/>
        <rFont val="Arial"/>
        <family val="2"/>
      </rPr>
      <t>.</t>
    </r>
  </si>
  <si>
    <r>
      <t xml:space="preserve">I offentlig sektor og universitets- og høgskolesektoren (UH) har budsjettering beveget seg fra passiv historisk rammetildeling til strategisk virksomhetsstyring12. Nedenfor gis en gjennomgang av de mest sentrale budsjetteringsmetodene, følges opp av en konkret anbefaling for </t>
    </r>
    <r>
      <rPr>
        <b/>
        <sz val="11"/>
        <color theme="1"/>
        <rFont val="Aptos Narrow"/>
        <family val="2"/>
        <scheme val="minor"/>
      </rPr>
      <t>Handelshøyskolen ved UiA (HHU)</t>
    </r>
    <r>
      <rPr>
        <sz val="11"/>
        <color theme="1"/>
        <rFont val="Aptos Narrow"/>
        <family val="2"/>
        <scheme val="minor"/>
      </rPr>
      <t>.</t>
    </r>
  </si>
  <si>
    <r>
      <t>Konsept:</t>
    </r>
    <r>
      <rPr>
        <sz val="11"/>
        <color theme="1"/>
        <rFont val="Aptos Narrow"/>
        <family val="2"/>
        <scheme val="minor"/>
      </rPr>
      <t xml:space="preserve"> Fjorårets budsjett eller regnskap legges til grunn som baseline, og justeres marginalt opp eller ned basert på generell pris- og lønnsvekst (deflator) samt flate rammekutt (f.eks. ABE-kutt)12.</t>
    </r>
  </si>
  <si>
    <r>
      <t>Fordeler:</t>
    </r>
    <r>
      <rPr>
        <sz val="11"/>
        <color theme="1"/>
        <rFont val="Aptos Narrow"/>
        <family val="2"/>
        <scheme val="minor"/>
      </rPr>
      <t xml:space="preserve"> Enkel å gjennomføre, krever lite ressursbruk.</t>
    </r>
  </si>
  <si>
    <r>
      <t>Ulemper:</t>
    </r>
    <r>
      <rPr>
        <sz val="11"/>
        <color theme="1"/>
        <rFont val="Aptos Narrow"/>
        <family val="2"/>
        <scheme val="minor"/>
      </rPr>
      <t xml:space="preserve"> Konserverer historiske skjevheter, skjermer ineffektive aktiviteter og fanger i liten grad opp reelle endringer i studieproduksjon eller bemanningsstruktur12.</t>
    </r>
  </si>
  <si>
    <r>
      <t>Konsept:</t>
    </r>
    <r>
      <rPr>
        <sz val="11"/>
        <color theme="1"/>
        <rFont val="Aptos Narrow"/>
        <family val="2"/>
        <scheme val="minor"/>
      </rPr>
      <t xml:space="preserve"> Budsjettet bygges opp fra underliggende operasjonelle volum- og aktivitetsdrivere23.</t>
    </r>
  </si>
  <si>
    <r>
      <t>Inntektssiden</t>
    </r>
    <r>
      <rPr>
        <sz val="11"/>
        <color theme="1"/>
        <rFont val="Aptos Narrow"/>
        <family val="2"/>
        <scheme val="minor"/>
      </rPr>
      <t xml:space="preserve"> styres av KDs finansieringsmodell (antall avlagte studiepoeng/SPE60, kandidater og PhD-er)23.</t>
    </r>
  </si>
  <si>
    <r>
      <t>Kostnadssiden</t>
    </r>
    <r>
      <rPr>
        <sz val="11"/>
        <color theme="1"/>
        <rFont val="Aptos Narrow"/>
        <family val="2"/>
        <scheme val="minor"/>
      </rPr>
      <t xml:space="preserve"> styres av antall årsverk (UF/TA), lønnstrinn, sosiale kostnader, antall emner og undervisningstimer34.</t>
    </r>
  </si>
  <si>
    <r>
      <t>Fordeler:</t>
    </r>
    <r>
      <rPr>
        <sz val="11"/>
        <color theme="1"/>
        <rFont val="Aptos Narrow"/>
        <family val="2"/>
        <scheme val="minor"/>
      </rPr>
      <t xml:space="preserve"> Høy presisjon, direkte kobling mellom faglig aktivitet og økonomisk konsekvens, og mulighet for årsakssammenhengende avviksanalyser (volum- vs. prisavvik)45.</t>
    </r>
  </si>
  <si>
    <r>
      <t>Ulemper:</t>
    </r>
    <r>
      <rPr>
        <sz val="11"/>
        <color theme="1"/>
        <rFont val="Aptos Narrow"/>
        <family val="2"/>
        <scheme val="minor"/>
      </rPr>
      <t xml:space="preserve"> Krever god datakvalitet på tvers av fagsystemer (Unit4 ERP, SAP Lønn, FS)46.</t>
    </r>
  </si>
  <si>
    <r>
      <t>Konsept:</t>
    </r>
    <r>
      <rPr>
        <sz val="11"/>
        <color theme="1"/>
        <rFont val="Aptos Narrow"/>
        <family val="2"/>
        <scheme val="minor"/>
      </rPr>
      <t xml:space="preserve"> Benyttes spesifikt for eksternfinansiert forskning og oppdrag (Bidrags- og oppdragsaktivitet / BOA)3more_horiz. Beregner alle direkte prosjektkostnader (lønn, reiser, drift) pluss et standardisert påslag for indirekte felleskostnader (overhead for husleie, IT, bibliotek og administrasjon – typisk ~22 %)3more_horiz.</t>
    </r>
  </si>
  <si>
    <r>
      <t>Fordeler:</t>
    </r>
    <r>
      <rPr>
        <sz val="11"/>
        <color theme="1"/>
        <rFont val="Aptos Narrow"/>
        <family val="2"/>
        <scheme val="minor"/>
      </rPr>
      <t xml:space="preserve"> Sikrer at eksterne prosjekter ikke underfinansieres eller subsidieres ulovlig av grunnbevilgningen, samt synliggjør verdien av frikjøp (</t>
    </r>
    <r>
      <rPr>
        <i/>
        <sz val="11"/>
        <color theme="1"/>
        <rFont val="Aptos Narrow"/>
        <family val="2"/>
        <scheme val="minor"/>
      </rPr>
      <t>buy-out</t>
    </r>
    <r>
      <rPr>
        <sz val="11"/>
        <color theme="1"/>
        <rFont val="Aptos Narrow"/>
        <family val="2"/>
        <scheme val="minor"/>
      </rPr>
      <t>)47.</t>
    </r>
  </si>
  <si>
    <r>
      <t>Konsept:</t>
    </r>
    <r>
      <rPr>
        <sz val="11"/>
        <color theme="1"/>
        <rFont val="Aptos Narrow"/>
        <family val="2"/>
        <scheme val="minor"/>
      </rPr>
      <t xml:space="preserve"> I stedet for å behandle årsbudsjettet som en låst, statisk størrelse gjennom regnskapsåret, oppdateres forventet årsresultat (Latest Estimate / EAC) kontinuerlig ved tertialene (T1/T2/T3) ved å kombinere bokført regnskap (Actuals YTD) med oppdaterte estimater for resten av året (ETC)4more_horiz.</t>
    </r>
  </si>
  <si>
    <r>
      <t>Fordeler:</t>
    </r>
    <r>
      <rPr>
        <sz val="11"/>
        <color theme="1"/>
        <rFont val="Aptos Narrow"/>
        <family val="2"/>
        <scheme val="minor"/>
      </rPr>
      <t xml:space="preserve"> Gjøre ledelsen i stand til å fange opp avvik tidlig og iverksette korrigerende tiltak før året er omme4more_horiz.</t>
    </r>
  </si>
  <si>
    <r>
      <t>Konsept:</t>
    </r>
    <r>
      <rPr>
        <sz val="11"/>
        <color theme="1"/>
        <rFont val="Aptos Narrow"/>
        <family val="2"/>
        <scheme val="minor"/>
      </rPr>
      <t xml:space="preserve"> Hver enhet må begrunne alle sine kostnader fra «null» ved hver nye budsjettrunde, uavhengig av historisk nivå.</t>
    </r>
  </si>
  <si>
    <r>
      <t>Fordeler:</t>
    </r>
    <r>
      <rPr>
        <sz val="11"/>
        <color theme="1"/>
        <rFont val="Aptos Narrow"/>
        <family val="2"/>
        <scheme val="minor"/>
      </rPr>
      <t xml:space="preserve"> Identifiserer uhensiktsmessig ressursbruk og tvinger frem streng prioritering.</t>
    </r>
  </si>
  <si>
    <r>
      <t>Ulemper:</t>
    </r>
    <r>
      <rPr>
        <sz val="11"/>
        <color theme="1"/>
        <rFont val="Aptos Narrow"/>
        <family val="2"/>
        <scheme val="minor"/>
      </rPr>
      <t xml:space="preserve"> Svært krevende og lite egnet for UH-sektoren som helhet, ettersom faste lønnskostnader og studieprogrammer ligger fast på lang sikt1more_horiz.</t>
    </r>
  </si>
  <si>
    <r>
      <t xml:space="preserve">For </t>
    </r>
    <r>
      <rPr>
        <b/>
        <sz val="11"/>
        <color theme="1"/>
        <rFont val="Aptos Narrow"/>
        <family val="2"/>
        <scheme val="minor"/>
      </rPr>
      <t>Handelshøyskolen ved UiA (HHU)</t>
    </r>
    <r>
      <rPr>
        <sz val="11"/>
        <color theme="1"/>
        <rFont val="Aptos Narrow"/>
        <family val="2"/>
        <scheme val="minor"/>
      </rPr>
      <t xml:space="preserve"> anbefales en </t>
    </r>
    <r>
      <rPr>
        <b/>
        <sz val="11"/>
        <color theme="1"/>
        <rFont val="Aptos Narrow"/>
        <family val="2"/>
        <scheme val="minor"/>
      </rPr>
      <t>hybrid modell</t>
    </r>
    <r>
      <rPr>
        <sz val="11"/>
        <color theme="1"/>
        <rFont val="Aptos Narrow"/>
        <family val="2"/>
        <scheme val="minor"/>
      </rPr>
      <t xml:space="preserve"> som kombinerer </t>
    </r>
    <r>
      <rPr>
        <b/>
        <sz val="11"/>
        <color theme="1"/>
        <rFont val="Aptos Narrow"/>
        <family val="2"/>
        <scheme val="minor"/>
      </rPr>
      <t>Driverbasert budsjettering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TDI-modellen for BOA</t>
    </r>
    <r>
      <rPr>
        <sz val="11"/>
        <color theme="1"/>
        <rFont val="Aptos Narrow"/>
        <family val="2"/>
        <scheme val="minor"/>
      </rPr>
      <t xml:space="preserve"> og </t>
    </r>
    <r>
      <rPr>
        <b/>
        <sz val="11"/>
        <color theme="1"/>
        <rFont val="Aptos Narrow"/>
        <family val="2"/>
        <scheme val="minor"/>
      </rPr>
      <t>Rullende prognoser (LE)</t>
    </r>
    <r>
      <rPr>
        <sz val="11"/>
        <color theme="1"/>
        <rFont val="Aptos Narrow"/>
        <family val="2"/>
        <scheme val="minor"/>
      </rPr>
      <t>3more_horiz. Modelldesignet må tilpasses de spesifikke rammebetingelsene som gjelder for fakultetet:</t>
    </r>
  </si>
  <si>
    <t>1. Presis styring av lønnskostnader (Driverbasert bemanningsplanlegging):</t>
  </si>
  <si>
    <t>Lønn utgjør ca. 65–71 % av totalkostnadene ved UiA og HHU4more_horiz.</t>
  </si>
  <si>
    <r>
      <t xml:space="preserve">Bemanningsbudsjettet i </t>
    </r>
    <r>
      <rPr>
        <b/>
        <sz val="11"/>
        <color theme="1"/>
        <rFont val="Aptos Narrow"/>
        <family val="2"/>
        <scheme val="minor"/>
      </rPr>
      <t>Unit4 UBW Planlegger</t>
    </r>
    <r>
      <rPr>
        <sz val="11"/>
        <color theme="1"/>
        <rFont val="Aptos Narrow"/>
        <family val="2"/>
        <scheme val="minor"/>
      </rPr>
      <t xml:space="preserve"> må bygges opp driverbasert på individ- og stillingsgruppenivå (Professorer, Førsteamanuenser, Stipendiater, TA-ansatte)413.</t>
    </r>
  </si>
  <si>
    <r>
      <t>Vakansestyring:</t>
    </r>
    <r>
      <rPr>
        <sz val="11"/>
        <color theme="1"/>
        <rFont val="Aptos Narrow"/>
        <family val="2"/>
        <scheme val="minor"/>
      </rPr>
      <t xml:space="preserve"> Det </t>
    </r>
    <r>
      <rPr>
        <b/>
        <sz val="11"/>
        <color theme="1"/>
        <rFont val="Aptos Narrow"/>
        <family val="2"/>
        <scheme val="minor"/>
      </rPr>
      <t>må</t>
    </r>
    <r>
      <rPr>
        <sz val="11"/>
        <color theme="1"/>
        <rFont val="Aptos Narrow"/>
        <family val="2"/>
        <scheme val="minor"/>
      </rPr>
      <t xml:space="preserve"> legges inn en innlagt central vakansfaktor (3–5 %) og realistisk rekrutteringstid (3–6 måneder) for å unngå systematisk overbudsjettering av fast lønn34.</t>
    </r>
  </si>
  <si>
    <t>2. Håndtering av KDs 2025-modell og lærertetthet:</t>
  </si>
  <si>
    <r>
      <t xml:space="preserve">HHUs studier (økonomi, ledelse, juss) tilhører KDs </t>
    </r>
    <r>
      <rPr>
        <b/>
        <sz val="11"/>
        <color theme="1"/>
        <rFont val="Aptos Narrow"/>
        <family val="2"/>
        <scheme val="minor"/>
      </rPr>
      <t>Kategori 1 (54 550 kr per 60 SPE)</t>
    </r>
    <r>
      <rPr>
        <sz val="11"/>
        <color theme="1"/>
        <rFont val="Aptos Narrow"/>
        <family val="2"/>
        <scheme val="minor"/>
      </rPr>
      <t xml:space="preserve"> med </t>
    </r>
    <r>
      <rPr>
        <b/>
        <sz val="11"/>
        <color theme="1"/>
        <rFont val="Aptos Narrow"/>
        <family val="2"/>
        <scheme val="minor"/>
      </rPr>
      <t>2-års etterslep</t>
    </r>
    <r>
      <rPr>
        <sz val="11"/>
        <color theme="1"/>
        <rFont val="Aptos Narrow"/>
        <family val="2"/>
        <scheme val="minor"/>
      </rPr>
      <t xml:space="preserve"> på resultatbevilgningen2more_horiz.</t>
    </r>
  </si>
  <si>
    <r>
      <t xml:space="preserve">HHU har en lærertetthet på </t>
    </r>
    <r>
      <rPr>
        <b/>
        <sz val="11"/>
        <color theme="1"/>
        <rFont val="Aptos Narrow"/>
        <family val="2"/>
        <scheme val="minor"/>
      </rPr>
      <t>22,3 studenter per UF-årsverk</t>
    </r>
    <r>
      <rPr>
        <sz val="11"/>
        <color theme="1"/>
        <rFont val="Aptos Narrow"/>
        <family val="2"/>
        <scheme val="minor"/>
      </rPr>
      <t>1516.</t>
    </r>
  </si>
  <si>
    <r>
      <t xml:space="preserve">Under </t>
    </r>
    <r>
      <rPr>
        <b/>
        <sz val="11"/>
        <color theme="1"/>
        <rFont val="Aptos Narrow"/>
        <family val="2"/>
        <scheme val="minor"/>
      </rPr>
      <t>nettobudsjetteringsprinsippet</t>
    </r>
    <r>
      <rPr>
        <sz val="11"/>
        <color theme="1"/>
        <rFont val="Aptos Narrow"/>
        <family val="2"/>
        <scheme val="minor"/>
      </rPr>
      <t xml:space="preserve"> ligger eksisterende volum fast i basisbevilgningen, mens volumendringer utløser Kategori 1-satser2more_horiz. Fordi Kategori 1-satsen er lav, må den driverbaserte inntektsmodellen vise at ubegrenset studentvekst uten tilsvarende bevilgningsøkning i praksis kan svekke fakultetets marginer2more_horiz.</t>
    </r>
  </si>
  <si>
    <t>3. Aktiv bruk av TDI-modellen for frikjøp (Buy-out):</t>
  </si>
  <si>
    <r>
      <t xml:space="preserve">For å opprettholde høyt forskningstrykk og finansiere rekrutteringsstillinger (PhD/Postdok) – som er avgjørende for HHUs internasjonale </t>
    </r>
    <r>
      <rPr>
        <b/>
        <sz val="11"/>
        <color theme="1"/>
        <rFont val="Aptos Narrow"/>
        <family val="2"/>
        <scheme val="minor"/>
      </rPr>
      <t>AACSB-akkreditering</t>
    </r>
    <r>
      <rPr>
        <sz val="11"/>
        <color theme="1"/>
        <rFont val="Aptos Narrow"/>
        <family val="2"/>
        <scheme val="minor"/>
      </rPr>
      <t xml:space="preserve"> – må prosjektøkonomien budsjetteres etter TDI-modellen4more_horiz.</t>
    </r>
  </si>
  <si>
    <r>
      <t>Ved å budsjettere vitenskapelige ansattes tid inn i NFR- og EU-prosjekter (</t>
    </r>
    <r>
      <rPr>
        <i/>
        <sz val="11"/>
        <color theme="1"/>
        <rFont val="Aptos Narrow"/>
        <family val="2"/>
        <scheme val="minor"/>
      </rPr>
      <t>frikjøp</t>
    </r>
    <r>
      <rPr>
        <sz val="11"/>
        <color theme="1"/>
        <rFont val="Aptos Narrow"/>
        <family val="2"/>
        <scheme val="minor"/>
      </rPr>
      <t>), overføres lønnskostnader fra basisbudsjettet til ekstern finansiering, samtidig som fakultetet sikres full overhead-dekning (~22 %) til fellesinfrastruktur3more_horiz.</t>
    </r>
  </si>
  <si>
    <t>4. Kontinuerlig risikostyring og 5 %-regelen (F-05-20):</t>
  </si>
  <si>
    <r>
      <t xml:space="preserve">Ved å kombinere vedtatt årsbudsjett (BUD) med </t>
    </r>
    <r>
      <rPr>
        <b/>
        <sz val="11"/>
        <color theme="1"/>
        <rFont val="Aptos Narrow"/>
        <family val="2"/>
        <scheme val="minor"/>
      </rPr>
      <t>rullende prognoser (LE)</t>
    </r>
    <r>
      <rPr>
        <sz val="11"/>
        <color theme="1"/>
        <rFont val="Aptos Narrow"/>
        <family val="2"/>
        <scheme val="minor"/>
      </rPr>
      <t xml:space="preserve"> ved T1, T2 og T3, kan controlleren og fakultetsledelsen fange opp avvik tidlig4more_horiz.</t>
    </r>
  </si>
  <si>
    <r>
      <t xml:space="preserve">Dette forhindrer «desember-panikk» og sikrer at akkumulerte ubrukte midler avsettes til godkjente flerårige investeringsplaner (f.eks. IT, lab, AACSB-evalueringer) i tråd med </t>
    </r>
    <r>
      <rPr>
        <b/>
        <sz val="11"/>
        <color theme="1"/>
        <rFont val="Aptos Narrow"/>
        <family val="2"/>
        <scheme val="minor"/>
      </rPr>
      <t>5 %-regelen (F-05-20)</t>
    </r>
    <r>
      <rPr>
        <sz val="11"/>
        <color theme="1"/>
        <rFont val="Aptos Narrow"/>
        <family val="2"/>
        <scheme val="minor"/>
      </rPr>
      <t>1more_horiz.</t>
    </r>
  </si>
  <si>
    <t>Stillingsgrupper, sosiale kostnader, 3–5 % vakansfaktor, 3–6 mnd rekrutteringstid34.</t>
  </si>
  <si>
    <t>SPE60-produksjon, 2-års etterslep, Kategori 1 (54 550 kr) og nettobudsjettering2more_horiz.</t>
  </si>
  <si>
    <r>
      <t>Frikjøpsbalanse (</t>
    </r>
    <r>
      <rPr>
        <i/>
        <sz val="11"/>
        <color theme="1"/>
        <rFont val="Aptos Narrow"/>
        <family val="2"/>
        <scheme val="minor"/>
      </rPr>
      <t>buy-out</t>
    </r>
    <r>
      <rPr>
        <sz val="11"/>
        <color theme="1"/>
        <rFont val="Aptos Narrow"/>
        <family val="2"/>
        <scheme val="minor"/>
      </rPr>
      <t>), korrekt SRS 10-periodisering og full overhead-dekning4more_horiz.</t>
    </r>
  </si>
  <si>
    <t>T3 Cutoff, avviksdrivere, RAG-status og overvåking mot 5 %-regelen (F-05-20)4more_horiz.</t>
  </si>
  <si>
    <t>keep_pinSave to notekeep_pin</t>
  </si>
  <si>
    <t>copy</t>
  </si>
  <si>
    <t>thumb_up</t>
  </si>
  <si>
    <t>thumb_down</t>
  </si>
  <si>
    <t>Forklar 2025-finansieringsmodellen</t>
  </si>
  <si>
    <t xml:space="preserve">Thoughts </t>
  </si>
  <si>
    <t>expand_more</t>
  </si>
  <si>
    <r>
      <t>Kunnskapsdepartementets (KD) finansieringsmodell fra 2025</t>
    </r>
    <r>
      <rPr>
        <sz val="11"/>
        <color theme="1"/>
        <rFont val="Aptos Narrow"/>
        <family val="2"/>
        <scheme val="minor"/>
      </rPr>
      <t xml:space="preserve"> innebærer en forenkling og omlegging av statens tildelingssystem for universiteter og høyskoler12. Modellen flytter tyngdepunktet mot en </t>
    </r>
    <r>
      <rPr>
        <b/>
        <sz val="11"/>
        <color theme="1"/>
        <rFont val="Aptos Narrow"/>
        <family val="2"/>
        <scheme val="minor"/>
      </rPr>
      <t>styrket basisbevilgning</t>
    </r>
    <r>
      <rPr>
        <sz val="11"/>
        <color theme="1"/>
        <rFont val="Aptos Narrow"/>
        <family val="2"/>
        <scheme val="minor"/>
      </rPr>
      <t xml:space="preserve"> kombinert med en </t>
    </r>
    <r>
      <rPr>
        <b/>
        <sz val="11"/>
        <color theme="1"/>
        <rFont val="Aptos Narrow"/>
        <family val="2"/>
        <scheme val="minor"/>
      </rPr>
      <t>rendyrket åpen resultatramme</t>
    </r>
    <r>
      <rPr>
        <sz val="11"/>
        <color theme="1"/>
        <rFont val="Aptos Narrow"/>
        <family val="2"/>
        <scheme val="minor"/>
      </rPr>
      <t xml:space="preserve"> knyttet til utdanningsproduksjon1more_horiz.</t>
    </r>
  </si>
  <si>
    <t>1. Hovedkomponentene i 2025-modellen</t>
  </si>
  <si>
    <t>1. Styrket basisbevilgning (Avvikling av lukkede resultatrammer):</t>
  </si>
  <si>
    <r>
      <t xml:space="preserve">Tidligere «lukkede resultatindikatorer» for forskningspublisering (publiseringspoeng), inntekter fra Norges forskningsråd (NFR), EU (Horisont Europa) og øvrig bidrags- og oppdragsaktivitet (BOA) er </t>
    </r>
    <r>
      <rPr>
        <b/>
        <sz val="11"/>
        <color theme="1"/>
        <rFont val="Aptos Narrow"/>
        <family val="2"/>
        <scheme val="minor"/>
      </rPr>
      <t>avviklet som egne løpende resultatindikatorer</t>
    </r>
    <r>
      <rPr>
        <sz val="11"/>
        <color theme="1"/>
        <rFont val="Aptos Narrow"/>
        <family val="2"/>
        <scheme val="minor"/>
      </rPr>
      <t xml:space="preserve"> i den nasjonale modellen12.</t>
    </r>
  </si>
  <si>
    <r>
      <t xml:space="preserve">Disse resultatmidlene er i stedet </t>
    </r>
    <r>
      <rPr>
        <b/>
        <sz val="11"/>
        <color theme="1"/>
        <rFont val="Aptos Narrow"/>
        <family val="2"/>
        <scheme val="minor"/>
      </rPr>
      <t>innlemmet i den faste basisbevilgningen</t>
    </r>
    <r>
      <rPr>
        <sz val="11"/>
        <color theme="1"/>
        <rFont val="Aptos Narrow"/>
        <family val="2"/>
        <scheme val="minor"/>
      </rPr>
      <t xml:space="preserve"> basert på et treårig historisk gjennomsnitt (2020–2022)12. Dette gir økt forutsigbarhet, men innebærer også at den automatiske statlige «skurtresker-effekten» for nye publiseringspoeng faller bort13.</t>
    </r>
  </si>
  <si>
    <t>2. Åpen resultatbasert ramme (Utdanningsproduksjon):</t>
  </si>
  <si>
    <r>
      <t xml:space="preserve">Antall resultatbaserte kategorier for studiepoengutveksling/produksjon er redusert fra tidligere seks kategorier (A–F) til </t>
    </r>
    <r>
      <rPr>
        <b/>
        <sz val="11"/>
        <color theme="1"/>
        <rFont val="Aptos Narrow"/>
        <family val="2"/>
        <scheme val="minor"/>
      </rPr>
      <t>tre kategorier</t>
    </r>
    <r>
      <rPr>
        <sz val="11"/>
        <color theme="1"/>
        <rFont val="Aptos Narrow"/>
        <family val="2"/>
        <scheme val="minor"/>
      </rPr>
      <t>12:</t>
    </r>
  </si>
  <si>
    <r>
      <t>Kategori 1 (54 550 kr per 60 SPE):</t>
    </r>
    <r>
      <rPr>
        <sz val="11"/>
        <color theme="1"/>
        <rFont val="Aptos Narrow"/>
        <family val="2"/>
        <scheme val="minor"/>
      </rPr>
      <t xml:space="preserve"> Humaniora, samfunnsfag og økonomisk-administrative fag (f.eks. studiene ved Handelshøyskolen ved UiA)1more_horiz.</t>
    </r>
  </si>
  <si>
    <r>
      <t>Kategori 2 (81 800 kr per 60 SPE):</t>
    </r>
    <r>
      <rPr>
        <sz val="11"/>
        <color theme="1"/>
        <rFont val="Aptos Narrow"/>
        <family val="2"/>
        <scheme val="minor"/>
      </rPr>
      <t xml:space="preserve"> Realfag, helse-, sosial- og lærerutdanninger, samt profesjonsstudiet i psykologi1more_horiz.</t>
    </r>
  </si>
  <si>
    <r>
      <t>Kategori 3 (190 900 kr per 60 SPE):</t>
    </r>
    <r>
      <rPr>
        <sz val="11"/>
        <color theme="1"/>
        <rFont val="Aptos Narrow"/>
        <family val="2"/>
        <scheme val="minor"/>
      </rPr>
      <t xml:space="preserve"> Medisin, odontologi og veterinærmedisin1more_horiz.</t>
    </r>
  </si>
  <si>
    <t>2. Sentrale mekanismer og kontrollpunkter</t>
  </si>
  <si>
    <r>
      <t>Nettobudsjetteringsprinsippet:</t>
    </r>
    <r>
      <rPr>
        <sz val="11"/>
        <color theme="1"/>
        <rFont val="Aptos Narrow"/>
        <family val="2"/>
        <scheme val="minor"/>
      </rPr>
      <t xml:space="preserve"> Eksisterende studieplasser og historisk produksjonsvolum ligger i utgangspunktet fast beskyttet i basisbevilgningen1more_horiz.</t>
    </r>
  </si>
  <si>
    <r>
      <t>Marginale endringer:</t>
    </r>
    <r>
      <rPr>
        <sz val="11"/>
        <color theme="1"/>
        <rFont val="Aptos Narrow"/>
        <family val="2"/>
        <scheme val="minor"/>
      </rPr>
      <t xml:space="preserve"> Kategorisatsene (f.eks. 54 550 kr for Kategori 1) benyttes </t>
    </r>
    <r>
      <rPr>
        <b/>
        <sz val="11"/>
        <color theme="1"/>
        <rFont val="Aptos Narrow"/>
        <family val="2"/>
        <scheme val="minor"/>
      </rPr>
      <t>kun ved endringer i produksjonsvolum</t>
    </r>
    <r>
      <rPr>
        <sz val="11"/>
        <color theme="1"/>
        <rFont val="Aptos Narrow"/>
        <family val="2"/>
        <scheme val="minor"/>
      </rPr>
      <t xml:space="preserve"> (vekst eller fall i avlagte studiepoeng) eller ved tildeling av nye studieplasser1more_horiz.</t>
    </r>
  </si>
  <si>
    <r>
      <t>2-års etterslep (lag):</t>
    </r>
    <r>
      <rPr>
        <sz val="11"/>
        <color theme="1"/>
        <rFont val="Aptos Narrow"/>
        <family val="2"/>
        <scheme val="minor"/>
      </rPr>
      <t xml:space="preserve"> Resultatbasert uttelling for avlagte studiepoeng (SPE60) utbetales med to års etterslep (f.eks. vil studiepoeng produsert i 2025 gi utslag i resultatbevilgningen for 2027)5.</t>
    </r>
  </si>
  <si>
    <r>
      <t>Skille i satser ved tildeling:</t>
    </r>
    <r>
      <rPr>
        <sz val="11"/>
        <color theme="1"/>
        <rFont val="Aptos Narrow"/>
        <family val="2"/>
        <scheme val="minor"/>
      </rPr>
      <t xml:space="preserve"> Ved tildeling av </t>
    </r>
    <r>
      <rPr>
        <i/>
        <sz val="11"/>
        <color theme="1"/>
        <rFont val="Aptos Narrow"/>
        <family val="2"/>
        <scheme val="minor"/>
      </rPr>
      <t>helt nye</t>
    </r>
    <r>
      <rPr>
        <sz val="11"/>
        <color theme="1"/>
        <rFont val="Aptos Narrow"/>
        <family val="2"/>
        <scheme val="minor"/>
      </rPr>
      <t xml:space="preserve"> studieplasser benyttes en overordnet standardsats (ca. 100 100 kr, fordelt med ca. 60 % i basis og 40 % resultatbasert), mens kategorisatsene benyttes for rene produksjonsendringer i eksisterende masse4.</t>
    </r>
  </si>
  <si>
    <t>3. Strategiske konsekvenser for Controlleren</t>
  </si>
  <si>
    <r>
      <t>Kritisk advarsel mot feilbruk av satser:</t>
    </r>
    <r>
      <rPr>
        <sz val="11"/>
        <color theme="1"/>
        <rFont val="Aptos Narrow"/>
        <family val="2"/>
        <scheme val="minor"/>
      </rPr>
      <t xml:space="preserve"> KDs kategorisatser uttrykker statlige </t>
    </r>
    <r>
      <rPr>
        <i/>
        <sz val="11"/>
        <color theme="1"/>
        <rFont val="Aptos Narrow"/>
        <family val="2"/>
        <scheme val="minor"/>
      </rPr>
      <t>insentivmidler per studiepoeng</t>
    </r>
    <r>
      <rPr>
        <sz val="11"/>
        <color theme="1"/>
        <rFont val="Aptos Narrow"/>
        <family val="2"/>
        <scheme val="minor"/>
      </rPr>
      <t>, ikke institusjonens faktiske kostnader ved å drive utdanningen2more_horiz. Hvis en enhet feilaktig benytter de lave marginale kategorisatsene som grunnlag for å omfordele eller devaluere eksisterende historisk studievolum internt, vil det undervurdere de reelle kostnadene og undergrave enhetens økonomiske bærekraft2more_horiz.</t>
    </r>
  </si>
  <si>
    <r>
      <t>Økt institusjonell forskningsrisiko:</t>
    </r>
    <r>
      <rPr>
        <sz val="11"/>
        <color theme="1"/>
        <rFont val="Aptos Narrow"/>
        <family val="2"/>
        <scheme val="minor"/>
      </rPr>
      <t xml:space="preserve"> Fordi statlig uttelling for publisering og BOA-prosjekter nå ligger fast i basis, flyttes den økonomiske risikoen for forskningsaktivitet i sin helhet over på institusjonen13. Frikjøp (</t>
    </r>
    <r>
      <rPr>
        <i/>
        <sz val="11"/>
        <color theme="1"/>
        <rFont val="Aptos Narrow"/>
        <family val="2"/>
        <scheme val="minor"/>
      </rPr>
      <t>buy-out</t>
    </r>
    <r>
      <rPr>
        <sz val="11"/>
        <color theme="1"/>
        <rFont val="Aptos Narrow"/>
        <family val="2"/>
        <scheme val="minor"/>
      </rPr>
      <t xml:space="preserve">) over eksterne NFR/EU-prosjekter via </t>
    </r>
    <r>
      <rPr>
        <b/>
        <sz val="11"/>
        <color theme="1"/>
        <rFont val="Aptos Narrow"/>
        <family val="2"/>
        <scheme val="minor"/>
      </rPr>
      <t>TDI-modellen</t>
    </r>
    <r>
      <rPr>
        <sz val="11"/>
        <color theme="1"/>
        <rFont val="Aptos Narrow"/>
        <family val="2"/>
        <scheme val="minor"/>
      </rPr>
      <t xml:space="preserve"> blir dermed enda viktigere for å avlaste basisbevilgningen og fristille forskningstid13.</t>
    </r>
  </si>
  <si>
    <r>
      <t xml:space="preserve">💡 </t>
    </r>
    <r>
      <rPr>
        <i/>
        <sz val="11"/>
        <color theme="1"/>
        <rFont val="Aptos Narrow"/>
        <family val="2"/>
        <scheme val="minor"/>
      </rPr>
      <t>Ønsker du at jeg viser et regneeksempel på hvordan en volumendring i studiepoeng slår ut på tildelingen for et konkret fakultet (f.eks. HHU eller TEK)?</t>
    </r>
  </si>
  <si>
    <t>Vis et regneeksempel på Kat 1 volumendring</t>
  </si>
  <si>
    <r>
      <t xml:space="preserve">Her er et praktisk regneeksempel på hvordan en volumendring i </t>
    </r>
    <r>
      <rPr>
        <b/>
        <sz val="11"/>
        <color theme="1"/>
        <rFont val="Aptos Narrow"/>
        <family val="2"/>
        <scheme val="minor"/>
      </rPr>
      <t>Kategori 1</t>
    </r>
    <r>
      <rPr>
        <sz val="11"/>
        <color theme="1"/>
        <rFont val="Aptos Narrow"/>
        <family val="2"/>
        <scheme val="minor"/>
      </rPr>
      <t xml:space="preserve"> slår ut under Kunnskapsdepartementets (KDs) finansieringsmodell12.</t>
    </r>
  </si>
  <si>
    <t>1. Grunnleggende forutsetninger for Kategori 1</t>
  </si>
  <si>
    <r>
      <t>Kategori 1-sats: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54 550 kr per 60 studiepoeng (1 SPE60 / helårsstudent)</t>
    </r>
    <r>
      <rPr>
        <sz val="11"/>
        <color theme="1"/>
        <rFont val="Aptos Narrow"/>
        <family val="2"/>
        <scheme val="minor"/>
      </rPr>
      <t xml:space="preserve"> (gjelder fag innen humaniora, samfunnsfag og økonomisk-administrative fag, som Handelshøyskolen ved UiA)12.</t>
    </r>
  </si>
  <si>
    <r>
      <t>2-års etterslep (lag):</t>
    </r>
    <r>
      <rPr>
        <sz val="11"/>
        <color theme="1"/>
        <rFont val="Aptos Narrow"/>
        <family val="2"/>
        <scheme val="minor"/>
      </rPr>
      <t xml:space="preserve"> Studiepoeng produsert i regnskapsåret </t>
    </r>
    <r>
      <rPr>
        <b/>
        <sz val="11"/>
        <color theme="1"/>
        <rFont val="Aptos Narrow"/>
        <family val="2"/>
        <scheme val="minor"/>
      </rPr>
      <t>2025</t>
    </r>
    <r>
      <rPr>
        <sz val="11"/>
        <color theme="1"/>
        <rFont val="Aptos Narrow"/>
        <family val="2"/>
        <scheme val="minor"/>
      </rPr>
      <t xml:space="preserve"> utløser resultatutbetaling i statsbudsjettet for </t>
    </r>
    <r>
      <rPr>
        <b/>
        <sz val="11"/>
        <color theme="1"/>
        <rFont val="Aptos Narrow"/>
        <family val="2"/>
        <scheme val="minor"/>
      </rPr>
      <t>2027</t>
    </r>
    <r>
      <rPr>
        <sz val="11"/>
        <color theme="1"/>
        <rFont val="Aptos Narrow"/>
        <family val="2"/>
        <scheme val="minor"/>
      </rPr>
      <t>2more_horiz.</t>
    </r>
  </si>
  <si>
    <r>
      <t>Nettobudsjetteringsprinsippet:</t>
    </r>
    <r>
      <rPr>
        <sz val="11"/>
        <color theme="1"/>
        <rFont val="Aptos Narrow"/>
        <family val="2"/>
        <scheme val="minor"/>
      </rPr>
      <t xml:space="preserve"> Eksisterende historisk studievolum ligger fast beskyttet i universitetets </t>
    </r>
    <r>
      <rPr>
        <b/>
        <sz val="11"/>
        <color theme="1"/>
        <rFont val="Aptos Narrow"/>
        <family val="2"/>
        <scheme val="minor"/>
      </rPr>
      <t>basisbevilgning</t>
    </r>
    <r>
      <rPr>
        <sz val="11"/>
        <color theme="1"/>
        <rFont val="Aptos Narrow"/>
        <family val="2"/>
        <scheme val="minor"/>
      </rPr>
      <t xml:space="preserve">1more_horiz. Kategorisatsen på 54 550 kr benyttes </t>
    </r>
    <r>
      <rPr>
        <b/>
        <sz val="11"/>
        <color theme="1"/>
        <rFont val="Aptos Narrow"/>
        <family val="2"/>
        <scheme val="minor"/>
      </rPr>
      <t>kun på marginale endringer i volum</t>
    </r>
    <r>
      <rPr>
        <sz val="11"/>
        <color theme="1"/>
        <rFont val="Aptos Narrow"/>
        <family val="2"/>
        <scheme val="minor"/>
      </rPr>
      <t xml:space="preserve"> (Økning eller reduksjon i avlagte studiepoeng)1more_horiz.</t>
    </r>
  </si>
  <si>
    <t>2. Regneeksempel: Volumendring ved Handelshøyskolen (HHU)</t>
  </si>
  <si>
    <r>
      <t xml:space="preserve">Anta at Handelshøyskolen ved UiA har en historisk baseline i sin basisbevilgning på </t>
    </r>
    <r>
      <rPr>
        <b/>
        <sz val="11"/>
        <color theme="1"/>
        <rFont val="Aptos Narrow"/>
        <family val="2"/>
        <scheme val="minor"/>
      </rPr>
      <t>3 120 SPE60</t>
    </r>
    <r>
      <rPr>
        <sz val="11"/>
        <color theme="1"/>
        <rFont val="Aptos Narrow"/>
        <family val="2"/>
        <scheme val="minor"/>
      </rPr>
      <t xml:space="preserve"> (tilsvarende 187 200 avlagte studiepoeng)14.</t>
    </r>
  </si>
  <si>
    <t>Scenario A: Positive volumendring (+50 SPE60 i 2025)</t>
  </si>
  <si>
    <r>
      <t xml:space="preserve">Gjennom tiltak for bedre gjennomføring og redusert stryk øker studentenes produksjon i 2025 med totalt </t>
    </r>
    <r>
      <rPr>
        <b/>
        <sz val="11"/>
        <color theme="1"/>
        <rFont val="Aptos Narrow"/>
        <family val="2"/>
        <scheme val="minor"/>
      </rPr>
      <t>3 000 studiepoeng</t>
    </r>
    <r>
      <rPr>
        <sz val="11"/>
        <color theme="1"/>
        <rFont val="Aptos Narrow"/>
        <family val="2"/>
        <scheme val="minor"/>
      </rPr>
      <t xml:space="preserve">, som utgjør </t>
    </r>
    <r>
      <rPr>
        <b/>
        <sz val="11"/>
        <color theme="1"/>
        <rFont val="Aptos Narrow"/>
        <family val="2"/>
        <scheme val="minor"/>
      </rPr>
      <t>+50 SPE60</t>
    </r>
    <r>
      <rPr>
        <sz val="11"/>
        <color theme="1"/>
        <rFont val="Aptos Narrow"/>
        <family val="2"/>
        <scheme val="minor"/>
      </rPr>
      <t xml:space="preserve"> ($3\,000 / 60 = 50$).</t>
    </r>
  </si>
  <si>
    <t>$$\text{Marginal inntektsendring for 2027} = 50 \text{ SPE60} \times 54\,550 \text{ kr} = \mathbf{2\,727\,500 \text{ kr}} \quad (\mathbf{+2,73 \text{ MNOK}})$$</t>
  </si>
  <si>
    <r>
      <t>Effekt i 2027-budsjettet:</t>
    </r>
    <r>
      <rPr>
        <sz val="11"/>
        <color theme="1"/>
        <rFont val="Aptos Narrow"/>
        <family val="2"/>
        <scheme val="minor"/>
      </rPr>
      <t xml:space="preserve"> HHU får utbetalt en resultatvekst i bevilgningen fra KD på </t>
    </r>
    <r>
      <rPr>
        <b/>
        <sz val="11"/>
        <color theme="1"/>
        <rFont val="Aptos Narrow"/>
        <family val="2"/>
        <scheme val="minor"/>
      </rPr>
      <t>+2,73 MNOK</t>
    </r>
    <r>
      <rPr>
        <sz val="11"/>
        <color theme="1"/>
        <rFont val="Aptos Narrow"/>
        <family val="2"/>
        <scheme val="minor"/>
      </rPr>
      <t xml:space="preserve"> i 202712.</t>
    </r>
  </si>
  <si>
    <t>Scenario B: Negativ volumendring (-30 SPE60 i 2025)</t>
  </si>
  <si>
    <r>
      <t xml:space="preserve">På grunn av økt frafall på et bachelorprogram faller produksjonen i 2025 med </t>
    </r>
    <r>
      <rPr>
        <b/>
        <sz val="11"/>
        <color theme="1"/>
        <rFont val="Aptos Narrow"/>
        <family val="2"/>
        <scheme val="minor"/>
      </rPr>
      <t>1 800 studiepoeng</t>
    </r>
    <r>
      <rPr>
        <sz val="11"/>
        <color theme="1"/>
        <rFont val="Aptos Narrow"/>
        <family val="2"/>
        <scheme val="minor"/>
      </rPr>
      <t xml:space="preserve">, som utgjør </t>
    </r>
    <r>
      <rPr>
        <b/>
        <sz val="11"/>
        <color theme="1"/>
        <rFont val="Aptos Narrow"/>
        <family val="2"/>
        <scheme val="minor"/>
      </rPr>
      <t>-30 SPE60</t>
    </r>
    <r>
      <rPr>
        <sz val="11"/>
        <color theme="1"/>
        <rFont val="Aptos Narrow"/>
        <family val="2"/>
        <scheme val="minor"/>
      </rPr>
      <t xml:space="preserve"> ($1\,800 / 60 = 30$).</t>
    </r>
  </si>
  <si>
    <t>$$\text{Marginal inntektsendring for 2027} = -30 \text{ SPE60} \times 54\,550 \text{ kr} = \mathbf{-1\,636\,500 \text{ kr}} \quad (\mathbf{-1,64 \text{ MNOK}})$$</t>
  </si>
  <si>
    <r>
      <t>Effekt i 2027-budsjettet:</t>
    </r>
    <r>
      <rPr>
        <sz val="11"/>
        <color theme="1"/>
        <rFont val="Aptos Narrow"/>
        <family val="2"/>
        <scheme val="minor"/>
      </rPr>
      <t xml:space="preserve"> HHU får et trekk i resultatbevilgningen fra KD på </t>
    </r>
    <r>
      <rPr>
        <b/>
        <sz val="11"/>
        <color theme="1"/>
        <rFont val="Aptos Narrow"/>
        <family val="2"/>
        <scheme val="minor"/>
      </rPr>
      <t>-1,64 MNOK</t>
    </r>
    <r>
      <rPr>
        <sz val="11"/>
        <color theme="1"/>
        <rFont val="Aptos Narrow"/>
        <family val="2"/>
        <scheme val="minor"/>
      </rPr>
      <t xml:space="preserve"> i 202712.</t>
    </r>
  </si>
  <si>
    <t>3. Controllerens «So What?» &amp; Strategiske Advarsler</t>
  </si>
  <si>
    <r>
      <t>1. Insentivsats vs. Reell enhetskostnad:</t>
    </r>
    <r>
      <rPr>
        <sz val="11"/>
        <color theme="1"/>
        <rFont val="Aptos Narrow"/>
        <family val="2"/>
        <scheme val="minor"/>
      </rPr>
      <t xml:space="preserve"> KDs kategorisats på </t>
    </r>
    <r>
      <rPr>
        <b/>
        <sz val="11"/>
        <color theme="1"/>
        <rFont val="Aptos Narrow"/>
        <family val="2"/>
        <scheme val="minor"/>
      </rPr>
      <t>54 550 kr per SPE60</t>
    </r>
    <r>
      <rPr>
        <sz val="11"/>
        <color theme="1"/>
        <rFont val="Aptos Narrow"/>
        <family val="2"/>
        <scheme val="minor"/>
      </rPr>
      <t xml:space="preserve"> uttrykker kun statens </t>
    </r>
    <r>
      <rPr>
        <i/>
        <sz val="11"/>
        <color theme="1"/>
        <rFont val="Aptos Narrow"/>
        <family val="2"/>
        <scheme val="minor"/>
      </rPr>
      <t>marginalbelønning for endring</t>
    </r>
    <r>
      <rPr>
        <sz val="11"/>
        <color theme="1"/>
        <rFont val="Aptos Narrow"/>
        <family val="2"/>
        <scheme val="minor"/>
      </rPr>
      <t>, ikke den faktiske totalkostnaden ved å utdanne en helårsstudent (som inkluderer lønn til forelesere, lokaler, IT og administrasjon)1more_horiz.</t>
    </r>
  </si>
  <si>
    <r>
      <t>2. Kritisk kontrollpunkt mot devaluering:</t>
    </r>
    <r>
      <rPr>
        <sz val="11"/>
        <color theme="1"/>
        <rFont val="Aptos Narrow"/>
        <family val="2"/>
        <scheme val="minor"/>
      </rPr>
      <t xml:space="preserve"> Som controller må du </t>
    </r>
    <r>
      <rPr>
        <b/>
        <sz val="11"/>
        <color theme="1"/>
        <rFont val="Aptos Narrow"/>
        <family val="2"/>
        <scheme val="minor"/>
      </rPr>
      <t>aldri</t>
    </r>
    <r>
      <rPr>
        <sz val="11"/>
        <color theme="1"/>
        <rFont val="Aptos Narrow"/>
        <family val="2"/>
        <scheme val="minor"/>
      </rPr>
      <t xml:space="preserve"> benytte 54 550 kr som grunnlag for å verdivurdere hele den eksisterende studentmassen ($3\,120 \text{ SPE60} \times 54\,550 \text{ kr} = 170,2 \text{ MNOK}$) når midler fordeles internt2more_horiz. Det historiske volumet er finansiert over basis, og feilaktig bruk av kategorisatsen på eksisterende volum vil undervurdere de reelle kostnadene og undergrave fakultetets økonomiske bærekraft2more_horiz.</t>
    </r>
  </si>
  <si>
    <r>
      <t>3. Tidsforskyvning og treghet:</t>
    </r>
    <r>
      <rPr>
        <sz val="11"/>
        <color theme="1"/>
        <rFont val="Aptos Narrow"/>
        <family val="2"/>
        <scheme val="minor"/>
      </rPr>
      <t xml:space="preserve"> Et produksjonsfall i 2025 gir ikke umiddelbar regnskapseffekt i 2025 eller 2026, men skaper et </t>
    </r>
    <r>
      <rPr>
        <b/>
        <sz val="11"/>
        <color theme="1"/>
        <rFont val="Aptos Narrow"/>
        <family val="2"/>
        <scheme val="minor"/>
      </rPr>
      <t>forsinket bevilgningshull i 2027</t>
    </r>
    <r>
      <rPr>
        <sz val="11"/>
        <color theme="1"/>
        <rFont val="Aptos Narrow"/>
        <family val="2"/>
        <scheme val="minor"/>
      </rPr>
      <t>2more_horiz. Controlleren må derfor advare ledelsen om denne effekten to år før regningen faktisk kommer34.</t>
    </r>
  </si>
  <si>
    <t>Oversikt over genererte CSV-filer for Budsjett 2027</t>
  </si>
  <si>
    <r>
      <t xml:space="preserve">Settet med </t>
    </r>
    <r>
      <rPr>
        <b/>
        <sz val="11"/>
        <color theme="1"/>
        <rFont val="Aptos Narrow"/>
        <family val="2"/>
        <scheme val="minor"/>
      </rPr>
      <t>9 CSV-filer</t>
    </r>
    <r>
      <rPr>
        <sz val="11"/>
        <color theme="1"/>
        <rFont val="Aptos Narrow"/>
        <family val="2"/>
        <scheme val="minor"/>
      </rPr>
      <t xml:space="preserve"> er bygget med semi-kolon (</t>
    </r>
    <r>
      <rPr>
        <sz val="10"/>
        <color theme="1"/>
        <rFont val="Arial Unicode MS"/>
      </rPr>
      <t>;</t>
    </r>
    <r>
      <rPr>
        <sz val="11"/>
        <color theme="1"/>
        <rFont val="Aptos Narrow"/>
        <family val="2"/>
        <scheme val="minor"/>
      </rPr>
      <t>) som skilletegn og UTF-8 med BOM for direkte import i Power BI Desktop:</t>
    </r>
  </si>
  <si>
    <r>
      <t>1. FactBudget_2027.csv</t>
    </r>
    <r>
      <rPr>
        <sz val="11"/>
        <color theme="1"/>
        <rFont val="Aptos Narrow"/>
        <family val="2"/>
        <scheme val="minor"/>
      </rPr>
      <t>: Detaljert månedsperiodisert årsbudsjett (</t>
    </r>
    <r>
      <rPr>
        <b/>
        <sz val="11"/>
        <color theme="1"/>
        <rFont val="Aptos Narrow"/>
        <family val="2"/>
        <scheme val="minor"/>
      </rPr>
      <t>BUD2027</t>
    </r>
    <r>
      <rPr>
        <sz val="11"/>
        <color theme="1"/>
        <rFont val="Aptos Narrow"/>
        <family val="2"/>
        <scheme val="minor"/>
      </rPr>
      <t xml:space="preserve">) for alle 12 måneder i 2027 fordelt på kontoplan R-102 og organisasjonsenheter. Reflekterer HHUs samlede ramme på </t>
    </r>
    <r>
      <rPr>
        <b/>
        <sz val="11"/>
        <color theme="1"/>
        <rFont val="Aptos Narrow"/>
        <family val="2"/>
        <scheme val="minor"/>
      </rPr>
      <t>286,8 MNOK i inntekter</t>
    </r>
    <r>
      <rPr>
        <sz val="11"/>
        <color theme="1"/>
        <rFont val="Aptos Narrow"/>
        <family val="2"/>
        <scheme val="minor"/>
      </rPr>
      <t xml:space="preserve"> og </t>
    </r>
    <r>
      <rPr>
        <b/>
        <sz val="11"/>
        <color theme="1"/>
        <rFont val="Aptos Narrow"/>
        <family val="2"/>
        <scheme val="minor"/>
      </rPr>
      <t>282,0 MNOK i kostnader</t>
    </r>
    <r>
      <rPr>
        <sz val="11"/>
        <color theme="1"/>
        <rFont val="Aptos Narrow"/>
        <family val="2"/>
        <scheme val="minor"/>
      </rPr>
      <t xml:space="preserve"> (+4,8 MNOK i netto overskudd) samt UiAs totalramme (ca. 1 500 MNOK).</t>
    </r>
  </si>
  <si>
    <r>
      <t>2. FactFTE_2027.csv</t>
    </r>
    <r>
      <rPr>
        <sz val="11"/>
        <color theme="1"/>
        <rFont val="Aptos Narrow"/>
        <family val="2"/>
        <scheme val="minor"/>
      </rPr>
      <t xml:space="preserve">: Bemannings- og årsverksplan for 2027. For HHU inngår </t>
    </r>
    <r>
      <rPr>
        <b/>
        <sz val="11"/>
        <color theme="1"/>
        <rFont val="Aptos Narrow"/>
        <family val="2"/>
        <scheme val="minor"/>
      </rPr>
      <t>155 UF-årsverk</t>
    </r>
    <r>
      <rPr>
        <sz val="11"/>
        <color theme="1"/>
        <rFont val="Aptos Narrow"/>
        <family val="2"/>
        <scheme val="minor"/>
      </rPr>
      <t xml:space="preserve"> (vitenskapelige), </t>
    </r>
    <r>
      <rPr>
        <b/>
        <sz val="11"/>
        <color theme="1"/>
        <rFont val="Aptos Narrow"/>
        <family val="2"/>
        <scheme val="minor"/>
      </rPr>
      <t>75 TA-årsverk</t>
    </r>
    <r>
      <rPr>
        <sz val="11"/>
        <color theme="1"/>
        <rFont val="Aptos Narrow"/>
        <family val="2"/>
        <scheme val="minor"/>
      </rPr>
      <t xml:space="preserve"> (teknisk-administrative), totalt </t>
    </r>
    <r>
      <rPr>
        <b/>
        <sz val="11"/>
        <color theme="1"/>
        <rFont val="Aptos Narrow"/>
        <family val="2"/>
        <scheme val="minor"/>
      </rPr>
      <t>230 årsverk</t>
    </r>
    <r>
      <rPr>
        <sz val="11"/>
        <color theme="1"/>
        <rFont val="Aptos Narrow"/>
        <family val="2"/>
        <scheme val="minor"/>
      </rPr>
      <t xml:space="preserve"> (252 ansatte), med innlagt </t>
    </r>
    <r>
      <rPr>
        <b/>
        <sz val="11"/>
        <color theme="1"/>
        <rFont val="Aptos Narrow"/>
        <family val="2"/>
        <scheme val="minor"/>
      </rPr>
      <t>3–5 % vakansfaktor</t>
    </r>
    <r>
      <rPr>
        <sz val="11"/>
        <color theme="1"/>
        <rFont val="Aptos Narrow"/>
        <family val="2"/>
        <scheme val="minor"/>
      </rPr>
      <t xml:space="preserve"> og snittlønnsdata.</t>
    </r>
  </si>
  <si>
    <r>
      <t>3. FactStudents_2027.csv</t>
    </r>
    <r>
      <rPr>
        <sz val="11"/>
        <color theme="1"/>
        <rFont val="Aptos Narrow"/>
        <family val="2"/>
        <scheme val="minor"/>
      </rPr>
      <t xml:space="preserve">: Utdannings- og studiepoengmodell for 2027. Dokumenterer </t>
    </r>
    <r>
      <rPr>
        <b/>
        <sz val="11"/>
        <color theme="1"/>
        <rFont val="Aptos Narrow"/>
        <family val="2"/>
        <scheme val="minor"/>
      </rPr>
      <t>2-års etterslep (lag)</t>
    </r>
    <r>
      <rPr>
        <sz val="11"/>
        <color theme="1"/>
        <rFont val="Aptos Narrow"/>
        <family val="2"/>
        <scheme val="minor"/>
      </rPr>
      <t xml:space="preserve"> der </t>
    </r>
    <r>
      <rPr>
        <b/>
        <sz val="11"/>
        <color theme="1"/>
        <rFont val="Aptos Narrow"/>
        <family val="2"/>
        <scheme val="minor"/>
      </rPr>
      <t>2025-produksjonen (3 120 SPE60)</t>
    </r>
    <r>
      <rPr>
        <sz val="11"/>
        <color theme="1"/>
        <rFont val="Aptos Narrow"/>
        <family val="2"/>
        <scheme val="minor"/>
      </rPr>
      <t xml:space="preserve"> styrer resultatutbetalingen i 2027 basert på KDs </t>
    </r>
    <r>
      <rPr>
        <b/>
        <sz val="11"/>
        <color theme="1"/>
        <rFont val="Aptos Narrow"/>
        <family val="2"/>
        <scheme val="minor"/>
      </rPr>
      <t>Kategori 1-sats (54 550 kr/SPE60)</t>
    </r>
    <r>
      <rPr>
        <sz val="11"/>
        <color theme="1"/>
        <rFont val="Aptos Narrow"/>
        <family val="2"/>
        <scheme val="minor"/>
      </rPr>
      <t xml:space="preserve"> for HHU, samt lærertetthet (</t>
    </r>
    <r>
      <rPr>
        <b/>
        <sz val="11"/>
        <color theme="1"/>
        <rFont val="Aptos Narrow"/>
        <family val="2"/>
        <scheme val="minor"/>
      </rPr>
      <t>22,3 stud/UF-ÅV</t>
    </r>
    <r>
      <rPr>
        <sz val="11"/>
        <color theme="1"/>
        <rFont val="Aptos Narrow"/>
        <family val="2"/>
        <scheme val="minor"/>
      </rPr>
      <t>).</t>
    </r>
  </si>
  <si>
    <r>
      <t>4. FactAction_2027.csv</t>
    </r>
    <r>
      <rPr>
        <sz val="11"/>
        <color theme="1"/>
        <rFont val="Aptos Narrow"/>
        <family val="2"/>
        <scheme val="minor"/>
      </rPr>
      <t>: Omstillingstiltak T001–T004 for 2027 (frys i administrativ rekruttering, faglige omdisponeringer, EVU-ekspansjon) koblet mot regnskapslinjer og ansvarlige roller.</t>
    </r>
  </si>
  <si>
    <r>
      <t>5. DimOrganization.csv</t>
    </r>
    <r>
      <rPr>
        <sz val="11"/>
        <color theme="1"/>
        <rFont val="Aptos Narrow"/>
        <family val="2"/>
        <scheme val="minor"/>
      </rPr>
      <t>: UiA organisasjonsstruktur (Toppnivå UiA, HHU og øvrige fakulteter, samt HHUs tre institutter og fakultetsadministrasjon).</t>
    </r>
  </si>
  <si>
    <r>
      <t>6. DimAccountHierarchy.csv</t>
    </r>
    <r>
      <rPr>
        <sz val="11"/>
        <color theme="1"/>
        <rFont val="Aptos Narrow"/>
        <family val="2"/>
        <scheme val="minor"/>
      </rPr>
      <t>: Denormalisert kontoplan iht. DFØ R-102 og SRS-regnskapslinjer.</t>
    </r>
  </si>
  <si>
    <r>
      <t>7. DimDate_2027.csv</t>
    </r>
    <r>
      <rPr>
        <sz val="11"/>
        <color theme="1"/>
        <rFont val="Aptos Narrow"/>
        <family val="2"/>
        <scheme val="minor"/>
      </rPr>
      <t>: Kalenderdimensjon for 2027 som markerer hele året som plan/budsjettperiode (</t>
    </r>
    <r>
      <rPr>
        <sz val="10"/>
        <color theme="1"/>
        <rFont val="Arial Unicode MS"/>
      </rPr>
      <t>ErActualYTD = FALSE</t>
    </r>
    <r>
      <rPr>
        <sz val="11"/>
        <color theme="1"/>
        <rFont val="Aptos Narrow"/>
        <family val="2"/>
        <scheme val="minor"/>
      </rPr>
      <t>).</t>
    </r>
  </si>
  <si>
    <r>
      <t>8. DimForecastVersion.csv</t>
    </r>
    <r>
      <rPr>
        <sz val="11"/>
        <color theme="1"/>
        <rFont val="Aptos Narrow"/>
        <family val="2"/>
        <scheme val="minor"/>
      </rPr>
      <t>: Versjonstabell (</t>
    </r>
    <r>
      <rPr>
        <sz val="10"/>
        <color theme="1"/>
        <rFont val="Arial Unicode MS"/>
      </rPr>
      <t>BUD2027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PROG2028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PROG2029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PROG2030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PROG2031</t>
    </r>
    <r>
      <rPr>
        <sz val="11"/>
        <color theme="1"/>
        <rFont val="Aptos Narrow"/>
        <family val="2"/>
        <scheme val="minor"/>
      </rPr>
      <t>).</t>
    </r>
  </si>
  <si>
    <r>
      <t>9. Relationships.csv</t>
    </r>
    <r>
      <rPr>
        <sz val="11"/>
        <color theme="1"/>
        <rFont val="Aptos Narrow"/>
        <family val="2"/>
        <scheme val="minor"/>
      </rPr>
      <t>: Kardinalitets- og kryssfiltreringstabell ($1:*$ enveisrelasjoner) for oppsett av datamodellen.</t>
    </r>
  </si>
  <si>
    <t>2. Data Model Diagram (Power BI Star Schema 2027)</t>
  </si>
  <si>
    <r>
      <t xml:space="preserve">Bildet </t>
    </r>
    <r>
      <rPr>
        <b/>
        <sz val="11"/>
        <color theme="1"/>
        <rFont val="Aptos Narrow"/>
        <family val="2"/>
        <scheme val="minor"/>
      </rPr>
      <t>powerbi_datamodel_2027_diagram.png</t>
    </r>
    <r>
      <rPr>
        <sz val="11"/>
        <color theme="1"/>
        <rFont val="Aptos Narrow"/>
        <family val="2"/>
        <scheme val="minor"/>
      </rPr>
      <t xml:space="preserve"> viser oppsettet av semantikkmodellen i Power BI.</t>
    </r>
  </si>
  <si>
    <r>
      <t xml:space="preserve">Datamodellen er bygget som et </t>
    </r>
    <r>
      <rPr>
        <b/>
        <sz val="11"/>
        <color theme="1"/>
        <rFont val="Aptos Narrow"/>
        <family val="2"/>
        <scheme val="minor"/>
      </rPr>
      <t>renskåret Stjerneskjema (Star Schema)</t>
    </r>
    <r>
      <rPr>
        <sz val="11"/>
        <color theme="1"/>
        <rFont val="Aptos Narrow"/>
        <family val="2"/>
        <scheme val="minor"/>
      </rPr>
      <t xml:space="preserve"> hvor dimensjonstabellene filtrerer faktatabellene med enveis $1:*$-relasjoner:</t>
    </r>
  </si>
  <si>
    <t>| POWER BI SEMANTIC DATA MODEL — UiA &amp; HHU BUDSJETT 2027 (STAR SCHEMA)                             |</t>
  </si>
  <si>
    <t xml:space="preserve">    [ DimOrganization ]        [ DimAccountHierarchy ]        [ DimDate_2027 ]      [ DimForecastVersion ]</t>
  </si>
  <si>
    <t xml:space="preserve">     (PK: OrgKode)              (PK: Konto)                (PK: DatoNokkel)       (PK: VersjonKode)</t>
  </si>
  <si>
    <t xml:space="preserve">           │                          │                           │                      │</t>
  </si>
  <si>
    <t xml:space="preserve">           │ (1)                      │ (1)                       │ (1)                  │ (1)</t>
  </si>
  <si>
    <t xml:space="preserve">           ├──────────────────────────┼───────────────────────────┼──────────────────────┘</t>
  </si>
  <si>
    <t xml:space="preserve">           │                          │                           │</t>
  </si>
  <si>
    <t xml:space="preserve">           ▼ (*)                      ▼ (*)                       ▼ (*)</t>
  </si>
  <si>
    <t xml:space="preserve">  +───────────────────+      +───────────────────+       +───────────────────+</t>
  </si>
  <si>
    <t xml:space="preserve">  |  FactBudget_2027  |      |   FactFTE_2027    |       | FactStudents_2027 |</t>
  </si>
  <si>
    <t xml:space="preserve">  | (FK: OrgKode)     |      | (FK: OrgKode)     |       | (FK: OrgKode)     |</t>
  </si>
  <si>
    <t xml:space="preserve">  | (FK: Konto)       |      | (FK: DatoNokkel)  |       | [SPE60_2025_Lag,  |</t>
  </si>
  <si>
    <t xml:space="preserve">  | (FK: DatoNokkel)  |      | [UF/TA, ÅV, Lønn] |       |  Kat 1 54 550 kr] |</t>
  </si>
  <si>
    <t xml:space="preserve">           │                                                       │</t>
  </si>
  <si>
    <t xml:space="preserve">           ▼ (*)                                                   ▼ (*)</t>
  </si>
  <si>
    <t xml:space="preserve">  +───────────────────+                                  +───────────────────+</t>
  </si>
  <si>
    <t xml:space="preserve">  |   FactAction_2027 |                                  | Relationships.csv |</t>
  </si>
  <si>
    <t xml:space="preserve">  | (FK: OrgKode)     |                                  | (Relasjonskart)   |</t>
  </si>
  <si>
    <t>3. Ordliste for Økonomi, Finansiering og Budsjett (HHU &amp; UiA)</t>
  </si>
  <si>
    <r>
      <t xml:space="preserve">Dokumentet </t>
    </r>
    <r>
      <rPr>
        <b/>
        <sz val="11"/>
        <color theme="1"/>
        <rFont val="Aptos Narrow"/>
        <family val="2"/>
        <scheme val="minor"/>
      </rPr>
      <t>Ordliste_HHU_UIA_Oekonomi_Budsjett_2027.md</t>
    </r>
    <r>
      <rPr>
        <sz val="11"/>
        <color theme="1"/>
        <rFont val="Aptos Narrow"/>
        <family val="2"/>
        <scheme val="minor"/>
      </rPr>
      <t xml:space="preserve"> er publisert i Studio. Nedenfor gies sammendraget av kjjernebegrepene:</t>
    </r>
  </si>
  <si>
    <t>1. Sektor- og Finansieringsbegreper</t>
  </si>
  <si>
    <r>
      <t>KD (Kunnskapsdepartementet):</t>
    </r>
    <r>
      <rPr>
        <sz val="11"/>
        <color theme="1"/>
        <rFont val="Aptos Narrow"/>
        <family val="2"/>
        <scheme val="minor"/>
      </rPr>
      <t xml:space="preserve"> Overordnet sektordepartement som tildeler statstilskuddet via det årlige tildelingsbrevet (Kap. 260).</t>
    </r>
  </si>
  <si>
    <r>
      <t>BFV (Bevilgningsfinansiert virksomhet):</t>
    </r>
    <r>
      <rPr>
        <sz val="11"/>
        <color theme="1"/>
        <rFont val="Aptos Narrow"/>
        <family val="2"/>
        <scheme val="minor"/>
      </rPr>
      <t xml:space="preserve"> Ordinær kjernevirksomhet finansiert over statsbudsjettets Post 50 basisbevilgning.</t>
    </r>
  </si>
  <si>
    <r>
      <t>BOA (Bidrags- og oppdragsfinansiert aktivitet):</t>
    </r>
    <r>
      <rPr>
        <sz val="11"/>
        <color theme="1"/>
        <rFont val="Aptos Narrow"/>
        <family val="2"/>
        <scheme val="minor"/>
      </rPr>
      <t xml:space="preserve"> Eksternfinansiert forskning og utdanning.</t>
    </r>
  </si>
  <si>
    <r>
      <t>Bidrag (NFR, EU Horisont Europa):</t>
    </r>
    <r>
      <rPr>
        <sz val="11"/>
        <color theme="1"/>
        <rFont val="Aptos Narrow"/>
        <family val="2"/>
        <scheme val="minor"/>
      </rPr>
      <t xml:space="preserve"> Støtte uten krav om kommersiell motytelse (</t>
    </r>
    <r>
      <rPr>
        <b/>
        <sz val="11"/>
        <color theme="1"/>
        <rFont val="Aptos Narrow"/>
        <family val="2"/>
        <scheme val="minor"/>
      </rPr>
      <t>SRS 10</t>
    </r>
    <r>
      <rPr>
        <sz val="11"/>
        <color theme="1"/>
        <rFont val="Aptos Narrow"/>
        <family val="2"/>
        <scheme val="minor"/>
      </rPr>
      <t xml:space="preserve"> periodisering).</t>
    </r>
  </si>
  <si>
    <r>
      <t>Oppdrag (EVU, næringsliv):</t>
    </r>
    <r>
      <rPr>
        <sz val="11"/>
        <color theme="1"/>
        <rFont val="Aptos Narrow"/>
        <family val="2"/>
        <scheme val="minor"/>
      </rPr>
      <t xml:space="preserve"> Salg av tjenester mot betaling (</t>
    </r>
    <r>
      <rPr>
        <b/>
        <sz val="11"/>
        <color theme="1"/>
        <rFont val="Aptos Narrow"/>
        <family val="2"/>
        <scheme val="minor"/>
      </rPr>
      <t>SRS 9</t>
    </r>
    <r>
      <rPr>
        <sz val="11"/>
        <color theme="1"/>
        <rFont val="Aptos Narrow"/>
        <family val="2"/>
        <scheme val="minor"/>
      </rPr>
      <t xml:space="preserve"> fullføringsgrad og tapsavsetning).</t>
    </r>
  </si>
  <si>
    <r>
      <t>TDI-modellen:</t>
    </r>
    <r>
      <rPr>
        <sz val="11"/>
        <color theme="1"/>
        <rFont val="Aptos Narrow"/>
        <family val="2"/>
        <scheme val="minor"/>
      </rPr>
      <t xml:space="preserve"> Nasjonal UH-standard for beregning av direkte prosjektkostnader pluss et felleskostnadspåslag (overhead på ca. 22 %).</t>
    </r>
  </si>
  <si>
    <r>
      <t>Frikjøp (Buy-out):</t>
    </r>
    <r>
      <rPr>
        <sz val="11"/>
        <color theme="1"/>
        <rFont val="Aptos Narrow"/>
        <family val="2"/>
        <scheme val="minor"/>
      </rPr>
      <t xml:space="preserve"> Overføring av vitenskapelig ansattes lønnskostnad fra basisbudsjettet til BOA-prosjekter.</t>
    </r>
  </si>
  <si>
    <t>2. KDs Finansieringsmodell 2025/2027 &amp; Kategoriinndeling</t>
  </si>
  <si>
    <r>
      <t>Nettobudsjetteringsprinsippet:</t>
    </r>
    <r>
      <rPr>
        <sz val="11"/>
        <color theme="1"/>
        <rFont val="Aptos Narrow"/>
        <family val="2"/>
        <scheme val="minor"/>
      </rPr>
      <t xml:space="preserve"> Eksisterende utdanningsvolum ligger fast beskyttet i basisbevilgningen.</t>
    </r>
  </si>
  <si>
    <r>
      <t>Kategori 1 (54 550 kr per 60 SPE):</t>
    </r>
    <r>
      <rPr>
        <sz val="11"/>
        <color theme="1"/>
        <rFont val="Aptos Narrow"/>
        <family val="2"/>
        <scheme val="minor"/>
      </rPr>
      <t xml:space="preserve"> Humaniora, samfunnsfag og økonomisk-administrative fag (HHU).</t>
    </r>
  </si>
  <si>
    <r>
      <t>Kategori 2 (81 800 kr per 60 SPE):</t>
    </r>
    <r>
      <rPr>
        <sz val="11"/>
        <color theme="1"/>
        <rFont val="Aptos Narrow"/>
        <family val="2"/>
        <scheme val="minor"/>
      </rPr>
      <t xml:space="preserve"> Realfag, helse-, sosial- og lærerutdanninger, psykologi.</t>
    </r>
  </si>
  <si>
    <r>
      <t>Kategori 3 (190 900 kr per 60 SPE):</t>
    </r>
    <r>
      <rPr>
        <sz val="11"/>
        <color theme="1"/>
        <rFont val="Aptos Narrow"/>
        <family val="2"/>
        <scheme val="minor"/>
      </rPr>
      <t xml:space="preserve"> Medisin, odontologi og veterinærmedisin.</t>
    </r>
  </si>
  <si>
    <r>
      <t>2-Års Etterslep (Lag):</t>
    </r>
    <r>
      <rPr>
        <sz val="11"/>
        <color theme="1"/>
        <rFont val="Aptos Narrow"/>
        <family val="2"/>
        <scheme val="minor"/>
      </rPr>
      <t xml:space="preserve"> Studiepoeng avlagt i </t>
    </r>
    <r>
      <rPr>
        <b/>
        <sz val="11"/>
        <color theme="1"/>
        <rFont val="Aptos Narrow"/>
        <family val="2"/>
        <scheme val="minor"/>
      </rPr>
      <t>2025</t>
    </r>
    <r>
      <rPr>
        <sz val="11"/>
        <color theme="1"/>
        <rFont val="Aptos Narrow"/>
        <family val="2"/>
        <scheme val="minor"/>
      </rPr>
      <t xml:space="preserve"> gir resultatbetaling på statsbudsjettet i </t>
    </r>
    <r>
      <rPr>
        <b/>
        <sz val="11"/>
        <color theme="1"/>
        <rFont val="Aptos Narrow"/>
        <family val="2"/>
        <scheme val="minor"/>
      </rPr>
      <t>2027</t>
    </r>
    <r>
      <rPr>
        <sz val="11"/>
        <color theme="1"/>
        <rFont val="Aptos Narrow"/>
        <family val="2"/>
        <scheme val="minor"/>
      </rPr>
      <t>.</t>
    </r>
  </si>
  <si>
    <t>3. Budsjetteringsmetoder &amp; Prosess</t>
  </si>
  <si>
    <r>
      <t>BUD2027:</t>
    </r>
    <r>
      <rPr>
        <sz val="11"/>
        <color theme="1"/>
        <rFont val="Aptos Narrow"/>
        <family val="2"/>
        <scheme val="minor"/>
      </rPr>
      <t xml:space="preserve"> Vedtatt årsbudsjettbaseline for 2027.</t>
    </r>
  </si>
  <si>
    <r>
      <t>BAC (Budget at Completion):</t>
    </r>
    <r>
      <rPr>
        <sz val="11"/>
        <color theme="1"/>
        <rFont val="Aptos Narrow"/>
        <family val="2"/>
        <scheme val="minor"/>
      </rPr>
      <t xml:space="preserve"> Samlet godkjent budsjettramme ved årets start.</t>
    </r>
  </si>
  <si>
    <r>
      <t>EAC (Estimate at Completion / Latest Estimate - LE):</t>
    </r>
    <r>
      <rPr>
        <sz val="11"/>
        <color theme="1"/>
        <rFont val="Aptos Narrow"/>
        <family val="2"/>
        <scheme val="minor"/>
      </rPr>
      <t xml:space="preserve"> Oppdatert helårsprognose.</t>
    </r>
  </si>
  <si>
    <r>
      <t>Driverbasert Budsjettering:</t>
    </r>
    <r>
      <rPr>
        <sz val="11"/>
        <color theme="1"/>
        <rFont val="Aptos Narrow"/>
        <family val="2"/>
        <scheme val="minor"/>
      </rPr>
      <t xml:space="preserve"> Budsjettmetode basert på operasjonelle volumdrivere (årsverk, stillingsgrupper, SPE60, studenter) i Unit4 UBW Planlegger.</t>
    </r>
  </si>
  <si>
    <r>
      <t>Systemfrys (Freeze):</t>
    </r>
    <r>
      <rPr>
        <sz val="11"/>
        <color theme="1"/>
        <rFont val="Aptos Narrow"/>
        <family val="2"/>
        <scheme val="minor"/>
      </rPr>
      <t xml:space="preserve"> Låsing av budsjettgrunnlaget i UBW for uforanderlig audit-trail.</t>
    </r>
  </si>
  <si>
    <t>4. Bemannings- og Kapasitetsstyring</t>
  </si>
  <si>
    <r>
      <t>FTE / Årsverk:</t>
    </r>
    <r>
      <rPr>
        <sz val="11"/>
        <color theme="1"/>
        <rFont val="Aptos Narrow"/>
        <family val="2"/>
        <scheme val="minor"/>
      </rPr>
      <t xml:space="preserve"> Måleenhet for arbeidskraft (1,0 årsverk = 1950 timer). HHU har </t>
    </r>
    <r>
      <rPr>
        <b/>
        <sz val="11"/>
        <color theme="1"/>
        <rFont val="Aptos Narrow"/>
        <family val="2"/>
        <scheme val="minor"/>
      </rPr>
      <t>230 årsverk</t>
    </r>
    <r>
      <rPr>
        <sz val="11"/>
        <color theme="1"/>
        <rFont val="Aptos Narrow"/>
        <family val="2"/>
        <scheme val="minor"/>
      </rPr>
      <t xml:space="preserve"> (</t>
    </r>
    <r>
      <rPr>
        <b/>
        <sz val="11"/>
        <color theme="1"/>
        <rFont val="Aptos Narrow"/>
        <family val="2"/>
        <scheme val="minor"/>
      </rPr>
      <t>155 UF / 75 TA</t>
    </r>
    <r>
      <rPr>
        <sz val="11"/>
        <color theme="1"/>
        <rFont val="Aptos Narrow"/>
        <family val="2"/>
        <scheme val="minor"/>
      </rPr>
      <t>).</t>
    </r>
  </si>
  <si>
    <r>
      <t>Lønnsandel %:</t>
    </r>
    <r>
      <rPr>
        <sz val="11"/>
        <color theme="1"/>
        <rFont val="Aptos Narrow"/>
        <family val="2"/>
        <scheme val="minor"/>
      </rPr>
      <t xml:space="preserve"> Personalkostnadenes andel av totale driftskostnader (HHU target: </t>
    </r>
    <r>
      <rPr>
        <b/>
        <sz val="11"/>
        <color theme="1"/>
        <rFont val="Aptos Narrow"/>
        <family val="2"/>
        <scheme val="minor"/>
      </rPr>
      <t>64,2 %</t>
    </r>
    <r>
      <rPr>
        <sz val="11"/>
        <color theme="1"/>
        <rFont val="Aptos Narrow"/>
        <family val="2"/>
        <scheme val="minor"/>
      </rPr>
      <t>, sektornorm: 62–65 %).</t>
    </r>
  </si>
  <si>
    <r>
      <t>Vakansfaktor:</t>
    </r>
    <r>
      <rPr>
        <sz val="11"/>
        <color theme="1"/>
        <rFont val="Aptos Narrow"/>
        <family val="2"/>
        <scheme val="minor"/>
      </rPr>
      <t xml:space="preserve"> Innlagt reduksjon i lønnsbudsjettet (3–5 %) for å ta høyde for avgang og rekrutteringstid (3–6 måneder).</t>
    </r>
  </si>
  <si>
    <t>5. Regnskapsstandarder &amp; Lovverk (SRS &amp; DFØ)</t>
  </si>
  <si>
    <r>
      <t>SRS 9:</t>
    </r>
    <r>
      <rPr>
        <sz val="11"/>
        <color theme="1"/>
        <rFont val="Aptos Narrow"/>
        <family val="2"/>
        <scheme val="minor"/>
      </rPr>
      <t xml:space="preserve"> Salgs- og oppdragsinntekter (fullføringsgrad og tapsavsetning på konto 7790).</t>
    </r>
  </si>
  <si>
    <r>
      <t>SRS 10:</t>
    </r>
    <r>
      <rPr>
        <sz val="11"/>
        <color theme="1"/>
        <rFont val="Aptos Narrow"/>
        <family val="2"/>
        <scheme val="minor"/>
      </rPr>
      <t xml:space="preserve"> Inntektsføring av bidrag i takt med medgåtte prosjektkostnader.</t>
    </r>
  </si>
  <si>
    <r>
      <t>SRS 17:</t>
    </r>
    <r>
      <rPr>
        <sz val="11"/>
        <color theme="1"/>
        <rFont val="Aptos Narrow"/>
        <family val="2"/>
        <scheme val="minor"/>
      </rPr>
      <t xml:space="preserve"> Aktivering og avskrivning av IKT og utstyr over 50 000 kr.</t>
    </r>
  </si>
  <si>
    <r>
      <t>F-05-20 (5 %-regelen):</t>
    </r>
    <r>
      <rPr>
        <sz val="11"/>
        <color theme="1"/>
        <rFont val="Aptos Narrow"/>
        <family val="2"/>
        <scheme val="minor"/>
      </rPr>
      <t xml:space="preserve"> Krav om at ubrukte bevilgningsmidler (</t>
    </r>
    <r>
      <rPr>
        <i/>
        <sz val="11"/>
        <color theme="1"/>
        <rFont val="Aptos Narrow"/>
        <family val="2"/>
        <scheme val="minor"/>
      </rPr>
      <t>formålskapital</t>
    </r>
    <r>
      <rPr>
        <sz val="11"/>
        <color theme="1"/>
        <rFont val="Aptos Narrow"/>
        <family val="2"/>
        <scheme val="minor"/>
      </rPr>
      <t>) over 5 % må være formelt avsatt til godkjente investeringsplaner for å unngå inndragning.</t>
    </r>
  </si>
  <si>
    <t>6. Power BI &amp; Visualisering</t>
  </si>
  <si>
    <r>
      <t>3-30-300-regelen:</t>
    </r>
    <r>
      <rPr>
        <sz val="11"/>
        <color theme="1"/>
        <rFont val="Aptos Narrow"/>
        <family val="2"/>
        <scheme val="minor"/>
      </rPr>
      <t xml:space="preserve"> Informasjonshierarki (3 sekunder KPI-kort, 30 sekunder trend/stolpediagram, 300 sekunder granulær matrise).</t>
    </r>
  </si>
  <si>
    <r>
      <t>RAG-status:</t>
    </r>
    <r>
      <rPr>
        <sz val="11"/>
        <color theme="1"/>
        <rFont val="Aptos Narrow"/>
        <family val="2"/>
        <scheme val="minor"/>
      </rPr>
      <t xml:space="preserve"> Trafikklysklassifisering (🟢 Grønn = I budsjett, 🟡 Gul = 2–5 % avvik, 🔴 Rød = &gt; 5 % avvik).</t>
    </r>
  </si>
  <si>
    <r>
      <t xml:space="preserve">I statlig økonomistyring og ved Universiteter og høyskoler (UiA) brukes </t>
    </r>
    <r>
      <rPr>
        <b/>
        <sz val="11"/>
        <color rgb="FF303030"/>
        <rFont val="Arial"/>
        <family val="2"/>
      </rPr>
      <t>vakans</t>
    </r>
    <r>
      <rPr>
        <sz val="11"/>
        <color rgb="FF303030"/>
        <rFont val="Arial"/>
        <family val="2"/>
      </rPr>
      <t xml:space="preserve"> og relaterte begreper om ubesatte stillinger og hvordan disse styres i bemannings- og lønnsbudsjettet:</t>
    </r>
  </si>
  <si>
    <r>
      <t xml:space="preserve">💡 </t>
    </r>
    <r>
      <rPr>
        <b/>
        <sz val="11"/>
        <color rgb="FF303030"/>
        <rFont val="Arial"/>
        <family val="2"/>
      </rPr>
      <t>Sluttsum for controlleren:</t>
    </r>
    <r>
      <rPr>
        <sz val="11"/>
        <color rgb="FF303030"/>
        <rFont val="Arial"/>
        <family val="2"/>
      </rPr>
      <t xml:space="preserve"> Lønn utgjør over </t>
    </r>
    <r>
      <rPr>
        <b/>
        <sz val="11"/>
        <color rgb="FF303030"/>
        <rFont val="Arial"/>
        <family val="2"/>
      </rPr>
      <t>65–70 %</t>
    </r>
    <r>
      <rPr>
        <sz val="11"/>
        <color rgb="FF303030"/>
        <rFont val="Arial"/>
        <family val="2"/>
      </rPr>
      <t xml:space="preserve"> av universitetets kostnader, så presis vakansstyring er det viktigste verktøyet for å styre personalkostnadene</t>
    </r>
  </si>
  <si>
    <r>
      <t>Vakans (ledig stilling):</t>
    </r>
    <r>
      <rPr>
        <sz val="11"/>
        <color rgb="FF303030"/>
        <rFont val="Arial"/>
        <family val="2"/>
      </rPr>
      <t xml:space="preserve"> En ubesatt stilling i organisasjonen som oppstår ved at en ansatt slutter, går av med pensjon, har ulønnet permisjon, eller at det opprettes en ny stillingshjemmel som ennå ikke er besatt.</t>
    </r>
  </si>
  <si>
    <r>
      <t>Vakansfaktor (vakansreduksjon):</t>
    </r>
    <r>
      <rPr>
        <sz val="11"/>
        <color rgb="FF303030"/>
        <rFont val="Arial"/>
        <family val="2"/>
      </rPr>
      <t xml:space="preserve"> En innlagt sjablongmessig reduksjon i lønnsbudsjettet (typisk </t>
    </r>
    <r>
      <rPr>
        <b/>
        <sz val="11"/>
        <color rgb="FF303030"/>
        <rFont val="Arial"/>
        <family val="2"/>
      </rPr>
      <t>3–5 %</t>
    </r>
    <r>
      <rPr>
        <sz val="11"/>
        <color rgb="FF303030"/>
        <rFont val="Arial"/>
        <family val="2"/>
      </rPr>
      <t xml:space="preserve">) i budsjetteringssystemer som Unit4 UBW Planlegger. Dette gjøres fordi det i praksis alltid vil ta tid (typisk </t>
    </r>
    <r>
      <rPr>
        <b/>
        <sz val="11"/>
        <color rgb="FF303030"/>
        <rFont val="Arial"/>
        <family val="2"/>
      </rPr>
      <t>3–6 måneder</t>
    </r>
    <r>
      <rPr>
        <sz val="11"/>
        <color rgb="FF303030"/>
        <rFont val="Arial"/>
        <family val="2"/>
      </rPr>
      <t>) å rekruttere nye ansatte, samt at det løpende oppstår naturlig avgang og permisjoner. Uten en vakansfaktor vil lønnskostnadene bli overbudsjettert dersom man forutsetter 100 % full bemanning fra 1. januar til 31. desember.</t>
    </r>
  </si>
  <si>
    <r>
      <t>Vakansstyring:</t>
    </r>
    <r>
      <rPr>
        <sz val="11"/>
        <color rgb="FF303030"/>
        <rFont val="Arial"/>
        <family val="2"/>
      </rPr>
      <t xml:space="preserve"> Controllerens og ledelsens aktive oppfølging av ledige stillinger. Dette innebærer å vurdere realistisk ansettelsestidspunkt, eller vurdering av om en stilling skal holdes midlertidig vakant (f.eks. ved ansettelsesstopp / tiltak T001) for å redusere personalkostnader og gjennopprette økonomisk balanse.</t>
    </r>
  </si>
  <si>
    <t>DatoNokkel</t>
  </si>
  <si>
    <t>OrgKode</t>
  </si>
  <si>
    <t>Konto</t>
  </si>
  <si>
    <t>ProsjektKode</t>
  </si>
  <si>
    <t>Bokforingstype</t>
  </si>
  <si>
    <t>Belop_signert</t>
  </si>
  <si>
    <t>Beskrivelse</t>
  </si>
  <si>
    <t>HHU_I001</t>
  </si>
  <si>
    <t>DRIFT</t>
  </si>
  <si>
    <t>Actual</t>
  </si>
  <si>
    <t>KD Bevilgning M01</t>
  </si>
  <si>
    <t>HHU_I002</t>
  </si>
  <si>
    <t>HHU_I003</t>
  </si>
  <si>
    <t>HHU_ADM</t>
  </si>
  <si>
    <t>TEK_001</t>
  </si>
  <si>
    <t>HEL_001</t>
  </si>
  <si>
    <t>SAM_001</t>
  </si>
  <si>
    <t>HUM_001</t>
  </si>
  <si>
    <t>ADM_001</t>
  </si>
  <si>
    <t>KD Bevilgning M02</t>
  </si>
  <si>
    <t>KD Bevilgning M03</t>
  </si>
  <si>
    <t>KD Bevilgning M04</t>
  </si>
  <si>
    <t>KD Bevilgning M05</t>
  </si>
  <si>
    <t>KD Bevilgning M06</t>
  </si>
  <si>
    <t>KD Bevilgning M07</t>
  </si>
  <si>
    <t>KD Bevilgning M08</t>
  </si>
  <si>
    <t>KD Bevilgning M09</t>
  </si>
  <si>
    <t>Forecast</t>
  </si>
  <si>
    <t>KD Bevilgning M10</t>
  </si>
  <si>
    <t>KD Bevilgning M11</t>
  </si>
  <si>
    <t>KD Bevilgning M12</t>
  </si>
  <si>
    <t>Lønn og sosiale kostnader M01</t>
  </si>
  <si>
    <t>Lønn og sosiale kostnader M02</t>
  </si>
  <si>
    <t>Lønn og sosiale kostnader M03</t>
  </si>
  <si>
    <t>Lønn og sosiale kostnader M04</t>
  </si>
  <si>
    <t>Lønn og sosiale kostnader M05</t>
  </si>
  <si>
    <t>Lønn og sosiale kostnader M06</t>
  </si>
  <si>
    <t>Lønn og sosiale kostnader M07</t>
  </si>
  <si>
    <t>Lønn og sosiale kostnader M08</t>
  </si>
  <si>
    <t>Lønn og sosiale kostnader M09</t>
  </si>
  <si>
    <t>Lønn og sosiale kostnader M10</t>
  </si>
  <si>
    <t>Lønn og sosiale kostnader M11</t>
  </si>
  <si>
    <t>Lønn og sosiale kostnader M12</t>
  </si>
  <si>
    <t>Driftskostnader / AACSB M01</t>
  </si>
  <si>
    <t>Driftskostnader / AACSB M02</t>
  </si>
  <si>
    <t>Driftskostnader / AACSB M03</t>
  </si>
  <si>
    <t>Driftskostnader / AACSB M04</t>
  </si>
  <si>
    <t>Driftskostnader / AACSB M05</t>
  </si>
  <si>
    <t>Driftskostnader / AACSB M06</t>
  </si>
  <si>
    <t>Driftskostnader / AACSB M07</t>
  </si>
  <si>
    <t>Driftskostnader / AACSB M08</t>
  </si>
  <si>
    <t>Driftskostnader / AACSB M09</t>
  </si>
  <si>
    <t>Driftskostnader / AACSB M10</t>
  </si>
  <si>
    <t>Driftskostnader / AACSB M11</t>
  </si>
  <si>
    <t>Driftskostnader / AACSB M12</t>
  </si>
  <si>
    <t>Oppdrag/EVU Inntekt M01</t>
  </si>
  <si>
    <t>Oppdrag/EVU Inntekt M02</t>
  </si>
  <si>
    <t>Oppdrag/EVU Inntekt M03</t>
  </si>
  <si>
    <t>Oppdrag/EVU Inntekt M04</t>
  </si>
  <si>
    <t>Oppdrag/EVU Inntekt M05</t>
  </si>
  <si>
    <t>Oppdrag/EVU Inntekt M06</t>
  </si>
  <si>
    <t>Oppdrag/EVU Inntekt M07</t>
  </si>
  <si>
    <t>Oppdrag/EVU Inntekt M08</t>
  </si>
  <si>
    <t>Oppdrag/EVU Inntekt M09</t>
  </si>
  <si>
    <t>Oppdrag/EVU Inntekt M10</t>
  </si>
  <si>
    <t>Oppdrag/EVU Inntekt M11</t>
  </si>
  <si>
    <t>Oppdrag/EVU Inntekt M12</t>
  </si>
  <si>
    <t>NFR001</t>
  </si>
  <si>
    <t>BOA Inntekt M01</t>
  </si>
  <si>
    <t>EVU001</t>
  </si>
  <si>
    <t>EU001</t>
  </si>
  <si>
    <t>BOA Inntekt M02</t>
  </si>
  <si>
    <t>BOA Inntekt M03</t>
  </si>
  <si>
    <t>AACSB01</t>
  </si>
  <si>
    <t>BOA Inntekt M04</t>
  </si>
  <si>
    <t>BOA Inntekt M05</t>
  </si>
  <si>
    <t>BOA Inntekt M06</t>
  </si>
  <si>
    <t>BOA Inntekt M07</t>
  </si>
  <si>
    <t>BOA Inntekt M08</t>
  </si>
  <si>
    <t>BOA Inntekt M09</t>
  </si>
  <si>
    <t>SRS 9 Avsetning for tapskontrakt EVU001</t>
  </si>
  <si>
    <t>BOA Inntekt M10</t>
  </si>
  <si>
    <t>BOA Inntekt M11</t>
  </si>
  <si>
    <t>BOA Inntekt M12</t>
  </si>
  <si>
    <t>INV001</t>
  </si>
  <si>
    <t>Investeringer Capex M01</t>
  </si>
  <si>
    <t>Investeringer Capex M02</t>
  </si>
  <si>
    <t>Investeringer Capex M03</t>
  </si>
  <si>
    <t>Investeringer Capex M04</t>
  </si>
  <si>
    <t>Investeringer Capex M05</t>
  </si>
  <si>
    <t>Investeringer Capex M06</t>
  </si>
  <si>
    <t>Investeringer Capex M07</t>
  </si>
  <si>
    <t>Investeringer Capex M08</t>
  </si>
  <si>
    <t>Investeringer Capex M09</t>
  </si>
  <si>
    <t>Investeringer Capex M10</t>
  </si>
  <si>
    <t>Investeringer Capex M11</t>
  </si>
  <si>
    <t>Investeringer Capex M12</t>
  </si>
  <si>
    <t>Dato</t>
  </si>
  <si>
    <t>Aar</t>
  </si>
  <si>
    <t>MaanedNummer</t>
  </si>
  <si>
    <t>MaanedNavnKort</t>
  </si>
  <si>
    <t>MaanedNavn</t>
  </si>
  <si>
    <t>Kvartal</t>
  </si>
  <si>
    <t>ErActualYTD</t>
  </si>
  <si>
    <t>PeriodeType</t>
  </si>
  <si>
    <t>Jan</t>
  </si>
  <si>
    <t>Januar</t>
  </si>
  <si>
    <t>Q1</t>
  </si>
  <si>
    <t>Feb</t>
  </si>
  <si>
    <t>Februar</t>
  </si>
  <si>
    <t>Mar</t>
  </si>
  <si>
    <t>Mars</t>
  </si>
  <si>
    <t>Apr</t>
  </si>
  <si>
    <t>April</t>
  </si>
  <si>
    <t>Q2</t>
  </si>
  <si>
    <t>Mai</t>
  </si>
  <si>
    <t>Jun</t>
  </si>
  <si>
    <t>Juni</t>
  </si>
  <si>
    <t>Jul</t>
  </si>
  <si>
    <t>Juli</t>
  </si>
  <si>
    <t>Q3</t>
  </si>
  <si>
    <t>Aug</t>
  </si>
  <si>
    <t>August</t>
  </si>
  <si>
    <t>Sep</t>
  </si>
  <si>
    <t>September</t>
  </si>
  <si>
    <t>Okt</t>
  </si>
  <si>
    <t>Oktober</t>
  </si>
  <si>
    <t>Q4</t>
  </si>
  <si>
    <t>Nov</t>
  </si>
  <si>
    <t>November</t>
  </si>
  <si>
    <t>Des</t>
  </si>
  <si>
    <t>Desember</t>
  </si>
  <si>
    <t>LineNr</t>
  </si>
  <si>
    <t>LineContent</t>
  </si>
  <si>
    <t xml:space="preserve"> complete, production-grade DAX Measure Library for the UiA Controller Project and Financial Management Framework12.This library covers the entire semantic datamodel (FactGL, FactBudget, FactFTE, FactStudents, FactEVM, FactAction, DimOrganization, DimAccountHierarchy, DimDate)3more_horiz. It is organized into 8 display folders for Power BI Desktop and incorporates the "So What?" decision-support framework67, Edward Tufte's data-ink principles89, temporal context (YoY and MoM)1011, and strict Red-Amber-Green (RAG) conditional formatting1213.Folder 1: Core Accounting &amp; YTD Measures (_01 Accounting)// 1. Actual YTD (Bokført regnskap M01 - M09 / Sept 30 Cutoff)</t>
  </si>
  <si>
    <t xml:space="preserve">Actual YTD = </t>
  </si>
  <si>
    <t xml:space="preserve">    SUM('FactGL'[Belop_signert]),</t>
  </si>
  <si>
    <t xml:space="preserve">    'FactGL'[Bokforingstype] = "Actual"</t>
  </si>
  <si>
    <t/>
  </si>
  <si>
    <t>// 2. Budsjett YTD (Akkumulert periodisert budsjett M01 - M09)</t>
  </si>
  <si>
    <t xml:space="preserve">Budsjett YTD = </t>
  </si>
  <si>
    <t xml:space="preserve">    'DimDate'[ErActualYTD] = TRUE()</t>
  </si>
  <si>
    <t>// 3. Avvik YTD (MNOK) [Positivt = Merforbruk / Negativt = Mindreforbruk]</t>
  </si>
  <si>
    <t>Avvik YTD = [Actual YTD] - [Budsjett YTD]</t>
  </si>
  <si>
    <t>// 4. Avvik YTD %</t>
  </si>
  <si>
    <t xml:space="preserve">Avvik YTD % = </t>
  </si>
  <si>
    <t>DIVIDE([Avvik YTD], [Budsjett YTD], 0)</t>
  </si>
  <si>
    <t>// 5. Monthly Actuals and Forecast Bridge (M01-M09 Actuals + M10-M12 Q4 Forecast)</t>
  </si>
  <si>
    <t xml:space="preserve">Monthly Actuals and Forecast = </t>
  </si>
  <si>
    <t>VAR CutoffMonth = 9</t>
  </si>
  <si>
    <t>VAR CurrentMonth = MAX('DimDate'[MaanedNummer])</t>
  </si>
  <si>
    <t>VAR ActualAmount = CALCULATE(SUM('FactGL'[Belop_signert]), 'FactGL'[Bokforingstype] = "Actual")</t>
  </si>
  <si>
    <t>VAR ForecastAmount = CALCULATE(SUM('FactGL'[Belop_signert]), 'FactGL'[Bokforingstype] = "Forecast")</t>
  </si>
  <si>
    <t>IF(CurrentMonth &lt;= CutoffMonth, ActualAmount, ForecastAmount)</t>
  </si>
  <si>
    <t>Note: Actual YTD sums historical general ledger transactions up to the September 30 cutoff date (1 072,1 MNOK revenue / 1 092,0 MNOK expenses for UiA)1415.Folder 2: Rolling Forecasts &amp; Year-End Estimates (_02 Forecast &amp; LE)// 6. Forecast Q4 / Estimate to Complete (ETC M10 - M12)</t>
  </si>
  <si>
    <t xml:space="preserve">Forecast Q4 (ETC) = </t>
  </si>
  <si>
    <t xml:space="preserve">    'FactGL'[Bokforingstype] = "Forecast"</t>
  </si>
  <si>
    <t>// 7. Forecast LE / Estimate at Completion (EAC = Actual YTD + Q4 Forecast)</t>
  </si>
  <si>
    <t>Forecast LE (EAC) = [Actual YTD] + [Forecast Q4 (ETC)]</t>
  </si>
  <si>
    <t>// 8. Vedtatt Årsbudsjett / Budget at Completion (BAC)</t>
  </si>
  <si>
    <t>Årsbudsjett (BAC) = SUM('FactBudget'[BudsjettBelop])</t>
  </si>
  <si>
    <t>// 9. Sluttavvik / Variance at Completion (VAC MNOK = BAC - EAC)</t>
  </si>
  <si>
    <t>Sluttavvik (VAC) = [Årsbudsjett (BAC)] - [Forecast LE (EAC)]</t>
  </si>
  <si>
    <t>// 10. VAC % (Relativ overskridelse eller innsparing)</t>
  </si>
  <si>
    <t xml:space="preserve">VAC % = </t>
  </si>
  <si>
    <t>DIVIDE([Sluttavvik (VAC)], [Årsbudsjett (BAC)], 0)</t>
  </si>
  <si>
    <t>Note: The total full-year forecast (Forecast LE / EAC) equals 1 433,0 MNOK in revenue against 1 444,0 MNOK in expenses, yielding a net full-year deficit (VAC) of -11,0 MNOK that is covered by accumulated reserves pursuant to Note 15 and Circular F-05-201617.Folder 3: Temporal Baseline Comparisons (_03 Temporal YoY &amp; MoM)// 11. Prior Year Actuals (PY YTD)</t>
  </si>
  <si>
    <t xml:space="preserve">Actual PY = </t>
  </si>
  <si>
    <t xml:space="preserve">    [Actual YTD],</t>
  </si>
  <si>
    <t xml:space="preserve">    SAMEPERIODLASTYEAR('DimDate'[Dato])</t>
  </si>
  <si>
    <t>// 12. Absolute Year-over-Year Difference (YoY MNOK)</t>
  </si>
  <si>
    <t>Actual YoY = [Actual YTD] - [Actual PY]</t>
  </si>
  <si>
    <t>// 13. Percentage Year-over-Year Growth (YoY %)</t>
  </si>
  <si>
    <t xml:space="preserve">Actual YoY % = </t>
  </si>
  <si>
    <t>DIVIDE([Actual YoY], [Actual PY], 0)</t>
  </si>
  <si>
    <t>// 14. Prior Month Actuals (PM)</t>
  </si>
  <si>
    <t xml:space="preserve">Actual PM = </t>
  </si>
  <si>
    <t xml:space="preserve">    PREVIOUSMONTH('DimDate'[Dato]),</t>
  </si>
  <si>
    <t>// 15. Current Month Actuals (CM)</t>
  </si>
  <si>
    <t xml:space="preserve">Actual CM = </t>
  </si>
  <si>
    <t xml:space="preserve">    'DimDate'[DatoNokkel] = MAX('FactGL'[DatoNokkel]),</t>
  </si>
  <si>
    <t>// 16. Month-over-Month Difference (MoM MNOK)</t>
  </si>
  <si>
    <t>Actual MoM = [Actual CM] - [Actual PM]</t>
  </si>
  <si>
    <t>// 17. Percentage Month-over-Month Growth (MoM %)</t>
  </si>
  <si>
    <t xml:space="preserve">Actual MoM % = </t>
  </si>
  <si>
    <t>DIVIDE([Actual MoM], [Actual PM], 0)</t>
  </si>
  <si>
    <t>Note: Adding temporal baselines (YoY and MoM) ensures that executives evaluate performance momentum alongside annual budget targets1011.Folder 4: Earned Value Management (_04 EVM)// 18. Planned Value (PV) - Akkumulert planlagt verdi</t>
  </si>
  <si>
    <t>Planned Value (PV) = SUM('FactEVM'[Planned_Value_PV_MNOK])</t>
  </si>
  <si>
    <t>// 19. Earned Value (EV) - Akkumulert opptjent verdi</t>
  </si>
  <si>
    <t>Earned Value (EV) = SUM('FactEVM'[Earned_Value_EV_MNOK])</t>
  </si>
  <si>
    <t>// 20. Actual Cost (AC) - Akkumulert faktisk kostnad</t>
  </si>
  <si>
    <t>Actual Cost (AC) = SUM('FactEVM'[Actual_Cost_AC_MNOK])</t>
  </si>
  <si>
    <t>// 21. Cost Performance Index (CPI = EV / AC)</t>
  </si>
  <si>
    <t>CPI = DIVIDE([Earned Value (EV)], [Actual Cost (AC)], 1)</t>
  </si>
  <si>
    <t>// 22. Schedule Performance Index (SPI = EV / PV)</t>
  </si>
  <si>
    <t>SPI = DIVIDE([Earned Value (EV)], [Planned Value (PV)], 1)</t>
  </si>
  <si>
    <t>// 23. EVM Status Subtitle Callout</t>
  </si>
  <si>
    <t xml:space="preserve">EVM Status Subtitle = </t>
  </si>
  <si>
    <t>VAR CPIVal = [CPI]</t>
  </si>
  <si>
    <t>VAR SPIVal = [SPI]</t>
  </si>
  <si>
    <t>"CPI: " &amp; FORMAT(CPIVal, "0.00") &amp; " (Kost) | SPI: " &amp; FORMAT(SPIVal, "0.00") &amp; " (Fremdrift)"</t>
  </si>
  <si>
    <t>Note: At the late-year control cutoff, UiA's CPI is 0.95 (5% cost overrun) and SPI is 0.92 (8% schedule lag)1718.Folder 5: Staffing &amp; Capacity KPIs (_05 Staffing &amp; FTE)// 24. Totale Årsverk (FTE Snapshot)</t>
  </si>
  <si>
    <t xml:space="preserve">Totale Årsverk = </t>
  </si>
  <si>
    <t xml:space="preserve">    SUM('FactFTE'[Aarsverk]),</t>
  </si>
  <si>
    <t xml:space="preserve">    'DimDate'[DatoNokkel] = MAX('FactFTE'[DatoNokkel])</t>
  </si>
  <si>
    <t>// 25. Faglige Årsverk (UF - Undervisning og Forskning)</t>
  </si>
  <si>
    <t xml:space="preserve">Faglige Årsverk (UF) = </t>
  </si>
  <si>
    <t xml:space="preserve">    [Totale Årsverk],</t>
  </si>
  <si>
    <t xml:space="preserve">    'FactFTE'[Stillingstype] = "UF"</t>
  </si>
  <si>
    <t>// 26. Teknisk-Administrative Årsverk (TA)</t>
  </si>
  <si>
    <t xml:space="preserve">Teknisk-Admin Årsverk (TA) = </t>
  </si>
  <si>
    <t xml:space="preserve">    'FactFTE'[Stillingstype] = "TA"</t>
  </si>
  <si>
    <t>// 27. Faglig Andel % (Sektormål: &gt; 50-55%)</t>
  </si>
  <si>
    <t>Faglig Andel % = DIVIDE([Faglige Årsverk (UF)], [Totale Årsverk], 0)</t>
  </si>
  <si>
    <t>// 28. Lønnsandel % av Totale Driftskostnader (Sektornorm: 62-65%)</t>
  </si>
  <si>
    <t xml:space="preserve">Lønnsandel % = </t>
  </si>
  <si>
    <t>VAR Lonn = CALCULATE(SUM('FactGL'[Belop_signert]), 'DimAccountHierarchy'[Nivaa1_Navn] = "Lønnskostnad")</t>
  </si>
  <si>
    <t>VAR TotalKost = CALCULATE(SUM('FactGL'[Belop_signert]), 'DimAccountHierarchy'[Kontotype] = "Kostnad")</t>
  </si>
  <si>
    <t>// 29. Staffing Card Subtitle Callout</t>
  </si>
  <si>
    <t xml:space="preserve">Staffing Card Subtitle = </t>
  </si>
  <si>
    <t>VAR UF = [Faglige Årsverk (UF)]</t>
  </si>
  <si>
    <t>VAR TA = [Teknisk-Admin Årsverk (TA)]</t>
  </si>
  <si>
    <t>VAR LonnPct = [Lønnsandel %]</t>
  </si>
  <si>
    <t>FORMAT(UF, "#0") &amp; " UF / " &amp; FORMAT(TA, "#0") &amp; " TA | Lønnsandel: " &amp; FORMAT(LonnPct, "0.0%")</t>
  </si>
  <si>
    <t>Note: Personnel expenses represent 65.4% of total operating expenses across UiA (944.0 MNOK), slightly exceeding the sector benchmark upper threshold of 65.0%19more_horiz.Folder 6: Student Production &amp; KD 2025 Model (_06 Utdanning &amp; SPE60)// 30. Registrerte Studenter</t>
  </si>
  <si>
    <t>Registrerte Studenter = SUM('FactStudents'[RegistrerteStudenter])</t>
  </si>
  <si>
    <t>// 31. Avlagte Studiepoengekvivalenter (SPE60 = Total SP / 60)</t>
  </si>
  <si>
    <t>Avlagte SPE60 = SUM('FactStudents'[SPE60])</t>
  </si>
  <si>
    <t>// 32. Studenter pr Faglig Årsverk (Lærertetthet &amp; Kapasitet)</t>
  </si>
  <si>
    <t xml:space="preserve">Studenter pr UF-Årsverk = </t>
  </si>
  <si>
    <t>DIVIDE([Registrerte Studenter], [Faglige Årsverk (UF)], 0)</t>
  </si>
  <si>
    <t>// 33. Enhetskostnad pr SPE60 (NOK pr produserte helårsstudent)</t>
  </si>
  <si>
    <t xml:space="preserve">Enhetskostnad pr SPE60 = </t>
  </si>
  <si>
    <t>DIVIDE([Forecast LE (EAC)] * 1000000, [Avlagte SPE60], 0)</t>
  </si>
  <si>
    <t>// 34. KD Kategori 1 Inntekt (Humaniora, Samfunnsfag, Økonomi @ 54 550 kr/SPE60)</t>
  </si>
  <si>
    <t xml:space="preserve">KD Kat 1 Inntekt = </t>
  </si>
  <si>
    <t xml:space="preserve">    SUM('FactStudents'[SPE60]) * 54550,</t>
  </si>
  <si>
    <t xml:space="preserve">    'FactStudents'[KDKategori] = "Kategori 1"</t>
  </si>
  <si>
    <t>// 35. Student KPI Card Subtitle Callout</t>
  </si>
  <si>
    <t xml:space="preserve">Student KPI Subtitle = </t>
  </si>
  <si>
    <t>VAR SPE = [Avlagte SPE60]</t>
  </si>
  <si>
    <t>VAR Ratio = [Studenter pr UF-Årsverk]</t>
  </si>
  <si>
    <t>FORMAT(SPE, "#,##0") &amp; " SPE60 | " &amp; FORMAT(Ratio, "0.0") &amp; " Studenter/UF-ÅV"</t>
  </si>
  <si>
    <t>Note: Under KD's 2025 funding model, Category 1 produces 54 550 NOK per 60 SPE. Category 1 rates apply strictly to marginal volume changes rather than baseline historical positions22more_horiz.Folder 7: Restructuring &amp; Action Tracker (_07 Action Tracker)// 36. Forventet Tiltakseffekt (Planlagt innsparing i MNOK)</t>
  </si>
  <si>
    <t>Forventet Tiltakseffekt = SUM('FactAction'[ForventetEffekt])</t>
  </si>
  <si>
    <t>// 37. Realisert Tiltakseffekt (Bokført innsparing hittil)</t>
  </si>
  <si>
    <t>Realisert Tiltakseffekt = SUM('FactAction'[RealisertEffekt])</t>
  </si>
  <si>
    <t>// 38. Tiltak Realiseringsgrad %</t>
  </si>
  <si>
    <t xml:space="preserve">Tiltak Realiseringsgrad % = </t>
  </si>
  <si>
    <t>DIVIDE([Realisert Tiltakseffekt], [Forventet Tiltakseffekt], 0)</t>
  </si>
  <si>
    <t>// 39. Forecast etter Tiltak (Netto Sluttresultat inkl. omstilling)</t>
  </si>
  <si>
    <t>Forecast etter Tiltak = [Forecast LE (EAC)] + [Forventet Tiltakseffekt]</t>
  </si>
  <si>
    <t>// 40. Restavvik etter Tiltak (Gjenværende risikogap)</t>
  </si>
  <si>
    <t>Restavvik etter Tiltak = [Forecast etter Tiltak] - [Årsbudsjett (BAC)]</t>
  </si>
  <si>
    <t>Note: FactAction connects restructuring initiatives (e.g., administrative vacancy freezes T001/T002) directly to ledger accounts and forecast drift5more_horiz.Folder 8: RAG Formatting &amp; Dynamic Design (_08 RAG &amp; Design)// 41. Budget Variance RAG Status Text Badge</t>
  </si>
  <si>
    <t xml:space="preserve">Budget Variance RAG Status = </t>
  </si>
  <si>
    <t>VAR Budget = [Årsbudsjett (BAC)]</t>
  </si>
  <si>
    <t>VAR Forecast = [Forecast LE (EAC)]</t>
  </si>
  <si>
    <t>VAR Vac = Forecast - Budget</t>
  </si>
  <si>
    <t>VAR VacPct = DIVIDE(Vac, Budget, 0)</t>
  </si>
  <si>
    <t xml:space="preserve">    Vac &gt;= 0, "🟢 Under/I budsjett",</t>
  </si>
  <si>
    <t xml:space="preserve">    VacPct &gt;= -0.05, "🟡 Moderat overskridelse (2-5%)",</t>
  </si>
  <si>
    <t xml:space="preserve">    "🔴 Kritisk overskridelse (&gt;5%)"</t>
  </si>
  <si>
    <t>// 42. Primary RAG Hex Color (For Bars, Card Accents &amp; Text)</t>
  </si>
  <si>
    <t xml:space="preserve">RAG Hex Color = </t>
  </si>
  <si>
    <t>VAR Vac = [Sluttavvik (VAC)]</t>
  </si>
  <si>
    <t>VAR VacPct = [VAC %]</t>
  </si>
  <si>
    <t>IF(</t>
  </si>
  <si>
    <t xml:space="preserve">    Vac &gt;= 0, </t>
  </si>
  <si>
    <t xml:space="preserve">    "#10b981", // Emerald Green</t>
  </si>
  <si>
    <t xml:space="preserve">    IF(</t>
  </si>
  <si>
    <t xml:space="preserve">        VacPct &gt;= -0.05, </t>
  </si>
  <si>
    <t xml:space="preserve">        "#f59e0b", // Amber Yellow</t>
  </si>
  <si>
    <t xml:space="preserve">        "#ef4444"  // Crimson Red</t>
  </si>
  <si>
    <t xml:space="preserve">    )</t>
  </si>
  <si>
    <t>// 43. Soft RAG Background Fill Hex (Tufte 85% Opacity Tint for Matrix Cells)</t>
  </si>
  <si>
    <t xml:space="preserve">RAG Soft Background Hex = </t>
  </si>
  <si>
    <t xml:space="preserve">    "#ecfdf5", // Soft Mint Green</t>
  </si>
  <si>
    <t xml:space="preserve">        "#fffbeb", // Soft Warm Amber</t>
  </si>
  <si>
    <t xml:space="preserve">        "#fef2f2"  // Soft Crimson Red</t>
  </si>
  <si>
    <t>// 44. Multi-Context Card Subtitle with RAG Icons (New Card Visual)</t>
  </si>
  <si>
    <t xml:space="preserve">Multi-Context Revenue Subtitle = </t>
  </si>
  <si>
    <t>VAR PlanDiffPct = DIVIDE(Forecast - Budget, Budget, 0)</t>
  </si>
  <si>
    <t>VAR YoYPct = [Actual YoY %]</t>
  </si>
  <si>
    <t>VAR MoMPct = [Actual MoM %]</t>
  </si>
  <si>
    <t>VAR PlanIcon = IF(PlanDiffPct &gt;= 0, "🟢", IF(PlanDiffPct &gt;= -0.05, "🟡", "🔴"))</t>
  </si>
  <si>
    <t>VAR YoYIcon = IF(YoYPct &gt;= 0, "🟢", "🔴")</t>
  </si>
  <si>
    <t>VAR PlanText = PlanIcon &amp; " Budsj: " &amp; IF(PlanDiffPct &gt;= 0, "▲ +", "▼ ") &amp; FORMAT(PlanDiffPct, "0.0%")</t>
  </si>
  <si>
    <t>VAR YoYText = YoYIcon &amp; " YoY: " &amp; IF(YoYPct &gt;= 0, "▲ +", "▼ ") &amp; FORMAT(YoYPct, "0.0%")</t>
  </si>
  <si>
    <t>VAR MoMText = "MoM: " &amp; IF(MoMPct &gt;= 0, "▲ +", "▼ ") &amp; FORMAT(MoMPct, "0.0%")</t>
  </si>
  <si>
    <t>PlanText &amp; " | " &amp; YoYText &amp; " | " &amp; MoMText</t>
  </si>
  <si>
    <t>Note: Applying soft background fills (#ECFDF5, #FFFBEB, #FEF2F2) prevents saturated neon glare, adhering strictly to Tufte's data-ink standard8more_horiz.Special Sub-Folder: Handelshøyskolen ved UiA (_09 HHU Measures)// 45. HHU Total Revenue (276.6 MNOK)</t>
  </si>
  <si>
    <t>// 46. HHU Net Result (+2.2 MNOK Surplus)</t>
  </si>
  <si>
    <t xml:space="preserve">HHU Net Result = </t>
  </si>
  <si>
    <t xml:space="preserve">    [Sluttavvik (VAC)],</t>
  </si>
  <si>
    <t xml:space="preserve">    'DimOrganization'[Fakultetsnavn] = "Handelshøyskolen ved UiA (HHU)"</t>
  </si>
  <si>
    <t>// 47. HHU Lønnsandel % (65.4%)</t>
  </si>
  <si>
    <t xml:space="preserve">    [Lønnsandel %],</t>
  </si>
  <si>
    <t>// 48. HHU Studenter pr UF-Årsverk (22.3 Ratio)</t>
  </si>
  <si>
    <t>// 49. HHU BOA Frikjøpsgrad (Buy-Out Share)</t>
  </si>
  <si>
    <t>// 50. HHU RAG Status</t>
  </si>
  <si>
    <t>VAR Resultat = [HHU Net Result]</t>
  </si>
  <si>
    <t>IF(Resultat &gt;= 0, "🟢 Overskudd (+2.2 MNOK / Ramme overholdt)",</t>
  </si>
  <si>
    <t>Note: HHU delivers a positive net operating result of +2.2 MNOK2930. However, its high student-to-faculty ratio (22.3) combined with KD Category 1 funding constraints requires active controller monitoring22.Implementation Instructions in Power BI DesktopCreate Measures Table: Go to Home &gt; Enter Data, create a table named _Measures, and load it.Add Measures: Click New Measure and paste each DAX block.Set Display Folders: In Model View, select each measure and enter the folder path (e.g., _01 Accounting, _08 RAG &amp; Design).Conditional Formatting:For Card Accent Bars: Enable Accent Bar on New Card Visual $\rightarrow$ fx (Conditional Formatting) $\rightarrow$ Format Style: Field Value $\rightarrow$ Select [RAG Hex Color]3132.For Matrix Fills: Go to Cell Elements $\rightarrow$ Enable Background Color $\rightarrow$ Format Style: Field Value $\rightarrow$ Select [RAG Soft Background Hex]</t>
  </si>
  <si>
    <t>OrgNokkel</t>
  </si>
  <si>
    <t>Fakultetsnavn</t>
  </si>
  <si>
    <t>Instituttnavn</t>
  </si>
  <si>
    <t>Virksomhetstype</t>
  </si>
  <si>
    <t>Eierleder</t>
  </si>
  <si>
    <t>ORG_HHU_01</t>
  </si>
  <si>
    <t>Handelshøyskolen ved UiA (HHU)</t>
  </si>
  <si>
    <t>Institutt for ledelse og innovasjon</t>
  </si>
  <si>
    <t>Utdanning &amp; Forskning</t>
  </si>
  <si>
    <t>Instituttleder I001</t>
  </si>
  <si>
    <t>ORG_HHU_02</t>
  </si>
  <si>
    <t>Institutt for rettsvitenskap</t>
  </si>
  <si>
    <t>Instituttleder I002</t>
  </si>
  <si>
    <t>ORG_HHU_03</t>
  </si>
  <si>
    <t>Institutt for økonomi</t>
  </si>
  <si>
    <t>Instituttleder I003</t>
  </si>
  <si>
    <t>ORG_HHU_04</t>
  </si>
  <si>
    <t>HHU Fakultetsadministrasjon</t>
  </si>
  <si>
    <t>Fakultetsledelse</t>
  </si>
  <si>
    <t>Fakultetsdirektør HHU</t>
  </si>
  <si>
    <t>ORG_TEK_01</t>
  </si>
  <si>
    <t>Fakultet for teknologi og realfag (TEK)</t>
  </si>
  <si>
    <t>Institutt for ingeniørvitenskap</t>
  </si>
  <si>
    <t>Dekan TEK</t>
  </si>
  <si>
    <t>ORG_HEL_01</t>
  </si>
  <si>
    <t>Fakultet for helse- og idrettsvitenskap (HEL)</t>
  </si>
  <si>
    <t>Institutt for helse og sykepleie</t>
  </si>
  <si>
    <t>Dekan HEL</t>
  </si>
  <si>
    <t>ORG_SAM_01</t>
  </si>
  <si>
    <t>Fakultet for samfunnsvitenskap (SAM)</t>
  </si>
  <si>
    <t>Institutt for statsvitenskap</t>
  </si>
  <si>
    <t>Dekan SAM</t>
  </si>
  <si>
    <t>ORG_HUM_01</t>
  </si>
  <si>
    <t>Fakultet for humaniora og pedagogikk (HUM)</t>
  </si>
  <si>
    <t>Institutt for pedagogikk</t>
  </si>
  <si>
    <t>Dekan HUM</t>
  </si>
  <si>
    <t>ORG_ADM_01</t>
  </si>
  <si>
    <t>Fellesadministrasjon &amp; Fellesdrift (ADM)</t>
  </si>
  <si>
    <t>Sentraladministrasjonen</t>
  </si>
  <si>
    <t>Fellesdrift</t>
  </si>
  <si>
    <t>Universitetsdirektør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</si>
</sst>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scheme val="minor"/>
    </font>
    <font>
      <sz val="9"/>
      <color rgb="FF303030"/>
      <name val="Arial"/>
      <family val="2"/>
    </font>
    <font>
      <sz val="9"/>
      <color theme="1"/>
      <name val="Aptos Narrow"/>
      <family val="2"/>
      <scheme val="minor"/>
    </font>
    <font>
      <sz val="9"/>
      <color rgb="FF303030"/>
      <name val="Arial"/>
      <family val="2"/>
    </font>
    <font>
      <i/>
      <sz val="9"/>
      <color rgb="FF303030"/>
      <name val="Arial"/>
      <family val="2"/>
    </font>
    <font>
      <b/>
      <sz val="9"/>
      <color rgb="FF303030"/>
      <name val="Arial"/>
      <family val="2"/>
    </font>
    <font>
      <sz val="9"/>
      <color theme="1"/>
      <name val="Arial Unicode MS"/>
    </font>
    <font>
      <sz val="9"/>
      <color rgb="FF303030"/>
      <name val="Google Sans Code"/>
      <family val="3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B1B1C"/>
      <name val="Arial"/>
      <family val="2"/>
    </font>
    <font>
      <sz val="11"/>
      <color rgb="FF1B1B1C"/>
      <name val="Arial"/>
      <family val="2"/>
    </font>
    <font>
      <b/>
      <sz val="11"/>
      <color rgb="FF1B1B1C"/>
      <name val="Arial"/>
      <family val="2"/>
    </font>
    <font>
      <i/>
      <sz val="11"/>
      <color rgb="FF1B1B1C"/>
      <name val="Arial"/>
      <family val="2"/>
    </font>
    <font>
      <sz val="14"/>
      <color rgb="FF1B1B1C"/>
      <name val="Arial"/>
      <family val="2"/>
    </font>
    <font>
      <b/>
      <sz val="14"/>
      <color rgb="FF1B1B1C"/>
      <name val="Arial"/>
      <family val="2"/>
    </font>
    <font>
      <i/>
      <sz val="14"/>
      <color rgb="FF1B1B1C"/>
      <name val="Arial"/>
      <family val="2"/>
    </font>
    <font>
      <b/>
      <i/>
      <sz val="14"/>
      <color rgb="FF1B1B1C"/>
      <name val="Arial"/>
      <family val="2"/>
    </font>
    <font>
      <sz val="10"/>
      <color rgb="FF303030"/>
      <name val="Google Sans Code"/>
      <family val="3"/>
    </font>
    <font>
      <sz val="11"/>
      <color rgb="FF303030"/>
      <name val="Arial"/>
      <family val="2"/>
    </font>
    <font>
      <b/>
      <sz val="11"/>
      <color rgb="FF303030"/>
      <name val="Arial"/>
      <family val="2"/>
    </font>
    <font>
      <sz val="11"/>
      <color rgb="FF303030"/>
      <name val="Arial"/>
      <family val="2"/>
    </font>
    <font>
      <sz val="14"/>
      <color rgb="FF303030"/>
      <name val="Arial"/>
      <family val="2"/>
    </font>
    <font>
      <b/>
      <sz val="14"/>
      <color rgb="FF303030"/>
      <name val="Arial"/>
      <family val="2"/>
    </font>
    <font>
      <i/>
      <sz val="14"/>
      <color rgb="FF303030"/>
      <name val="Arial"/>
      <family val="2"/>
    </font>
    <font>
      <i/>
      <sz val="11"/>
      <color rgb="FF303030"/>
      <name val="Arial"/>
      <family val="2"/>
    </font>
    <font>
      <sz val="11"/>
      <color theme="1"/>
      <name val="Arial Unicode MS"/>
    </font>
    <font>
      <b/>
      <i/>
      <sz val="11"/>
      <color rgb="FF303030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horizontal="left" vertical="center" wrapText="1" indent="1"/>
    </xf>
    <xf numFmtId="0" fontId="16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left" vertical="center" wrapText="1" indent="2"/>
    </xf>
    <xf numFmtId="0" fontId="11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 indent="1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/>
    </xf>
    <xf numFmtId="0" fontId="23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0" fillId="0" borderId="0" xfId="0" applyAlignment="1">
      <alignment horizontal="left" vertical="center" indent="2"/>
    </xf>
    <xf numFmtId="0" fontId="20" fillId="0" borderId="0" xfId="0" applyFont="1" applyAlignment="1">
      <alignment vertical="center" wrapText="1"/>
    </xf>
    <xf numFmtId="0" fontId="0" fillId="0" borderId="0" xfId="0" applyFont="1"/>
    <xf numFmtId="0" fontId="0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6" fillId="0" borderId="0" xfId="0" applyFont="1" applyAlignment="1">
      <alignment horizontal="left" vertical="center" indent="2"/>
    </xf>
    <xf numFmtId="0" fontId="27" fillId="0" borderId="0" xfId="0" applyFont="1" applyAlignment="1">
      <alignment vertical="center"/>
    </xf>
    <xf numFmtId="0" fontId="20" fillId="0" borderId="0" xfId="0" applyFont="1" applyAlignment="1">
      <alignment horizontal="left" vertical="center" indent="2"/>
    </xf>
    <xf numFmtId="0" fontId="21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3"/>
    </xf>
    <xf numFmtId="0" fontId="0" fillId="0" borderId="0" xfId="0" applyNumberFormat="1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rank Ellingsen" refreshedDate="46293.596525462963" backgroundQuery="1" createdVersion="8" refreshedVersion="8" minRefreshableVersion="3" recordCount="0" supportSubquery="1" supportAdvancedDrill="1" xr:uid="{A5216347-1D49-42EA-98B9-BE9C5AC1B4B4}">
  <cacheSource type="external" connectionId="8"/>
  <cacheFields count="1">
    <cacheField name="[DimOrganization].[Fakultetsnavn].[Fakultetsnavn]" caption="Fakultetsnavn" numFmtId="0" hierarchy="11" level="1">
      <sharedItems containsSemiMixedTypes="0" containsNonDate="0" containsString="0"/>
    </cacheField>
  </cacheFields>
  <cacheHierarchies count="27">
    <cacheHierarchy uniqueName="[DimDate].[DatoNokkel]" caption="DatoNokkel" attribute="1" defaultMemberUniqueName="[DimDate].[DatoNokkel].[All]" allUniqueName="[DimDate].[DatoNokkel].[All]" dimensionUniqueName="[DimDate]" displayFolder="" count="0" memberValueDatatype="20" unbalanced="0"/>
    <cacheHierarchy uniqueName="[DimDate].[Dato]" caption="Dato" attribute="1" time="1" defaultMemberUniqueName="[DimDate].[Dato].[All]" allUniqueName="[DimDate].[Dato].[All]" dimensionUniqueName="[DimDate]" displayFolder="" count="0" memberValueDatatype="7" unbalanced="0"/>
    <cacheHierarchy uniqueName="[DimDate].[Aar]" caption="Aar" attribute="1" defaultMemberUniqueName="[DimDate].[Aar].[All]" allUniqueName="[DimDate].[Aar].[All]" dimensionUniqueName="[DimDate]" displayFolder="" count="0" memberValueDatatype="20" unbalanced="0"/>
    <cacheHierarchy uniqueName="[DimDate].[MaanedNummer]" caption="MaanedNummer" attribute="1" defaultMemberUniqueName="[DimDate].[MaanedNummer].[All]" allUniqueName="[DimDate].[MaanedNummer].[All]" dimensionUniqueName="[DimDate]" displayFolder="" count="0" memberValueDatatype="20" unbalanced="0"/>
    <cacheHierarchy uniqueName="[DimDate].[MaanedNavnKort]" caption="MaanedNavnKort" attribute="1" defaultMemberUniqueName="[DimDate].[MaanedNavnKort].[All]" allUniqueName="[DimDate].[MaanedNavnKort].[All]" dimensionUniqueName="[DimDate]" displayFolder="" count="0" memberValueDatatype="130" unbalanced="0"/>
    <cacheHierarchy uniqueName="[DimDate].[MaanedNavn]" caption="MaanedNavn" attribute="1" defaultMemberUniqueName="[DimDate].[MaanedNavn].[All]" allUniqueName="[DimDate].[MaanedNavn].[All]" dimensionUniqueName="[DimDate]" displayFolder="" count="0" memberValueDatatype="130" unbalanced="0"/>
    <cacheHierarchy uniqueName="[DimDate].[Kvartal]" caption="Kvartal" attribute="1" defaultMemberUniqueName="[DimDate].[Kvartal].[All]" allUniqueName="[DimDate].[Kvartal].[All]" dimensionUniqueName="[DimDate]" displayFolder="" count="0" memberValueDatatype="130" unbalanced="0"/>
    <cacheHierarchy uniqueName="[DimDate].[ErActualYTD]" caption="ErActualYTD" attribute="1" defaultMemberUniqueName="[DimDate].[ErActualYTD].[All]" allUniqueName="[DimDate].[ErActualYTD].[All]" dimensionUniqueName="[DimDate]" displayFolder="" count="0" memberValueDatatype="11" unbalanced="0"/>
    <cacheHierarchy uniqueName="[DimDate].[PeriodeType]" caption="PeriodeType" attribute="1" defaultMemberUniqueName="[DimDate].[PeriodeType].[All]" allUniqueName="[DimDate].[PeriodeType].[All]" dimensionUniqueName="[DimDate]" displayFolder="" count="0" memberValueDatatype="130" unbalanced="0"/>
    <cacheHierarchy uniqueName="[DimOrganization].[OrgNokkel]" caption="OrgNokkel" attribute="1" defaultMemberUniqueName="[DimOrganization].[OrgNokkel].[All]" allUniqueName="[DimOrganization].[OrgNokkel].[All]" dimensionUniqueName="[DimOrganization]" displayFolder="" count="0" memberValueDatatype="130" unbalanced="0"/>
    <cacheHierarchy uniqueName="[DimOrganization].[OrgKode]" caption="OrgKode" attribute="1" defaultMemberUniqueName="[DimOrganization].[OrgKode].[All]" allUniqueName="[DimOrganization].[OrgKode].[All]" dimensionUniqueName="[DimOrganization]" displayFolder="" count="2" memberValueDatatype="130" unbalanced="0"/>
    <cacheHierarchy uniqueName="[DimOrganization].[Fakultetsnavn]" caption="Fakultetsnavn" attribute="1" defaultMemberUniqueName="[DimOrganization].[Fakultetsnavn].[All]" allUniqueName="[DimOrganization].[Fakultetsnavn].[All]" dimensionUniqueName="[DimOrganization]" displayFolder="" count="2" memberValueDatatype="130" unbalanced="0">
      <fieldsUsage count="2">
        <fieldUsage x="-1"/>
        <fieldUsage x="0"/>
      </fieldsUsage>
    </cacheHierarchy>
    <cacheHierarchy uniqueName="[DimOrganization].[Instituttnavn]" caption="Instituttnavn" attribute="1" defaultMemberUniqueName="[DimOrganization].[Instituttnavn].[All]" allUniqueName="[DimOrganization].[Instituttnavn].[All]" dimensionUniqueName="[DimOrganization]" displayFolder="" count="0" memberValueDatatype="130" unbalanced="0"/>
    <cacheHierarchy uniqueName="[DimOrganization].[Virksomhetstype]" caption="Virksomhetstype" attribute="1" defaultMemberUniqueName="[DimOrganization].[Virksomhetstype].[All]" allUniqueName="[DimOrganization].[Virksomhetstype].[All]" dimensionUniqueName="[DimOrganization]" displayFolder="" count="0" memberValueDatatype="130" unbalanced="0"/>
    <cacheHierarchy uniqueName="[DimOrganization].[Eierleder]" caption="Eierleder" attribute="1" defaultMemberUniqueName="[DimOrganization].[Eierleder].[All]" allUniqueName="[DimOrganization].[Eierleder].[All]" dimensionUniqueName="[DimOrganization]" displayFolder="" count="0" memberValueDatatype="130" unbalanced="0"/>
    <cacheHierarchy uniqueName="[FactGL].[DatoNokkel]" caption="DatoNokkel" attribute="1" defaultMemberUniqueName="[FactGL].[DatoNokkel].[All]" allUniqueName="[FactGL].[DatoNokkel].[All]" dimensionUniqueName="[FactGL]" displayFolder="" count="0" memberValueDatatype="20" unbalanced="0"/>
    <cacheHierarchy uniqueName="[FactGL].[OrgKode]" caption="OrgKode" attribute="1" defaultMemberUniqueName="[FactGL].[OrgKode].[All]" allUniqueName="[FactGL].[OrgKode].[All]" dimensionUniqueName="[FactGL]" displayFolder="" count="0" memberValueDatatype="130" unbalanced="0"/>
    <cacheHierarchy uniqueName="[FactGL].[Konto]" caption="Konto" attribute="1" defaultMemberUniqueName="[FactGL].[Konto].[All]" allUniqueName="[FactGL].[Konto].[All]" dimensionUniqueName="[FactGL]" displayFolder="" count="2" memberValueDatatype="20" unbalanced="0"/>
    <cacheHierarchy uniqueName="[FactGL].[ProsjektKode]" caption="ProsjektKode" attribute="1" defaultMemberUniqueName="[FactGL].[ProsjektKode].[All]" allUniqueName="[FactGL].[ProsjektKode].[All]" dimensionUniqueName="[FactGL]" displayFolder="" count="0" memberValueDatatype="130" unbalanced="0"/>
    <cacheHierarchy uniqueName="[FactGL].[Bokforingstype]" caption="Bokforingstype" attribute="1" defaultMemberUniqueName="[FactGL].[Bokforingstype].[All]" allUniqueName="[FactGL].[Bokforingstype].[All]" dimensionUniqueName="[FactGL]" displayFolder="" count="0" memberValueDatatype="130" unbalanced="0"/>
    <cacheHierarchy uniqueName="[FactGL].[Belop_signert]" caption="Belop_signert" attribute="1" defaultMemberUniqueName="[FactGL].[Belop_signert].[All]" allUniqueName="[FactGL].[Belop_signert].[All]" dimensionUniqueName="[FactGL]" displayFolder="" count="0" memberValueDatatype="5" unbalanced="0"/>
    <cacheHierarchy uniqueName="[FactGL].[Beskrivelse]" caption="Beskrivelse" attribute="1" defaultMemberUniqueName="[FactGL].[Beskrivelse].[All]" allUniqueName="[FactGL].[Beskrivelse].[All]" dimensionUniqueName="[FactGL]" displayFolder="" count="2" memberValueDatatype="130" unbalanced="0"/>
    <cacheHierarchy uniqueName="[Measures].[__XL_Count FactGL]" caption="__XL_Count FactGL" measure="1" displayFolder="" measureGroup="FactGL" count="0" hidden="1"/>
    <cacheHierarchy uniqueName="[Measures].[__XL_Count DimDate]" caption="__XL_Count DimDate" measure="1" displayFolder="" measureGroup="DimDate" count="0" hidden="1"/>
    <cacheHierarchy uniqueName="[Measures].[__XL_Count DimOrganization]" caption="__XL_Count DimOrganization" measure="1" displayFolder="" measureGroup="DimOrganization" count="0" hidden="1"/>
    <cacheHierarchy uniqueName="[Measures].[__No measures defined]" caption="__No measures defined" measure="1" displayFolder="" count="0" hidden="1"/>
    <cacheHierarchy uniqueName="[Measures].[Sum of Belop_signert]" caption="Sum of Belop_signert" measure="1" displayFolder="" measureGroup="FactG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4">
    <dimension name="DimDate" uniqueName="[DimDate]" caption="DimDate"/>
    <dimension name="DimOrganization" uniqueName="[DimOrganization]" caption="DimOrganization"/>
    <dimension name="FactGL" uniqueName="[FactGL]" caption="FactGL"/>
    <dimension measure="1" name="Measures" uniqueName="[Measures]" caption="Measures"/>
  </dimensions>
  <measureGroups count="3">
    <measureGroup name="DimDate" caption="DimDate"/>
    <measureGroup name="DimOrganization" caption="DimOrganization"/>
    <measureGroup name="FactGL" caption="FactGL"/>
  </measureGroups>
  <maps count="5">
    <map measureGroup="0" dimension="0"/>
    <map measureGroup="1" dimension="1"/>
    <map measureGroup="2" dimension="0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CFF691-FC77-4550-B1E8-704FBFAF949A}" name="PivotTable1" cacheId="84" applyNumberFormats="0" applyBorderFormats="0" applyFontFormats="0" applyPatternFormats="0" applyAlignmentFormats="0" applyWidthHeightFormats="1" dataCaption="Values" tag="dd0ea1e9-e41a-4aa2-b9b4-9c6a9f0f4cc6" updatedVersion="8" minRefreshableVersion="3" useAutoFormatting="1" rowGrandTotals="0" colGrandTotals="0" itemPrintTitles="1" createdVersion="8" indent="0" outline="1" outlineData="1" multipleFieldFilters="0">
  <location ref="A3:C20" firstHeaderRow="1" firstDataRow="1" firstDataCol="0"/>
  <pivotFields count="1">
    <pivotField allDrilled="1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DimOrganization].[Fakultetsnavn].&amp;[Handelshøyskolen ved UiA (HHU)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imOrganization]"/>
        <x15:activeTabTopLevelEntity name="[FactG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9C954F6D-AC93-439A-98C9-1D4A08E64281}" autoFormatId="16" applyNumberFormats="0" applyBorderFormats="0" applyFontFormats="0" applyPatternFormats="0" applyAlignmentFormats="0" applyWidthHeightFormats="0">
  <queryTableRefresh nextId="3">
    <queryTableFields count="2">
      <queryTableField id="1" name="LineNr" tableColumnId="1"/>
      <queryTableField id="2" name="LineContent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3" xr16:uid="{5F510268-78FE-41F9-A3B4-1A6F39EA859B}" autoFormatId="16" applyNumberFormats="0" applyBorderFormats="0" applyFontFormats="0" applyPatternFormats="0" applyAlignmentFormats="0" applyWidthHeightFormats="0">
  <queryTableRefresh nextId="7">
    <queryTableFields count="6">
      <queryTableField id="1" name="OrgNokkel" tableColumnId="1"/>
      <queryTableField id="2" name="OrgKode" tableColumnId="2"/>
      <queryTableField id="3" name="Fakultetsnavn" tableColumnId="3"/>
      <queryTableField id="4" name="Instituttnavn" tableColumnId="4"/>
      <queryTableField id="5" name="Virksomhetstype" tableColumnId="5"/>
      <queryTableField id="6" name="Eierleder" tableColumnId="6"/>
    </queryTableFields>
  </queryTableRefresh>
  <extLst>
    <ext xmlns:x15="http://schemas.microsoft.com/office/spreadsheetml/2010/11/main" uri="{883FBD77-0823-4a55-B5E3-86C4891E6966}">
      <x15:queryTable sourceDataName="Query - DimOrganization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E1DEE17C-8E45-4943-A786-4581E4A3BF2A}" autoFormatId="16" applyNumberFormats="0" applyBorderFormats="0" applyFontFormats="0" applyPatternFormats="0" applyAlignmentFormats="0" applyWidthHeightFormats="0">
  <queryTableRefresh nextId="10">
    <queryTableFields count="9">
      <queryTableField id="1" name="DatoNokkel" tableColumnId="1"/>
      <queryTableField id="2" name="Dato" tableColumnId="2"/>
      <queryTableField id="3" name="Aar" tableColumnId="3"/>
      <queryTableField id="4" name="MaanedNummer" tableColumnId="4"/>
      <queryTableField id="5" name="MaanedNavnKort" tableColumnId="5"/>
      <queryTableField id="6" name="MaanedNavn" tableColumnId="6"/>
      <queryTableField id="7" name="Kvartal" tableColumnId="7"/>
      <queryTableField id="8" name="ErActualYTD" tableColumnId="8"/>
      <queryTableField id="9" name="PeriodeType" tableColumnId="9"/>
    </queryTableFields>
  </queryTableRefresh>
  <extLst>
    <ext xmlns:x15="http://schemas.microsoft.com/office/spreadsheetml/2010/11/main" uri="{883FBD77-0823-4a55-B5E3-86C4891E6966}">
      <x15:queryTable sourceDataName="Query - DimDate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669ED0E5-8A01-4BF5-A52A-BBB7A13EB8CB}" autoFormatId="16" applyNumberFormats="0" applyBorderFormats="0" applyFontFormats="0" applyPatternFormats="0" applyAlignmentFormats="0" applyWidthHeightFormats="0">
  <queryTableRefresh nextId="8">
    <queryTableFields count="7">
      <queryTableField id="1" name="DatoNokkel" tableColumnId="1"/>
      <queryTableField id="2" name="OrgKode" tableColumnId="2"/>
      <queryTableField id="3" name="Konto" tableColumnId="3"/>
      <queryTableField id="4" name="ProsjektKode" tableColumnId="4"/>
      <queryTableField id="5" name="Bokforingstype" tableColumnId="5"/>
      <queryTableField id="6" name="Belop_signert" tableColumnId="6"/>
      <queryTableField id="7" name="Beskrivelse" tableColumnId="7"/>
    </queryTableFields>
  </queryTableRefresh>
  <extLst>
    <ext xmlns:x15="http://schemas.microsoft.com/office/spreadsheetml/2010/11/main" uri="{883FBD77-0823-4a55-B5E3-86C4891E6966}">
      <x15:queryTable sourceDataName="Query - FactGL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C5452-2738-4956-934F-6F8F0D01AFCB}" name="DimDAXDoc" displayName="DimDAXDoc" ref="A1:B288" tableType="queryTable" totalsRowShown="0">
  <autoFilter ref="A1:B288" xr:uid="{A04C5452-2738-4956-934F-6F8F0D01AFCB}"/>
  <tableColumns count="2">
    <tableColumn id="1" xr3:uid="{2A8E05EE-4860-4B4E-B88A-EB7361F38877}" uniqueName="1" name="LineNr" queryTableFieldId="1"/>
    <tableColumn id="2" xr3:uid="{50F1057C-8C49-4B4B-B031-68D213B06C7C}" uniqueName="2" name="LineContent" queryTableFieldId="2" dataDxfId="1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2EE851-5D05-47E1-8111-CF481AFFC3D1}" name="DimOrganization" displayName="DimOrganization" ref="A1:F10" tableType="queryTable" totalsRowShown="0">
  <autoFilter ref="A1:F10" xr:uid="{F72EE851-5D05-47E1-8111-CF481AFFC3D1}"/>
  <tableColumns count="6">
    <tableColumn id="1" xr3:uid="{46AE0805-0780-482D-BA55-4A1E76E1627F}" uniqueName="1" name="OrgNokkel" queryTableFieldId="1" dataDxfId="14"/>
    <tableColumn id="2" xr3:uid="{217F8268-BAB0-48D0-BD03-F67F91747DC0}" uniqueName="2" name="OrgKode" queryTableFieldId="2" dataDxfId="13"/>
    <tableColumn id="3" xr3:uid="{811AFEA0-EA57-489C-B276-069E99977CDC}" uniqueName="3" name="Fakultetsnavn" queryTableFieldId="3" dataDxfId="12"/>
    <tableColumn id="4" xr3:uid="{1151357A-7C6D-46D5-820B-67A712F9F48A}" uniqueName="4" name="Instituttnavn" queryTableFieldId="4" dataDxfId="11"/>
    <tableColumn id="5" xr3:uid="{560C8C3F-06A4-4735-91BD-416174EA32F7}" uniqueName="5" name="Virksomhetstype" queryTableFieldId="5" dataDxfId="10"/>
    <tableColumn id="6" xr3:uid="{6ADB9C1B-6687-4B05-BFC9-DDAFB5ED3DF3}" uniqueName="6" name="Eierleder" queryTableFieldId="6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8ACB63-07E1-4B71-A3C7-2658A719EEF9}" name="DimDate" displayName="DimDate" ref="A1:I13" tableType="queryTable" totalsRowShown="0">
  <autoFilter ref="A1:I13" xr:uid="{388ACB63-07E1-4B71-A3C7-2658A719EEF9}"/>
  <tableColumns count="9">
    <tableColumn id="1" xr3:uid="{7AFD3F51-DDF1-4F0E-BC20-2DD2ABA13592}" uniqueName="1" name="DatoNokkel" queryTableFieldId="1"/>
    <tableColumn id="2" xr3:uid="{F2565E74-F1F7-46CE-8A7F-AB80E1B41E2E}" uniqueName="2" name="Dato" queryTableFieldId="2" dataDxfId="8"/>
    <tableColumn id="3" xr3:uid="{DD492504-0CCE-4510-8EBB-298E72D67AFC}" uniqueName="3" name="Aar" queryTableFieldId="3"/>
    <tableColumn id="4" xr3:uid="{C158BD91-7E28-4160-A8B3-29D7A90F1509}" uniqueName="4" name="MaanedNummer" queryTableFieldId="4"/>
    <tableColumn id="5" xr3:uid="{8DDBA131-4420-4E2F-98B9-83DAB0C7AFDD}" uniqueName="5" name="MaanedNavnKort" queryTableFieldId="5" dataDxfId="7"/>
    <tableColumn id="6" xr3:uid="{381A7797-6163-465F-9A41-9E310279DC73}" uniqueName="6" name="MaanedNavn" queryTableFieldId="6" dataDxfId="6"/>
    <tableColumn id="7" xr3:uid="{25DEE958-BDEE-4D3D-8F37-66E4FDCE0055}" uniqueName="7" name="Kvartal" queryTableFieldId="7" dataDxfId="5"/>
    <tableColumn id="8" xr3:uid="{4ADF224A-A8EE-4083-A94F-5B52FA41C7EE}" uniqueName="8" name="ErActualYTD" queryTableFieldId="8"/>
    <tableColumn id="9" xr3:uid="{F9124CFF-39C1-4344-953D-0130B441E5C2}" uniqueName="9" name="PeriodeType" queryTableFieldId="9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D9AFB7-73C5-46CE-97C7-AF1B9B46C9E0}" name="FactGL" displayName="FactGL" ref="A1:G650" tableType="queryTable" totalsRowShown="0">
  <autoFilter ref="A1:G650" xr:uid="{51D9AFB7-73C5-46CE-97C7-AF1B9B46C9E0}"/>
  <tableColumns count="7">
    <tableColumn id="1" xr3:uid="{5F9C0245-8FE6-4312-9CF6-4A1B89527322}" uniqueName="1" name="DatoNokkel" queryTableFieldId="1"/>
    <tableColumn id="2" xr3:uid="{7E150E70-A6E7-436C-902B-BEAB2D7C9A18}" uniqueName="2" name="OrgKode" queryTableFieldId="2" dataDxfId="3"/>
    <tableColumn id="3" xr3:uid="{EDBF7249-2381-429D-9825-5DD5C7C6B6CA}" uniqueName="3" name="Konto" queryTableFieldId="3"/>
    <tableColumn id="4" xr3:uid="{C9E9E1C4-D94A-41B3-92F7-810F9F7A06DD}" uniqueName="4" name="ProsjektKode" queryTableFieldId="4" dataDxfId="2"/>
    <tableColumn id="5" xr3:uid="{DAA78652-36E7-4B3C-AC98-AEDCE5449B6C}" uniqueName="5" name="Bokforingstype" queryTableFieldId="5" dataDxfId="1"/>
    <tableColumn id="6" xr3:uid="{EB831C4F-C5B9-4769-8AF9-DDE2C3AC1A3C}" uniqueName="6" name="Belop_signert" queryTableFieldId="6"/>
    <tableColumn id="7" xr3:uid="{6E18112D-17EB-44F0-9B3D-5A0FE66D698E}" uniqueName="7" name="Beskrivelse" queryTableFieldId="7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FC7E-96E2-4086-937F-40CBF78CBB5B}">
  <dimension ref="A3:C20"/>
  <sheetViews>
    <sheetView tabSelected="1" workbookViewId="0">
      <selection activeCell="E8" sqref="E8"/>
    </sheetView>
  </sheetViews>
  <sheetFormatPr defaultRowHeight="14.5"/>
  <cols>
    <col min="1" max="2" width="19.36328125" bestFit="1" customWidth="1"/>
    <col min="3" max="3" width="34.90625" bestFit="1" customWidth="1"/>
    <col min="4" max="5" width="19.36328125" bestFit="1" customWidth="1"/>
    <col min="6" max="6" width="39.6328125" bestFit="1" customWidth="1"/>
    <col min="7" max="7" width="10.7265625" bestFit="1" customWidth="1"/>
  </cols>
  <sheetData>
    <row r="3" spans="1:3">
      <c r="A3" s="51"/>
      <c r="B3" s="52"/>
      <c r="C3" s="53"/>
    </row>
    <row r="4" spans="1:3">
      <c r="A4" s="54"/>
      <c r="B4" s="55"/>
      <c r="C4" s="56"/>
    </row>
    <row r="5" spans="1:3">
      <c r="A5" s="54"/>
      <c r="B5" s="55"/>
      <c r="C5" s="56"/>
    </row>
    <row r="6" spans="1:3">
      <c r="A6" s="54"/>
      <c r="B6" s="55"/>
      <c r="C6" s="56"/>
    </row>
    <row r="7" spans="1:3">
      <c r="A7" s="54"/>
      <c r="B7" s="55"/>
      <c r="C7" s="56"/>
    </row>
    <row r="8" spans="1:3">
      <c r="A8" s="54"/>
      <c r="B8" s="55"/>
      <c r="C8" s="56"/>
    </row>
    <row r="9" spans="1:3">
      <c r="A9" s="54"/>
      <c r="B9" s="55"/>
      <c r="C9" s="56"/>
    </row>
    <row r="10" spans="1:3">
      <c r="A10" s="54"/>
      <c r="B10" s="55"/>
      <c r="C10" s="56"/>
    </row>
    <row r="11" spans="1:3">
      <c r="A11" s="54"/>
      <c r="B11" s="55"/>
      <c r="C11" s="56"/>
    </row>
    <row r="12" spans="1:3">
      <c r="A12" s="54"/>
      <c r="B12" s="55"/>
      <c r="C12" s="56"/>
    </row>
    <row r="13" spans="1:3">
      <c r="A13" s="54"/>
      <c r="B13" s="55"/>
      <c r="C13" s="56"/>
    </row>
    <row r="14" spans="1:3">
      <c r="A14" s="54"/>
      <c r="B14" s="55"/>
      <c r="C14" s="56"/>
    </row>
    <row r="15" spans="1:3">
      <c r="A15" s="54"/>
      <c r="B15" s="55"/>
      <c r="C15" s="56"/>
    </row>
    <row r="16" spans="1:3">
      <c r="A16" s="54"/>
      <c r="B16" s="55"/>
      <c r="C16" s="56"/>
    </row>
    <row r="17" spans="1:3">
      <c r="A17" s="54"/>
      <c r="B17" s="55"/>
      <c r="C17" s="56"/>
    </row>
    <row r="18" spans="1:3">
      <c r="A18" s="54"/>
      <c r="B18" s="55"/>
      <c r="C18" s="56"/>
    </row>
    <row r="19" spans="1:3">
      <c r="A19" s="54"/>
      <c r="B19" s="55"/>
      <c r="C19" s="56"/>
    </row>
    <row r="20" spans="1:3">
      <c r="A20" s="57"/>
      <c r="B20" s="58"/>
      <c r="C20" s="5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9DAB4-5299-408D-9916-6A4250304F80}">
  <dimension ref="A1:C126"/>
  <sheetViews>
    <sheetView workbookViewId="0">
      <selection activeCell="F3" sqref="F3"/>
    </sheetView>
  </sheetViews>
  <sheetFormatPr defaultRowHeight="14.5"/>
  <cols>
    <col min="2" max="2" width="28.453125" customWidth="1"/>
    <col min="3" max="3" width="24.81640625" customWidth="1"/>
  </cols>
  <sheetData>
    <row r="1" spans="1:3">
      <c r="A1" s="1" t="s">
        <v>0</v>
      </c>
      <c r="B1" s="2"/>
      <c r="C1" s="2"/>
    </row>
    <row r="2" spans="1:3">
      <c r="A2" s="2"/>
      <c r="B2" s="2"/>
      <c r="C2" s="2"/>
    </row>
    <row r="3" spans="1:3">
      <c r="A3" s="2"/>
      <c r="B3" s="2"/>
      <c r="C3" s="2"/>
    </row>
    <row r="4" spans="1:3">
      <c r="A4" s="1" t="s">
        <v>1</v>
      </c>
      <c r="B4" s="2"/>
      <c r="C4" s="2"/>
    </row>
    <row r="5" spans="1:3">
      <c r="A5" s="3" t="s">
        <v>75</v>
      </c>
      <c r="B5" s="2"/>
      <c r="C5" s="2"/>
    </row>
    <row r="6" spans="1:3">
      <c r="A6" s="3" t="s">
        <v>76</v>
      </c>
      <c r="B6" s="2"/>
      <c r="C6" s="2"/>
    </row>
    <row r="7" spans="1:3">
      <c r="A7" s="2"/>
      <c r="B7" s="2"/>
      <c r="C7" s="2"/>
    </row>
    <row r="8" spans="1:3">
      <c r="A8" s="4" t="s">
        <v>2</v>
      </c>
      <c r="B8" s="2"/>
      <c r="C8" s="2"/>
    </row>
    <row r="9" spans="1:3">
      <c r="A9" s="4" t="s">
        <v>3</v>
      </c>
      <c r="B9" s="2"/>
      <c r="C9" s="2"/>
    </row>
    <row r="10" spans="1:3">
      <c r="A10" s="4" t="s">
        <v>2</v>
      </c>
      <c r="B10" s="2"/>
      <c r="C10" s="2"/>
    </row>
    <row r="11" spans="1:3">
      <c r="A11" s="4" t="s">
        <v>4</v>
      </c>
      <c r="B11" s="2"/>
      <c r="C11" s="2"/>
    </row>
    <row r="12" spans="1:3">
      <c r="A12" s="4" t="s">
        <v>5</v>
      </c>
      <c r="B12" s="2"/>
      <c r="C12" s="2"/>
    </row>
    <row r="13" spans="1:3">
      <c r="A13" s="4" t="s">
        <v>6</v>
      </c>
      <c r="B13" s="2"/>
      <c r="C13" s="2"/>
    </row>
    <row r="14" spans="1:3">
      <c r="A14" s="4" t="s">
        <v>5</v>
      </c>
      <c r="B14" s="2"/>
      <c r="C14" s="2"/>
    </row>
    <row r="15" spans="1:3">
      <c r="A15" s="4" t="s">
        <v>7</v>
      </c>
      <c r="B15" s="2"/>
      <c r="C15" s="2"/>
    </row>
    <row r="16" spans="1:3">
      <c r="A16" s="4" t="s">
        <v>5</v>
      </c>
      <c r="B16" s="2"/>
      <c r="C16" s="2"/>
    </row>
    <row r="17" spans="1:3">
      <c r="A17" s="4" t="s">
        <v>8</v>
      </c>
      <c r="B17" s="2"/>
      <c r="C17" s="2"/>
    </row>
    <row r="18" spans="1:3">
      <c r="A18" s="4" t="s">
        <v>2</v>
      </c>
      <c r="B18" s="2"/>
      <c r="C18" s="2"/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1" t="s">
        <v>9</v>
      </c>
      <c r="B22" s="2"/>
      <c r="C22" s="2"/>
    </row>
    <row r="23" spans="1:3">
      <c r="A23" s="3" t="s">
        <v>77</v>
      </c>
      <c r="B23" s="2"/>
      <c r="C23" s="2"/>
    </row>
    <row r="24" spans="1:3">
      <c r="A24" s="5"/>
      <c r="B24" s="2"/>
      <c r="C24" s="2"/>
    </row>
    <row r="25" spans="1:3">
      <c r="A25" s="6" t="s">
        <v>78</v>
      </c>
      <c r="B25" s="2"/>
      <c r="C25" s="2"/>
    </row>
    <row r="26" spans="1:3">
      <c r="A26" s="6" t="s">
        <v>79</v>
      </c>
      <c r="B26" s="2"/>
      <c r="C26" s="2"/>
    </row>
    <row r="27" spans="1:3">
      <c r="A27" s="6" t="s">
        <v>80</v>
      </c>
      <c r="B27" s="2"/>
      <c r="C27" s="2"/>
    </row>
    <row r="28" spans="1:3">
      <c r="A28" s="6" t="s">
        <v>81</v>
      </c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1" t="s">
        <v>10</v>
      </c>
      <c r="B32" s="2"/>
      <c r="C32" s="2"/>
    </row>
    <row r="33" spans="1:3">
      <c r="A33" s="2"/>
      <c r="B33" s="2"/>
      <c r="C33" s="2"/>
    </row>
    <row r="34" spans="1:3">
      <c r="A34" s="4" t="s">
        <v>11</v>
      </c>
      <c r="B34" s="2"/>
      <c r="C34" s="2"/>
    </row>
    <row r="35" spans="1:3">
      <c r="A35" s="4" t="s">
        <v>12</v>
      </c>
      <c r="B35" s="2"/>
      <c r="C35" s="2"/>
    </row>
    <row r="36" spans="1:3">
      <c r="A36" s="4" t="s">
        <v>13</v>
      </c>
      <c r="B36" s="2"/>
      <c r="C36" s="2"/>
    </row>
    <row r="37" spans="1:3">
      <c r="A37" s="4" t="s">
        <v>14</v>
      </c>
      <c r="B37" s="2"/>
      <c r="C37" s="2"/>
    </row>
    <row r="38" spans="1:3">
      <c r="A38" s="4" t="s">
        <v>12</v>
      </c>
      <c r="B38" s="2"/>
      <c r="C38" s="2"/>
    </row>
    <row r="39" spans="1:3">
      <c r="A39" s="4" t="s">
        <v>13</v>
      </c>
      <c r="B39" s="2"/>
      <c r="C39" s="2"/>
    </row>
    <row r="40" spans="1:3">
      <c r="A40" s="4" t="s">
        <v>15</v>
      </c>
      <c r="B40" s="2"/>
      <c r="C40" s="2"/>
    </row>
    <row r="41" spans="1:3">
      <c r="A41" s="4" t="s">
        <v>12</v>
      </c>
      <c r="B41" s="2"/>
      <c r="C41" s="2"/>
    </row>
    <row r="42" spans="1:3">
      <c r="A42" s="4" t="s">
        <v>13</v>
      </c>
      <c r="B42" s="2"/>
      <c r="C42" s="2"/>
    </row>
    <row r="43" spans="1:3">
      <c r="A43" s="4" t="s">
        <v>16</v>
      </c>
      <c r="B43" s="2"/>
      <c r="C43" s="2"/>
    </row>
    <row r="44" spans="1:3">
      <c r="A44" s="4" t="s">
        <v>12</v>
      </c>
      <c r="B44" s="2"/>
      <c r="C44" s="2"/>
    </row>
    <row r="45" spans="1:3">
      <c r="A45" s="4" t="s">
        <v>13</v>
      </c>
      <c r="B45" s="2"/>
      <c r="C45" s="2"/>
    </row>
    <row r="46" spans="1:3">
      <c r="A46" s="4" t="s">
        <v>17</v>
      </c>
      <c r="B46" s="2"/>
      <c r="C46" s="2"/>
    </row>
    <row r="47" spans="1:3">
      <c r="A47" s="2"/>
      <c r="B47" s="2"/>
      <c r="C47" s="2"/>
    </row>
    <row r="48" spans="1:3">
      <c r="A48" s="1" t="s">
        <v>18</v>
      </c>
      <c r="B48" s="2"/>
      <c r="C48" s="2"/>
    </row>
    <row r="49" spans="1:3">
      <c r="A49" s="5"/>
      <c r="B49" s="2"/>
      <c r="C49" s="2"/>
    </row>
    <row r="50" spans="1:3">
      <c r="A50" s="6" t="s">
        <v>82</v>
      </c>
      <c r="B50" s="2"/>
      <c r="C50" s="2"/>
    </row>
    <row r="51" spans="1:3">
      <c r="A51" s="6" t="s">
        <v>83</v>
      </c>
      <c r="B51" s="2"/>
      <c r="C51" s="2"/>
    </row>
    <row r="52" spans="1:3">
      <c r="A52" s="6" t="s">
        <v>84</v>
      </c>
      <c r="B52" s="2"/>
      <c r="C52" s="2"/>
    </row>
    <row r="53" spans="1:3">
      <c r="A53" s="2"/>
      <c r="B53" s="2"/>
      <c r="C53" s="2"/>
    </row>
    <row r="54" spans="1:3">
      <c r="A54" s="1" t="s">
        <v>19</v>
      </c>
      <c r="B54" s="2"/>
      <c r="C54" s="2"/>
    </row>
    <row r="55" spans="1:3">
      <c r="A55" s="5"/>
      <c r="B55" s="2"/>
      <c r="C55" s="2"/>
    </row>
    <row r="56" spans="1:3">
      <c r="A56" s="6" t="s">
        <v>85</v>
      </c>
      <c r="B56" s="2"/>
      <c r="C56" s="2"/>
    </row>
    <row r="57" spans="1:3">
      <c r="A57" s="6" t="s">
        <v>86</v>
      </c>
      <c r="B57" s="2"/>
      <c r="C57" s="2"/>
    </row>
    <row r="58" spans="1:3">
      <c r="A58" s="2"/>
      <c r="B58" s="2"/>
      <c r="C58" s="2"/>
    </row>
    <row r="59" spans="1:3">
      <c r="A59" s="1" t="s">
        <v>20</v>
      </c>
      <c r="B59" s="2"/>
      <c r="C59" s="2"/>
    </row>
    <row r="60" spans="1:3">
      <c r="A60" s="5"/>
      <c r="B60" s="2"/>
      <c r="C60" s="2"/>
    </row>
    <row r="61" spans="1:3">
      <c r="A61" s="7" t="s">
        <v>21</v>
      </c>
      <c r="B61" s="2"/>
      <c r="C61" s="2"/>
    </row>
    <row r="62" spans="1:3">
      <c r="A62" s="7" t="s">
        <v>22</v>
      </c>
      <c r="B62" s="2"/>
      <c r="C62" s="2"/>
    </row>
    <row r="63" spans="1:3">
      <c r="A63" s="2"/>
      <c r="B63" s="2"/>
      <c r="C63" s="2"/>
    </row>
    <row r="64" spans="1:3">
      <c r="A64" s="1" t="s">
        <v>23</v>
      </c>
      <c r="B64" s="2"/>
      <c r="C64" s="2"/>
    </row>
    <row r="65" spans="1:3">
      <c r="A65" s="3" t="s">
        <v>24</v>
      </c>
      <c r="B65" s="2"/>
      <c r="C65" s="2"/>
    </row>
    <row r="66" spans="1:3">
      <c r="A66" s="5"/>
      <c r="B66" s="2"/>
      <c r="C66" s="2"/>
    </row>
    <row r="67" spans="1:3">
      <c r="A67" s="6" t="s">
        <v>87</v>
      </c>
      <c r="B67" s="2"/>
      <c r="C67" s="2"/>
    </row>
    <row r="68" spans="1:3">
      <c r="A68" s="6" t="s">
        <v>88</v>
      </c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1" t="s">
        <v>25</v>
      </c>
      <c r="B72" s="2"/>
      <c r="C72" s="2"/>
    </row>
    <row r="73" spans="1:3">
      <c r="A73" s="3" t="s">
        <v>89</v>
      </c>
      <c r="B73" s="2"/>
      <c r="C73" s="2"/>
    </row>
    <row r="74" spans="1:3">
      <c r="A74" s="2"/>
      <c r="B74" s="2"/>
      <c r="C74" s="2"/>
    </row>
    <row r="75" spans="1:3">
      <c r="A75" s="4" t="s">
        <v>26</v>
      </c>
      <c r="B75" s="2"/>
      <c r="C75" s="2"/>
    </row>
    <row r="76" spans="1:3">
      <c r="A76" s="4" t="s">
        <v>27</v>
      </c>
      <c r="B76" s="2"/>
      <c r="C76" s="2"/>
    </row>
    <row r="77" spans="1:3">
      <c r="A77" s="4" t="s">
        <v>26</v>
      </c>
      <c r="B77" s="2"/>
      <c r="C77" s="2"/>
    </row>
    <row r="78" spans="1:3">
      <c r="A78" s="4" t="s">
        <v>28</v>
      </c>
      <c r="B78" s="2"/>
      <c r="C78" s="2"/>
    </row>
    <row r="79" spans="1:3">
      <c r="A79" s="4" t="s">
        <v>29</v>
      </c>
      <c r="B79" s="2"/>
      <c r="C79" s="2"/>
    </row>
    <row r="80" spans="1:3">
      <c r="A80" s="4" t="s">
        <v>30</v>
      </c>
      <c r="B80" s="2"/>
      <c r="C80" s="2"/>
    </row>
    <row r="81" spans="1:3">
      <c r="A81" s="4" t="s">
        <v>26</v>
      </c>
      <c r="B81" s="2"/>
      <c r="C81" s="2"/>
    </row>
    <row r="82" spans="1:3">
      <c r="A82" s="2"/>
      <c r="B82" s="2"/>
      <c r="C82" s="2"/>
    </row>
    <row r="83" spans="1:3">
      <c r="A83" s="1" t="s">
        <v>31</v>
      </c>
      <c r="B83" s="2"/>
      <c r="C83" s="2"/>
    </row>
    <row r="84" spans="1:3">
      <c r="A84" s="2"/>
      <c r="B84" s="2"/>
      <c r="C84" s="2"/>
    </row>
    <row r="85" spans="1:3">
      <c r="A85" s="4" t="s">
        <v>32</v>
      </c>
      <c r="B85" s="2"/>
      <c r="C85" s="2"/>
    </row>
    <row r="86" spans="1:3">
      <c r="A86" s="4" t="s">
        <v>33</v>
      </c>
      <c r="B86" s="2"/>
      <c r="C86" s="2"/>
    </row>
    <row r="87" spans="1:3">
      <c r="A87" s="4" t="s">
        <v>34</v>
      </c>
      <c r="B87" s="2"/>
      <c r="C87" s="2"/>
    </row>
    <row r="88" spans="1:3">
      <c r="A88" s="4" t="s">
        <v>35</v>
      </c>
      <c r="B88" s="2"/>
      <c r="C88" s="2"/>
    </row>
    <row r="89" spans="1:3">
      <c r="A89" s="4" t="s">
        <v>36</v>
      </c>
      <c r="B89" s="2"/>
      <c r="C89" s="2"/>
    </row>
    <row r="90" spans="1:3">
      <c r="A90" s="4" t="s">
        <v>37</v>
      </c>
      <c r="B90" s="2"/>
      <c r="C90" s="2"/>
    </row>
    <row r="91" spans="1:3">
      <c r="A91" s="4" t="s">
        <v>38</v>
      </c>
      <c r="B91" s="2"/>
      <c r="C91" s="2"/>
    </row>
    <row r="92" spans="1:3">
      <c r="A92" s="8"/>
      <c r="B92" s="2"/>
      <c r="C92" s="2"/>
    </row>
    <row r="93" spans="1:3">
      <c r="A93" s="4" t="s">
        <v>39</v>
      </c>
      <c r="B93" s="2"/>
      <c r="C93" s="2"/>
    </row>
    <row r="94" spans="1:3">
      <c r="A94" s="4" t="s">
        <v>40</v>
      </c>
      <c r="B94" s="2"/>
      <c r="C94" s="2"/>
    </row>
    <row r="95" spans="1:3">
      <c r="A95" s="4" t="s">
        <v>41</v>
      </c>
      <c r="B95" s="2"/>
      <c r="C95" s="2"/>
    </row>
    <row r="96" spans="1:3">
      <c r="A96" s="4" t="s">
        <v>42</v>
      </c>
      <c r="B96" s="2"/>
      <c r="C96" s="2"/>
    </row>
    <row r="97" spans="1:3">
      <c r="A97" s="4" t="s">
        <v>43</v>
      </c>
      <c r="B97" s="2"/>
      <c r="C97" s="2"/>
    </row>
    <row r="98" spans="1:3">
      <c r="A98" s="8"/>
      <c r="B98" s="2"/>
      <c r="C98" s="2"/>
    </row>
    <row r="99" spans="1:3">
      <c r="A99" s="4" t="s">
        <v>44</v>
      </c>
      <c r="B99" s="2"/>
      <c r="C99" s="2"/>
    </row>
    <row r="100" spans="1:3">
      <c r="A100" s="4" t="s">
        <v>45</v>
      </c>
      <c r="B100" s="2"/>
      <c r="C100" s="2"/>
    </row>
    <row r="101" spans="1:3">
      <c r="A101" s="4" t="s">
        <v>46</v>
      </c>
      <c r="B101" s="2"/>
      <c r="C101" s="2"/>
    </row>
    <row r="102" spans="1:3">
      <c r="A102" s="4" t="s">
        <v>47</v>
      </c>
      <c r="B102" s="2"/>
      <c r="C102" s="2"/>
    </row>
    <row r="103" spans="1:3">
      <c r="A103" s="4" t="s">
        <v>48</v>
      </c>
      <c r="B103" s="2"/>
      <c r="C103" s="2"/>
    </row>
    <row r="104" spans="1:3">
      <c r="A104" s="8"/>
      <c r="B104" s="2"/>
      <c r="C104" s="2"/>
    </row>
    <row r="105" spans="1:3">
      <c r="A105" s="4" t="s">
        <v>49</v>
      </c>
      <c r="B105" s="2"/>
      <c r="C105" s="2"/>
    </row>
    <row r="106" spans="1:3">
      <c r="A106" s="4" t="s">
        <v>50</v>
      </c>
      <c r="B106" s="2"/>
      <c r="C106" s="2"/>
    </row>
    <row r="107" spans="1:3">
      <c r="A107" s="4" t="s">
        <v>51</v>
      </c>
      <c r="B107" s="2"/>
      <c r="C107" s="2"/>
    </row>
    <row r="108" spans="1:3">
      <c r="A108" s="4" t="s">
        <v>52</v>
      </c>
      <c r="B108" s="2"/>
      <c r="C108" s="2"/>
    </row>
    <row r="109" spans="1:3">
      <c r="A109" s="4" t="s">
        <v>53</v>
      </c>
      <c r="B109" s="2"/>
      <c r="C109" s="2"/>
    </row>
    <row r="110" spans="1:3">
      <c r="A110" s="8"/>
      <c r="B110" s="2"/>
      <c r="C110" s="2"/>
    </row>
    <row r="111" spans="1:3">
      <c r="A111" s="4" t="s">
        <v>54</v>
      </c>
      <c r="B111" s="2"/>
      <c r="C111" s="2"/>
    </row>
    <row r="112" spans="1:3">
      <c r="A112" s="4" t="s">
        <v>55</v>
      </c>
      <c r="B112" s="2"/>
      <c r="C112" s="2"/>
    </row>
    <row r="113" spans="1:3">
      <c r="A113" s="4" t="s">
        <v>56</v>
      </c>
      <c r="B113" s="2"/>
      <c r="C113" s="2"/>
    </row>
    <row r="114" spans="1:3">
      <c r="A114" s="4" t="s">
        <v>57</v>
      </c>
      <c r="B114" s="2"/>
      <c r="C114" s="2"/>
    </row>
    <row r="115" spans="1:3">
      <c r="A115" s="4" t="s">
        <v>58</v>
      </c>
      <c r="B115" s="2"/>
      <c r="C115" s="2"/>
    </row>
    <row r="116" spans="1:3">
      <c r="A116" s="4" t="s">
        <v>59</v>
      </c>
      <c r="B116" s="2"/>
      <c r="C116" s="2"/>
    </row>
    <row r="117" spans="1:3">
      <c r="A117" s="4" t="s">
        <v>38</v>
      </c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1" t="s">
        <v>60</v>
      </c>
      <c r="B121" s="2"/>
      <c r="C121" s="2"/>
    </row>
    <row r="122" spans="1:3">
      <c r="A122" s="9" t="s">
        <v>61</v>
      </c>
      <c r="B122" s="9" t="s">
        <v>62</v>
      </c>
      <c r="C122" s="9" t="s">
        <v>63</v>
      </c>
    </row>
    <row r="123" spans="1:3" ht="46">
      <c r="A123" s="10" t="s">
        <v>64</v>
      </c>
      <c r="B123" s="11" t="s">
        <v>65</v>
      </c>
      <c r="C123" s="11" t="s">
        <v>66</v>
      </c>
    </row>
    <row r="124" spans="1:3" ht="46">
      <c r="A124" s="10" t="s">
        <v>67</v>
      </c>
      <c r="B124" s="11" t="s">
        <v>68</v>
      </c>
      <c r="C124" s="11" t="s">
        <v>69</v>
      </c>
    </row>
    <row r="125" spans="1:3" ht="46">
      <c r="A125" s="10" t="s">
        <v>70</v>
      </c>
      <c r="B125" s="11" t="s">
        <v>71</v>
      </c>
      <c r="C125" s="11" t="s">
        <v>72</v>
      </c>
    </row>
    <row r="126" spans="1:3" ht="46">
      <c r="A126" s="10" t="s">
        <v>73</v>
      </c>
      <c r="B126" s="11" t="s">
        <v>74</v>
      </c>
      <c r="C12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DEBE6-E335-40E9-86AA-9E7B472B3461}">
  <dimension ref="A1:C93"/>
  <sheetViews>
    <sheetView workbookViewId="0">
      <selection activeCell="A2" sqref="A2"/>
    </sheetView>
  </sheetViews>
  <sheetFormatPr defaultRowHeight="14.5"/>
  <cols>
    <col min="1" max="1" width="19" customWidth="1"/>
    <col min="2" max="2" width="27.81640625" customWidth="1"/>
    <col min="3" max="3" width="38.90625" customWidth="1"/>
  </cols>
  <sheetData>
    <row r="1" spans="1:3">
      <c r="A1" s="12" t="s">
        <v>90</v>
      </c>
    </row>
    <row r="2" spans="1:3">
      <c r="A2" t="s">
        <v>91</v>
      </c>
    </row>
    <row r="5" spans="1:3">
      <c r="A5" t="s">
        <v>92</v>
      </c>
    </row>
    <row r="6" spans="1:3">
      <c r="A6" t="s">
        <v>93</v>
      </c>
    </row>
    <row r="7" spans="1:3" ht="72.5">
      <c r="A7" s="13" t="s">
        <v>94</v>
      </c>
      <c r="B7" s="13" t="s">
        <v>95</v>
      </c>
      <c r="C7" s="13" t="s">
        <v>96</v>
      </c>
    </row>
    <row r="8" spans="1:3" ht="409.5">
      <c r="A8" s="15" t="s">
        <v>97</v>
      </c>
      <c r="B8" s="14" t="s">
        <v>98</v>
      </c>
      <c r="C8" s="14" t="s">
        <v>99</v>
      </c>
    </row>
    <row r="9" spans="1:3" ht="188.5">
      <c r="A9" s="15" t="s">
        <v>100</v>
      </c>
      <c r="B9" s="14" t="s">
        <v>98</v>
      </c>
      <c r="C9" s="14" t="s">
        <v>101</v>
      </c>
    </row>
    <row r="10" spans="1:3" ht="319">
      <c r="A10" s="15" t="s">
        <v>102</v>
      </c>
      <c r="B10" s="14" t="s">
        <v>98</v>
      </c>
      <c r="C10" s="14" t="s">
        <v>103</v>
      </c>
    </row>
    <row r="11" spans="1:3" ht="409.5">
      <c r="A11" s="15" t="s">
        <v>104</v>
      </c>
      <c r="B11" s="14" t="s">
        <v>98</v>
      </c>
      <c r="C11" s="14" t="s">
        <v>105</v>
      </c>
    </row>
    <row r="12" spans="1:3" ht="304.5">
      <c r="A12" s="15" t="s">
        <v>106</v>
      </c>
      <c r="B12" s="14" t="s">
        <v>98</v>
      </c>
      <c r="C12" s="14" t="s">
        <v>107</v>
      </c>
    </row>
    <row r="13" spans="1:3" ht="319">
      <c r="A13" s="15" t="s">
        <v>108</v>
      </c>
      <c r="B13" s="14" t="s">
        <v>98</v>
      </c>
      <c r="C13" s="14" t="s">
        <v>109</v>
      </c>
    </row>
    <row r="14" spans="1:3" ht="409.5">
      <c r="A14" s="15" t="s">
        <v>110</v>
      </c>
      <c r="B14" s="14" t="s">
        <v>111</v>
      </c>
      <c r="C14" s="14" t="s">
        <v>112</v>
      </c>
    </row>
    <row r="15" spans="1:3" ht="159.5">
      <c r="A15" s="15" t="s">
        <v>113</v>
      </c>
      <c r="B15" s="14" t="s">
        <v>111</v>
      </c>
      <c r="C15" s="14" t="s">
        <v>114</v>
      </c>
    </row>
    <row r="16" spans="1:3" ht="201">
      <c r="A16" s="15" t="s">
        <v>115</v>
      </c>
      <c r="B16" s="14" t="s">
        <v>111</v>
      </c>
      <c r="C16" s="14" t="s">
        <v>116</v>
      </c>
    </row>
    <row r="17" spans="1:3" ht="153.5">
      <c r="A17" s="15" t="s">
        <v>117</v>
      </c>
      <c r="B17" s="14" t="s">
        <v>111</v>
      </c>
      <c r="C17" s="14" t="s">
        <v>118</v>
      </c>
    </row>
    <row r="18" spans="1:3" ht="217.5">
      <c r="A18" s="15" t="s">
        <v>119</v>
      </c>
      <c r="B18" s="14" t="s">
        <v>120</v>
      </c>
      <c r="C18" s="14" t="s">
        <v>121</v>
      </c>
    </row>
    <row r="21" spans="1:3">
      <c r="A21" t="s">
        <v>122</v>
      </c>
    </row>
    <row r="22" spans="1:3">
      <c r="A22" s="16"/>
    </row>
    <row r="23" spans="1:3">
      <c r="A23" s="17" t="s">
        <v>123</v>
      </c>
    </row>
    <row r="24" spans="1:3">
      <c r="A24" s="17" t="s">
        <v>124</v>
      </c>
    </row>
    <row r="25" spans="1:3">
      <c r="A25" s="17" t="s">
        <v>125</v>
      </c>
    </row>
    <row r="26" spans="1:3">
      <c r="A26" s="17" t="s">
        <v>126</v>
      </c>
    </row>
    <row r="27" spans="1:3">
      <c r="A27" s="17" t="s">
        <v>127</v>
      </c>
    </row>
    <row r="31" spans="1:3">
      <c r="A31" t="s">
        <v>128</v>
      </c>
    </row>
    <row r="32" spans="1:3">
      <c r="A32" t="s">
        <v>129</v>
      </c>
    </row>
    <row r="34" spans="1:1">
      <c r="A34" s="19" t="s">
        <v>26</v>
      </c>
    </row>
    <row r="35" spans="1:1">
      <c r="A35" s="19" t="s">
        <v>130</v>
      </c>
    </row>
    <row r="36" spans="1:1">
      <c r="A36" s="19" t="s">
        <v>26</v>
      </c>
    </row>
    <row r="37" spans="1:1">
      <c r="A37" s="18"/>
    </row>
    <row r="38" spans="1:1">
      <c r="A38" s="19" t="s">
        <v>131</v>
      </c>
    </row>
    <row r="39" spans="1:1">
      <c r="A39" s="19" t="s">
        <v>132</v>
      </c>
    </row>
    <row r="40" spans="1:1">
      <c r="A40" s="19" t="s">
        <v>133</v>
      </c>
    </row>
    <row r="41" spans="1:1">
      <c r="A41" s="19" t="s">
        <v>134</v>
      </c>
    </row>
    <row r="42" spans="1:1">
      <c r="A42" s="19" t="s">
        <v>135</v>
      </c>
    </row>
    <row r="43" spans="1:1">
      <c r="A43" s="19" t="s">
        <v>136</v>
      </c>
    </row>
    <row r="44" spans="1:1">
      <c r="A44" s="19" t="s">
        <v>137</v>
      </c>
    </row>
    <row r="45" spans="1:1">
      <c r="A45" s="19" t="s">
        <v>138</v>
      </c>
    </row>
    <row r="46" spans="1:1">
      <c r="A46" s="19" t="s">
        <v>139</v>
      </c>
    </row>
    <row r="47" spans="1:1">
      <c r="A47" s="19" t="s">
        <v>140</v>
      </c>
    </row>
    <row r="48" spans="1:1">
      <c r="A48" s="19" t="s">
        <v>141</v>
      </c>
    </row>
    <row r="49" spans="1:1">
      <c r="A49" s="19" t="s">
        <v>142</v>
      </c>
    </row>
    <row r="50" spans="1:1">
      <c r="A50" s="19" t="s">
        <v>137</v>
      </c>
    </row>
    <row r="51" spans="1:1">
      <c r="A51" s="19" t="s">
        <v>138</v>
      </c>
    </row>
    <row r="52" spans="1:1">
      <c r="A52" s="19" t="s">
        <v>143</v>
      </c>
    </row>
    <row r="53" spans="1:1">
      <c r="A53" s="19" t="s">
        <v>144</v>
      </c>
    </row>
    <row r="54" spans="1:1">
      <c r="A54" s="19" t="s">
        <v>145</v>
      </c>
    </row>
    <row r="55" spans="1:1">
      <c r="A55" s="19" t="s">
        <v>146</v>
      </c>
    </row>
    <row r="56" spans="1:1">
      <c r="A56" s="19" t="s">
        <v>137</v>
      </c>
    </row>
    <row r="57" spans="1:1">
      <c r="A57" s="19" t="s">
        <v>138</v>
      </c>
    </row>
    <row r="58" spans="1:1">
      <c r="A58" s="19" t="s">
        <v>147</v>
      </c>
    </row>
    <row r="59" spans="1:1">
      <c r="A59" s="19" t="s">
        <v>148</v>
      </c>
    </row>
    <row r="60" spans="1:1">
      <c r="A60" s="19" t="s">
        <v>149</v>
      </c>
    </row>
    <row r="61" spans="1:1">
      <c r="A61" s="19" t="s">
        <v>150</v>
      </c>
    </row>
    <row r="62" spans="1:1">
      <c r="A62" s="19" t="s">
        <v>151</v>
      </c>
    </row>
    <row r="66" spans="1:1">
      <c r="A66" t="s">
        <v>152</v>
      </c>
    </row>
    <row r="67" spans="1:1">
      <c r="A67" t="s">
        <v>153</v>
      </c>
    </row>
    <row r="69" spans="1:1">
      <c r="A69" s="19" t="s">
        <v>26</v>
      </c>
    </row>
    <row r="70" spans="1:1">
      <c r="A70" s="19" t="s">
        <v>154</v>
      </c>
    </row>
    <row r="71" spans="1:1">
      <c r="A71" s="19" t="s">
        <v>26</v>
      </c>
    </row>
    <row r="72" spans="1:1">
      <c r="A72" s="18"/>
    </row>
    <row r="73" spans="1:1">
      <c r="A73" s="19" t="s">
        <v>155</v>
      </c>
    </row>
    <row r="74" spans="1:1">
      <c r="A74" s="19" t="s">
        <v>156</v>
      </c>
    </row>
    <row r="75" spans="1:1">
      <c r="A75" s="19" t="s">
        <v>157</v>
      </c>
    </row>
    <row r="76" spans="1:1">
      <c r="A76" s="19" t="s">
        <v>158</v>
      </c>
    </row>
    <row r="77" spans="1:1">
      <c r="A77" s="19" t="s">
        <v>157</v>
      </c>
    </row>
    <row r="78" spans="1:1">
      <c r="A78" s="19" t="s">
        <v>159</v>
      </c>
    </row>
    <row r="79" spans="1:1">
      <c r="A79" s="19" t="s">
        <v>160</v>
      </c>
    </row>
    <row r="80" spans="1:1">
      <c r="A80" s="19" t="s">
        <v>161</v>
      </c>
    </row>
    <row r="81" spans="1:1">
      <c r="A81" s="19" t="s">
        <v>162</v>
      </c>
    </row>
    <row r="82" spans="1:1">
      <c r="A82" s="19" t="s">
        <v>163</v>
      </c>
    </row>
    <row r="83" spans="1:1">
      <c r="A83" s="19" t="s">
        <v>164</v>
      </c>
    </row>
    <row r="84" spans="1:1">
      <c r="A84" s="19" t="s">
        <v>165</v>
      </c>
    </row>
    <row r="85" spans="1:1">
      <c r="A85" s="19" t="s">
        <v>166</v>
      </c>
    </row>
    <row r="86" spans="1:1">
      <c r="A86" s="19" t="s">
        <v>162</v>
      </c>
    </row>
    <row r="87" spans="1:1">
      <c r="A87" s="19" t="s">
        <v>160</v>
      </c>
    </row>
    <row r="88" spans="1:1">
      <c r="A88" s="19" t="s">
        <v>161</v>
      </c>
    </row>
    <row r="89" spans="1:1">
      <c r="A89" s="19" t="s">
        <v>162</v>
      </c>
    </row>
    <row r="90" spans="1:1">
      <c r="A90" s="19" t="s">
        <v>167</v>
      </c>
    </row>
    <row r="91" spans="1:1">
      <c r="A91" s="19" t="s">
        <v>168</v>
      </c>
    </row>
    <row r="92" spans="1:1">
      <c r="A92" s="19" t="s">
        <v>169</v>
      </c>
    </row>
    <row r="93" spans="1:1">
      <c r="A93" s="19" t="s">
        <v>170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13382-F198-402A-95AD-436A80000417}">
  <dimension ref="A1:F134"/>
  <sheetViews>
    <sheetView topLeftCell="A133" workbookViewId="0">
      <selection activeCell="A136" sqref="A136"/>
    </sheetView>
  </sheetViews>
  <sheetFormatPr defaultRowHeight="14.5"/>
  <cols>
    <col min="1" max="1" width="30.1796875" customWidth="1"/>
    <col min="2" max="2" width="20.6328125" customWidth="1"/>
  </cols>
  <sheetData>
    <row r="1" spans="1:1">
      <c r="A1" s="20" t="s">
        <v>171</v>
      </c>
    </row>
    <row r="4" spans="1:1">
      <c r="A4" s="21" t="s">
        <v>172</v>
      </c>
    </row>
    <row r="5" spans="1:1">
      <c r="A5" s="20" t="s">
        <v>173</v>
      </c>
    </row>
    <row r="6" spans="1:1">
      <c r="A6" s="20" t="s">
        <v>174</v>
      </c>
    </row>
    <row r="7" spans="1:1">
      <c r="A7" s="20" t="s">
        <v>175</v>
      </c>
    </row>
    <row r="9" spans="1:1">
      <c r="A9" s="19" t="s">
        <v>2</v>
      </c>
    </row>
    <row r="10" spans="1:1">
      <c r="A10" s="19" t="s">
        <v>176</v>
      </c>
    </row>
    <row r="11" spans="1:1">
      <c r="A11" s="19" t="s">
        <v>2</v>
      </c>
    </row>
    <row r="12" spans="1:1">
      <c r="A12" s="19" t="s">
        <v>177</v>
      </c>
    </row>
    <row r="13" spans="1:1">
      <c r="A13" s="19" t="s">
        <v>5</v>
      </c>
    </row>
    <row r="14" spans="1:1">
      <c r="A14" s="19" t="s">
        <v>6</v>
      </c>
    </row>
    <row r="15" spans="1:1">
      <c r="A15" s="19" t="s">
        <v>5</v>
      </c>
    </row>
    <row r="16" spans="1:1">
      <c r="A16" s="19" t="s">
        <v>7</v>
      </c>
    </row>
    <row r="17" spans="1:1">
      <c r="A17" s="19" t="s">
        <v>5</v>
      </c>
    </row>
    <row r="18" spans="1:1">
      <c r="A18" s="19" t="s">
        <v>178</v>
      </c>
    </row>
    <row r="19" spans="1:1">
      <c r="A19" s="19" t="s">
        <v>179</v>
      </c>
    </row>
    <row r="20" spans="1:1">
      <c r="A20" s="19" t="s">
        <v>2</v>
      </c>
    </row>
    <row r="24" spans="1:1">
      <c r="A24" s="21" t="s">
        <v>180</v>
      </c>
    </row>
    <row r="25" spans="1:1">
      <c r="A25" s="20" t="s">
        <v>181</v>
      </c>
    </row>
    <row r="26" spans="1:1">
      <c r="A26" s="21" t="s">
        <v>182</v>
      </c>
    </row>
    <row r="27" spans="1:1">
      <c r="A27" s="20" t="s">
        <v>183</v>
      </c>
    </row>
    <row r="28" spans="1:1">
      <c r="A28" s="22"/>
    </row>
    <row r="29" spans="1:1" ht="409.5">
      <c r="A29" s="23" t="s">
        <v>184</v>
      </c>
    </row>
    <row r="30" spans="1:1" ht="409.5">
      <c r="A30" s="23" t="s">
        <v>185</v>
      </c>
    </row>
    <row r="31" spans="1:1" ht="409.5">
      <c r="A31" s="23" t="s">
        <v>186</v>
      </c>
    </row>
    <row r="33" spans="1:1">
      <c r="A33" s="21" t="s">
        <v>187</v>
      </c>
    </row>
    <row r="34" spans="1:1">
      <c r="A34" s="20" t="s">
        <v>188</v>
      </c>
    </row>
    <row r="35" spans="1:1">
      <c r="A35" s="22"/>
    </row>
    <row r="36" spans="1:1" ht="409.5">
      <c r="A36" s="23" t="s">
        <v>189</v>
      </c>
    </row>
    <row r="38" spans="1:1">
      <c r="A38" s="21" t="s">
        <v>190</v>
      </c>
    </row>
    <row r="39" spans="1:1">
      <c r="A39" s="20" t="s">
        <v>191</v>
      </c>
    </row>
    <row r="40" spans="1:1">
      <c r="A40" s="22"/>
    </row>
    <row r="41" spans="1:1" ht="409.5">
      <c r="A41" s="23" t="s">
        <v>192</v>
      </c>
    </row>
    <row r="42" spans="1:1" ht="409.5">
      <c r="A42" s="23" t="s">
        <v>193</v>
      </c>
    </row>
    <row r="44" spans="1:1">
      <c r="A44" s="21" t="s">
        <v>194</v>
      </c>
    </row>
    <row r="45" spans="1:1">
      <c r="A45" s="20" t="s">
        <v>195</v>
      </c>
    </row>
    <row r="48" spans="1:1">
      <c r="A48" s="21" t="s">
        <v>196</v>
      </c>
    </row>
    <row r="49" spans="1:1">
      <c r="A49" s="20" t="s">
        <v>197</v>
      </c>
    </row>
    <row r="51" spans="1:1">
      <c r="A51" s="19" t="s">
        <v>198</v>
      </c>
    </row>
    <row r="52" spans="1:1">
      <c r="A52" s="19" t="s">
        <v>12</v>
      </c>
    </row>
    <row r="53" spans="1:1">
      <c r="A53" s="19" t="s">
        <v>13</v>
      </c>
    </row>
    <row r="54" spans="1:1">
      <c r="A54" s="19" t="s">
        <v>199</v>
      </c>
    </row>
    <row r="55" spans="1:1">
      <c r="A55" s="19" t="s">
        <v>12</v>
      </c>
    </row>
    <row r="56" spans="1:1">
      <c r="A56" s="19" t="s">
        <v>13</v>
      </c>
    </row>
    <row r="57" spans="1:1">
      <c r="A57" s="19" t="s">
        <v>200</v>
      </c>
    </row>
    <row r="58" spans="1:1">
      <c r="A58" s="19" t="s">
        <v>12</v>
      </c>
    </row>
    <row r="59" spans="1:1">
      <c r="A59" s="19" t="s">
        <v>13</v>
      </c>
    </row>
    <row r="60" spans="1:1">
      <c r="A60" s="19" t="s">
        <v>201</v>
      </c>
    </row>
    <row r="61" spans="1:1">
      <c r="A61" s="22"/>
    </row>
    <row r="62" spans="1:1" ht="232.5">
      <c r="A62" s="23" t="s">
        <v>202</v>
      </c>
    </row>
    <row r="63" spans="1:1" ht="315">
      <c r="A63" s="24" t="s">
        <v>203</v>
      </c>
    </row>
    <row r="64" spans="1:1" ht="409.5">
      <c r="A64" s="24" t="s">
        <v>204</v>
      </c>
    </row>
    <row r="65" spans="1:6" ht="252">
      <c r="A65" s="23" t="s">
        <v>205</v>
      </c>
    </row>
    <row r="66" spans="1:6" ht="409.5">
      <c r="A66" s="24" t="s">
        <v>206</v>
      </c>
    </row>
    <row r="67" spans="1:6" ht="409.5">
      <c r="A67" s="24" t="s">
        <v>207</v>
      </c>
    </row>
    <row r="68" spans="1:6" ht="282.5">
      <c r="A68" s="24" t="s">
        <v>208</v>
      </c>
    </row>
    <row r="69" spans="1:6" ht="251.5">
      <c r="A69" s="23" t="s">
        <v>209</v>
      </c>
    </row>
    <row r="70" spans="1:6" ht="245">
      <c r="A70" s="24" t="s">
        <v>210</v>
      </c>
    </row>
    <row r="71" spans="1:6" ht="409.5">
      <c r="A71" s="24" t="s">
        <v>211</v>
      </c>
    </row>
    <row r="75" spans="1:6">
      <c r="A75" s="21" t="s">
        <v>212</v>
      </c>
    </row>
    <row r="76" spans="1:6">
      <c r="A76" s="20" t="s">
        <v>213</v>
      </c>
    </row>
    <row r="77" spans="1:6" ht="70">
      <c r="A77" s="25" t="s">
        <v>214</v>
      </c>
      <c r="B77" s="25" t="s">
        <v>215</v>
      </c>
      <c r="C77" s="25" t="s">
        <v>216</v>
      </c>
      <c r="D77" s="25" t="s">
        <v>217</v>
      </c>
      <c r="E77" s="25" t="s">
        <v>218</v>
      </c>
      <c r="F77" s="25" t="s">
        <v>219</v>
      </c>
    </row>
    <row r="78" spans="1:6" ht="84">
      <c r="A78" s="26" t="s">
        <v>220</v>
      </c>
      <c r="B78" s="27" t="s">
        <v>221</v>
      </c>
      <c r="C78" s="27">
        <v>246.8</v>
      </c>
      <c r="D78" s="27" t="s">
        <v>222</v>
      </c>
      <c r="E78" s="26" t="s">
        <v>223</v>
      </c>
      <c r="F78" s="27" t="s">
        <v>224</v>
      </c>
    </row>
    <row r="79" spans="1:6" ht="98">
      <c r="A79" s="26" t="s">
        <v>225</v>
      </c>
      <c r="B79" s="27" t="s">
        <v>226</v>
      </c>
      <c r="C79" s="27">
        <v>0</v>
      </c>
      <c r="D79" s="27" t="s">
        <v>227</v>
      </c>
      <c r="E79" s="26">
        <v>1.8</v>
      </c>
      <c r="F79" s="27" t="s">
        <v>228</v>
      </c>
    </row>
    <row r="80" spans="1:6" ht="84">
      <c r="A80" s="26" t="s">
        <v>229</v>
      </c>
      <c r="B80" s="27" t="s">
        <v>230</v>
      </c>
      <c r="C80" s="27">
        <v>18.2</v>
      </c>
      <c r="D80" s="27" t="s">
        <v>231</v>
      </c>
      <c r="E80" s="26" t="s">
        <v>232</v>
      </c>
      <c r="F80" s="27" t="s">
        <v>233</v>
      </c>
    </row>
    <row r="81" spans="1:6" ht="84">
      <c r="A81" s="26" t="s">
        <v>234</v>
      </c>
      <c r="B81" s="27" t="s">
        <v>235</v>
      </c>
      <c r="C81" s="27">
        <v>11.6</v>
      </c>
      <c r="D81" s="27" t="s">
        <v>236</v>
      </c>
      <c r="E81" s="26" t="s">
        <v>237</v>
      </c>
      <c r="F81" s="27" t="s">
        <v>238</v>
      </c>
    </row>
    <row r="82" spans="1:6" ht="84">
      <c r="A82" s="26" t="s">
        <v>239</v>
      </c>
      <c r="B82" s="26" t="s">
        <v>240</v>
      </c>
      <c r="C82" s="26">
        <v>276.60000000000002</v>
      </c>
      <c r="D82" s="26" t="s">
        <v>241</v>
      </c>
      <c r="E82" s="26" t="s">
        <v>242</v>
      </c>
      <c r="F82" s="26" t="s">
        <v>243</v>
      </c>
    </row>
    <row r="83" spans="1:6" ht="98">
      <c r="A83" s="27" t="s">
        <v>244</v>
      </c>
      <c r="B83" s="27" t="s">
        <v>245</v>
      </c>
      <c r="C83" s="27">
        <v>179.4</v>
      </c>
      <c r="D83" s="27" t="s">
        <v>246</v>
      </c>
      <c r="E83" s="26" t="s">
        <v>247</v>
      </c>
      <c r="F83" s="27" t="s">
        <v>248</v>
      </c>
    </row>
    <row r="84" spans="1:6" ht="84">
      <c r="A84" s="27" t="s">
        <v>249</v>
      </c>
      <c r="B84" s="27" t="s">
        <v>250</v>
      </c>
      <c r="C84" s="27">
        <v>64.599999999999994</v>
      </c>
      <c r="D84" s="27" t="s">
        <v>251</v>
      </c>
      <c r="E84" s="26" t="s">
        <v>252</v>
      </c>
      <c r="F84" s="27" t="s">
        <v>253</v>
      </c>
    </row>
    <row r="85" spans="1:6" ht="70">
      <c r="A85" s="27" t="s">
        <v>254</v>
      </c>
      <c r="B85" s="27" t="s">
        <v>255</v>
      </c>
      <c r="C85" s="27">
        <v>30.4</v>
      </c>
      <c r="D85" s="27" t="s">
        <v>256</v>
      </c>
      <c r="E85" s="26" t="s">
        <v>257</v>
      </c>
      <c r="F85" s="27" t="s">
        <v>258</v>
      </c>
    </row>
    <row r="86" spans="1:6" ht="84">
      <c r="A86" s="26" t="s">
        <v>259</v>
      </c>
      <c r="B86" s="26" t="s">
        <v>260</v>
      </c>
      <c r="C86" s="26">
        <v>274.39999999999998</v>
      </c>
      <c r="D86" s="26" t="s">
        <v>261</v>
      </c>
      <c r="E86" s="26" t="s">
        <v>262</v>
      </c>
      <c r="F86" s="26" t="s">
        <v>263</v>
      </c>
    </row>
    <row r="87" spans="1:6" ht="112">
      <c r="A87" s="26" t="s">
        <v>264</v>
      </c>
      <c r="B87" s="26" t="s">
        <v>265</v>
      </c>
      <c r="C87" s="26">
        <v>2.2000000000000002</v>
      </c>
      <c r="D87" s="26" t="s">
        <v>266</v>
      </c>
      <c r="E87" s="26" t="s">
        <v>267</v>
      </c>
      <c r="F87" s="26" t="s">
        <v>268</v>
      </c>
    </row>
    <row r="90" spans="1:6">
      <c r="A90" s="21" t="s">
        <v>269</v>
      </c>
    </row>
    <row r="91" spans="1:6">
      <c r="A91" s="20" t="s">
        <v>270</v>
      </c>
    </row>
    <row r="93" spans="1:6">
      <c r="A93" s="19" t="s">
        <v>271</v>
      </c>
    </row>
    <row r="94" spans="1:6">
      <c r="A94" s="19" t="s">
        <v>272</v>
      </c>
    </row>
    <row r="95" spans="1:6">
      <c r="A95" s="19" t="s">
        <v>34</v>
      </c>
    </row>
    <row r="96" spans="1:6">
      <c r="A96" s="19" t="s">
        <v>273</v>
      </c>
    </row>
    <row r="97" spans="1:1">
      <c r="A97" s="19" t="s">
        <v>36</v>
      </c>
    </row>
    <row r="98" spans="1:1">
      <c r="A98" s="19" t="s">
        <v>274</v>
      </c>
    </row>
    <row r="99" spans="1:1">
      <c r="A99" s="19" t="s">
        <v>38</v>
      </c>
    </row>
    <row r="100" spans="1:1">
      <c r="A100" s="18"/>
    </row>
    <row r="101" spans="1:1">
      <c r="A101" s="19" t="s">
        <v>275</v>
      </c>
    </row>
    <row r="102" spans="1:1">
      <c r="A102" s="19" t="s">
        <v>276</v>
      </c>
    </row>
    <row r="103" spans="1:1">
      <c r="A103" s="19" t="s">
        <v>277</v>
      </c>
    </row>
    <row r="104" spans="1:1">
      <c r="A104" s="19" t="s">
        <v>278</v>
      </c>
    </row>
    <row r="105" spans="1:1">
      <c r="A105" s="19" t="s">
        <v>279</v>
      </c>
    </row>
    <row r="106" spans="1:1">
      <c r="A106" s="18"/>
    </row>
    <row r="107" spans="1:1">
      <c r="A107" s="19" t="s">
        <v>280</v>
      </c>
    </row>
    <row r="108" spans="1:1">
      <c r="A108" s="19" t="s">
        <v>281</v>
      </c>
    </row>
    <row r="109" spans="1:1">
      <c r="A109" s="19" t="s">
        <v>282</v>
      </c>
    </row>
    <row r="110" spans="1:1">
      <c r="A110" s="19" t="s">
        <v>283</v>
      </c>
    </row>
    <row r="111" spans="1:1">
      <c r="A111" s="19" t="s">
        <v>284</v>
      </c>
    </row>
    <row r="112" spans="1:1">
      <c r="A112" s="18"/>
    </row>
    <row r="113" spans="1:1">
      <c r="A113" s="19" t="s">
        <v>285</v>
      </c>
    </row>
    <row r="114" spans="1:1">
      <c r="A114" s="19" t="s">
        <v>286</v>
      </c>
    </row>
    <row r="115" spans="1:1">
      <c r="A115" s="19" t="s">
        <v>287</v>
      </c>
    </row>
    <row r="116" spans="1:1">
      <c r="A116" s="19" t="s">
        <v>288</v>
      </c>
    </row>
    <row r="117" spans="1:1">
      <c r="A117" s="19" t="s">
        <v>57</v>
      </c>
    </row>
    <row r="118" spans="1:1">
      <c r="A118" s="19" t="s">
        <v>289</v>
      </c>
    </row>
    <row r="119" spans="1:1">
      <c r="A119" s="19" t="s">
        <v>290</v>
      </c>
    </row>
    <row r="120" spans="1:1">
      <c r="A120" s="19" t="s">
        <v>291</v>
      </c>
    </row>
    <row r="121" spans="1:1">
      <c r="A121" s="19" t="s">
        <v>292</v>
      </c>
    </row>
    <row r="122" spans="1:1">
      <c r="A122" s="19" t="s">
        <v>293</v>
      </c>
    </row>
    <row r="123" spans="1:1">
      <c r="A123" s="19" t="s">
        <v>38</v>
      </c>
    </row>
    <row r="127" spans="1:1">
      <c r="A127" s="21" t="s">
        <v>294</v>
      </c>
    </row>
    <row r="128" spans="1:1">
      <c r="A128" s="20" t="s">
        <v>295</v>
      </c>
    </row>
    <row r="129" spans="1:1">
      <c r="A129" s="22"/>
    </row>
    <row r="130" spans="1:1" ht="409.5">
      <c r="A130" s="28" t="s">
        <v>296</v>
      </c>
    </row>
    <row r="131" spans="1:1" ht="409.5">
      <c r="A131" s="28" t="s">
        <v>297</v>
      </c>
    </row>
    <row r="132" spans="1:1" ht="409.5">
      <c r="A132" s="28" t="s">
        <v>298</v>
      </c>
    </row>
    <row r="133" spans="1:1" ht="409.5">
      <c r="A133" s="28" t="s">
        <v>299</v>
      </c>
    </row>
    <row r="134" spans="1:1" ht="409.5">
      <c r="A134" s="28" t="s">
        <v>300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ED2B4-6E93-4385-A46A-6AC6A6DAF6F5}">
  <dimension ref="A1:B78"/>
  <sheetViews>
    <sheetView workbookViewId="0">
      <selection activeCell="A11" sqref="A11"/>
    </sheetView>
  </sheetViews>
  <sheetFormatPr defaultRowHeight="14.5"/>
  <cols>
    <col min="1" max="1" width="34.08984375" customWidth="1"/>
  </cols>
  <sheetData>
    <row r="1" spans="1:2">
      <c r="A1" s="29" t="s">
        <v>301</v>
      </c>
    </row>
    <row r="2" spans="1:2">
      <c r="A2" s="30" t="s">
        <v>302</v>
      </c>
    </row>
    <row r="5" spans="1:2">
      <c r="A5" s="29" t="s">
        <v>303</v>
      </c>
    </row>
    <row r="6" spans="1:2">
      <c r="A6" s="29" t="s">
        <v>304</v>
      </c>
    </row>
    <row r="7" spans="1:2">
      <c r="A7" s="29" t="s">
        <v>305</v>
      </c>
    </row>
    <row r="8" spans="1:2" ht="42">
      <c r="A8" s="31" t="s">
        <v>306</v>
      </c>
      <c r="B8" s="31" t="s">
        <v>307</v>
      </c>
    </row>
    <row r="9" spans="1:2" ht="56">
      <c r="A9" s="32" t="s">
        <v>308</v>
      </c>
      <c r="B9" s="32" t="s">
        <v>309</v>
      </c>
    </row>
    <row r="10" spans="1:2" ht="56">
      <c r="A10" s="32" t="s">
        <v>310</v>
      </c>
      <c r="B10" s="32" t="s">
        <v>311</v>
      </c>
    </row>
    <row r="11" spans="1:2" ht="56">
      <c r="A11" s="32" t="s">
        <v>312</v>
      </c>
      <c r="B11" s="32" t="s">
        <v>313</v>
      </c>
    </row>
    <row r="12" spans="1:2">
      <c r="A12" s="33" t="s">
        <v>314</v>
      </c>
    </row>
    <row r="13" spans="1:2">
      <c r="A13" s="22"/>
    </row>
    <row r="14" spans="1:2" ht="409.5">
      <c r="A14" s="34" t="s">
        <v>315</v>
      </c>
    </row>
    <row r="15" spans="1:2" ht="409.5">
      <c r="A15" s="34" t="s">
        <v>316</v>
      </c>
    </row>
    <row r="16" spans="1:2" ht="409.5">
      <c r="A16" s="34" t="s">
        <v>317</v>
      </c>
    </row>
    <row r="17" spans="1:1" ht="402.5">
      <c r="A17" s="34" t="s">
        <v>318</v>
      </c>
    </row>
    <row r="19" spans="1:1">
      <c r="A19" s="29" t="s">
        <v>319</v>
      </c>
    </row>
    <row r="20" spans="1:1">
      <c r="A20" s="29" t="s">
        <v>320</v>
      </c>
    </row>
    <row r="21" spans="1:1">
      <c r="A21" s="29" t="s">
        <v>321</v>
      </c>
    </row>
    <row r="22" spans="1:1">
      <c r="A22" s="33" t="s">
        <v>322</v>
      </c>
    </row>
    <row r="23" spans="1:1">
      <c r="A23" s="22"/>
    </row>
    <row r="24" spans="1:1" ht="409.5">
      <c r="A24" s="35" t="s">
        <v>323</v>
      </c>
    </row>
    <row r="25" spans="1:1" ht="409.5">
      <c r="A25" s="35" t="s">
        <v>324</v>
      </c>
    </row>
    <row r="26" spans="1:1" ht="409.5">
      <c r="A26" s="35" t="s">
        <v>325</v>
      </c>
    </row>
    <row r="28" spans="1:1">
      <c r="A28" s="30" t="s">
        <v>326</v>
      </c>
    </row>
    <row r="29" spans="1:1">
      <c r="A29" s="29" t="s">
        <v>327</v>
      </c>
    </row>
    <row r="30" spans="1:1">
      <c r="A30" s="29" t="s">
        <v>328</v>
      </c>
    </row>
    <row r="31" spans="1:1">
      <c r="A31" s="29" t="s">
        <v>329</v>
      </c>
    </row>
    <row r="32" spans="1:1">
      <c r="A32" s="33" t="s">
        <v>330</v>
      </c>
    </row>
    <row r="33" spans="1:1">
      <c r="A33" s="29" t="s">
        <v>331</v>
      </c>
    </row>
    <row r="34" spans="1:1">
      <c r="A34" s="22"/>
    </row>
    <row r="35" spans="1:1" ht="409.5">
      <c r="A35" s="35" t="s">
        <v>332</v>
      </c>
    </row>
    <row r="37" spans="1:1">
      <c r="A37" s="29" t="s">
        <v>333</v>
      </c>
    </row>
    <row r="38" spans="1:1">
      <c r="A38" s="29" t="s">
        <v>334</v>
      </c>
    </row>
    <row r="39" spans="1:1">
      <c r="A39" s="33" t="s">
        <v>335</v>
      </c>
    </row>
    <row r="40" spans="1:1">
      <c r="A40" s="22"/>
    </row>
    <row r="41" spans="1:1" ht="282">
      <c r="A41" s="35" t="s">
        <v>336</v>
      </c>
    </row>
    <row r="42" spans="1:1" ht="409.5">
      <c r="A42" s="35" t="s">
        <v>337</v>
      </c>
    </row>
    <row r="43" spans="1:1" ht="409.5">
      <c r="A43" s="35" t="s">
        <v>338</v>
      </c>
    </row>
    <row r="45" spans="1:1">
      <c r="A45" s="33" t="s">
        <v>339</v>
      </c>
    </row>
    <row r="46" spans="1:1">
      <c r="A46" s="29" t="s">
        <v>340</v>
      </c>
    </row>
    <row r="47" spans="1:1">
      <c r="A47" s="22"/>
    </row>
    <row r="48" spans="1:1" ht="351">
      <c r="A48" s="35" t="s">
        <v>341</v>
      </c>
    </row>
    <row r="49" spans="1:1" ht="299">
      <c r="A49" s="35" t="s">
        <v>342</v>
      </c>
    </row>
    <row r="50" spans="1:1" ht="409.5">
      <c r="A50" s="35" t="s">
        <v>343</v>
      </c>
    </row>
    <row r="52" spans="1:1">
      <c r="A52" s="29" t="s">
        <v>344</v>
      </c>
    </row>
    <row r="53" spans="1:1">
      <c r="A53" s="29" t="s">
        <v>345</v>
      </c>
    </row>
    <row r="54" spans="1:1">
      <c r="A54" s="33" t="s">
        <v>346</v>
      </c>
    </row>
    <row r="55" spans="1:1">
      <c r="A55" s="22"/>
    </row>
    <row r="56" spans="1:1" ht="409.5">
      <c r="A56" s="35" t="s">
        <v>347</v>
      </c>
    </row>
    <row r="57" spans="1:1" ht="409.5">
      <c r="A57" s="35" t="s">
        <v>348</v>
      </c>
    </row>
    <row r="58" spans="1:1" ht="180">
      <c r="A58" s="35" t="s">
        <v>349</v>
      </c>
    </row>
    <row r="59" spans="1:1" ht="335">
      <c r="A59" s="36" t="s">
        <v>350</v>
      </c>
    </row>
    <row r="60" spans="1:1" ht="409.5">
      <c r="A60" s="36" t="s">
        <v>351</v>
      </c>
    </row>
    <row r="62" spans="1:1">
      <c r="A62" s="29" t="s">
        <v>352</v>
      </c>
    </row>
    <row r="63" spans="1:1">
      <c r="A63" s="29" t="s">
        <v>353</v>
      </c>
    </row>
    <row r="64" spans="1:1">
      <c r="A64" s="33" t="s">
        <v>354</v>
      </c>
    </row>
    <row r="65" spans="1:1">
      <c r="A65" s="22"/>
    </row>
    <row r="66" spans="1:1" ht="409.5">
      <c r="A66" s="35" t="s">
        <v>355</v>
      </c>
    </row>
    <row r="67" spans="1:1" ht="318.5">
      <c r="A67" s="35" t="s">
        <v>356</v>
      </c>
    </row>
    <row r="68" spans="1:1" ht="160">
      <c r="A68" s="36" t="s">
        <v>357</v>
      </c>
    </row>
    <row r="69" spans="1:1" ht="246.5">
      <c r="A69" s="36" t="s">
        <v>358</v>
      </c>
    </row>
    <row r="70" spans="1:1" ht="386.5">
      <c r="A70" s="36" t="s">
        <v>359</v>
      </c>
    </row>
    <row r="72" spans="1:1">
      <c r="A72" s="33" t="s">
        <v>360</v>
      </c>
    </row>
    <row r="73" spans="1:1">
      <c r="A73" s="22"/>
    </row>
    <row r="74" spans="1:1" ht="370">
      <c r="A74" s="35" t="s">
        <v>361</v>
      </c>
    </row>
    <row r="75" spans="1:1" ht="409.5">
      <c r="A75" s="35" t="s">
        <v>362</v>
      </c>
    </row>
    <row r="76" spans="1:1" ht="351.5">
      <c r="A76" s="35" t="s">
        <v>363</v>
      </c>
    </row>
    <row r="78" spans="1:1">
      <c r="A78" s="30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66B8A-5B51-4D95-9849-0FFF39597F49}">
  <dimension ref="A1:C75"/>
  <sheetViews>
    <sheetView workbookViewId="0">
      <selection sqref="A1:C75"/>
    </sheetView>
  </sheetViews>
  <sheetFormatPr defaultRowHeight="14.5"/>
  <cols>
    <col min="1" max="1" width="21.1796875" customWidth="1"/>
    <col min="2" max="2" width="15.1796875" customWidth="1"/>
    <col min="3" max="3" width="17.6328125" customWidth="1"/>
  </cols>
  <sheetData>
    <row r="1" spans="1:3">
      <c r="A1" s="29" t="s">
        <v>365</v>
      </c>
      <c r="B1" s="39"/>
      <c r="C1" s="39"/>
    </row>
    <row r="2" spans="1:3">
      <c r="A2" s="39"/>
      <c r="B2" s="39"/>
      <c r="C2" s="39"/>
    </row>
    <row r="3" spans="1:3">
      <c r="A3" s="39"/>
      <c r="B3" s="39"/>
      <c r="C3" s="39"/>
    </row>
    <row r="4" spans="1:3">
      <c r="A4" s="33" t="s">
        <v>366</v>
      </c>
      <c r="B4" s="39"/>
      <c r="C4" s="39"/>
    </row>
    <row r="5" spans="1:3">
      <c r="A5" s="33" t="s">
        <v>367</v>
      </c>
      <c r="B5" s="39"/>
      <c r="C5" s="39"/>
    </row>
    <row r="6" spans="1:3">
      <c r="A6" s="40"/>
      <c r="B6" s="39"/>
      <c r="C6" s="39"/>
    </row>
    <row r="7" spans="1:3">
      <c r="A7" s="41" t="s">
        <v>400</v>
      </c>
      <c r="B7" s="39"/>
      <c r="C7" s="39"/>
    </row>
    <row r="8" spans="1:3">
      <c r="A8" s="41" t="s">
        <v>401</v>
      </c>
      <c r="B8" s="39"/>
      <c r="C8" s="39"/>
    </row>
    <row r="9" spans="1:3">
      <c r="A9" s="41" t="s">
        <v>402</v>
      </c>
      <c r="B9" s="39"/>
      <c r="C9" s="39"/>
    </row>
    <row r="10" spans="1:3">
      <c r="A10" s="39"/>
      <c r="B10" s="39"/>
      <c r="C10" s="39"/>
    </row>
    <row r="11" spans="1:3">
      <c r="A11" s="33" t="s">
        <v>368</v>
      </c>
      <c r="B11" s="39"/>
      <c r="C11" s="39"/>
    </row>
    <row r="12" spans="1:3">
      <c r="A12" s="40"/>
      <c r="B12" s="39"/>
      <c r="C12" s="39"/>
    </row>
    <row r="13" spans="1:3">
      <c r="A13" s="41" t="s">
        <v>403</v>
      </c>
      <c r="B13" s="39"/>
      <c r="C13" s="39"/>
    </row>
    <row r="14" spans="1:3">
      <c r="A14" s="42" t="s">
        <v>404</v>
      </c>
      <c r="B14" s="39"/>
      <c r="C14" s="39"/>
    </row>
    <row r="15" spans="1:3">
      <c r="A15" s="42" t="s">
        <v>405</v>
      </c>
      <c r="B15" s="39"/>
      <c r="C15" s="39"/>
    </row>
    <row r="16" spans="1:3">
      <c r="A16" s="41" t="s">
        <v>406</v>
      </c>
      <c r="B16" s="39"/>
      <c r="C16" s="39"/>
    </row>
    <row r="17" spans="1:3">
      <c r="A17" s="41" t="s">
        <v>407</v>
      </c>
      <c r="B17" s="39"/>
      <c r="C17" s="39"/>
    </row>
    <row r="18" spans="1:3">
      <c r="A18" s="39"/>
      <c r="B18" s="39"/>
      <c r="C18" s="39"/>
    </row>
    <row r="19" spans="1:3">
      <c r="A19" s="33" t="s">
        <v>369</v>
      </c>
      <c r="B19" s="39"/>
      <c r="C19" s="39"/>
    </row>
    <row r="20" spans="1:3">
      <c r="A20" s="40"/>
      <c r="B20" s="39"/>
      <c r="C20" s="39"/>
    </row>
    <row r="21" spans="1:3">
      <c r="A21" s="41" t="s">
        <v>408</v>
      </c>
      <c r="B21" s="39"/>
      <c r="C21" s="39"/>
    </row>
    <row r="22" spans="1:3">
      <c r="A22" s="41" t="s">
        <v>409</v>
      </c>
      <c r="B22" s="39"/>
      <c r="C22" s="39"/>
    </row>
    <row r="23" spans="1:3">
      <c r="A23" s="39"/>
      <c r="B23" s="39"/>
      <c r="C23" s="39"/>
    </row>
    <row r="24" spans="1:3">
      <c r="A24" s="33" t="s">
        <v>370</v>
      </c>
      <c r="B24" s="39"/>
      <c r="C24" s="39"/>
    </row>
    <row r="25" spans="1:3">
      <c r="A25" s="40"/>
      <c r="B25" s="39"/>
      <c r="C25" s="39"/>
    </row>
    <row r="26" spans="1:3">
      <c r="A26" s="41" t="s">
        <v>410</v>
      </c>
      <c r="B26" s="39"/>
      <c r="C26" s="39"/>
    </row>
    <row r="27" spans="1:3">
      <c r="A27" s="41" t="s">
        <v>411</v>
      </c>
      <c r="B27" s="39"/>
      <c r="C27" s="39"/>
    </row>
    <row r="28" spans="1:3">
      <c r="A28" s="39"/>
      <c r="B28" s="39"/>
      <c r="C28" s="39"/>
    </row>
    <row r="29" spans="1:3">
      <c r="A29" s="33" t="s">
        <v>371</v>
      </c>
      <c r="B29" s="39"/>
      <c r="C29" s="39"/>
    </row>
    <row r="30" spans="1:3">
      <c r="A30" s="40"/>
      <c r="B30" s="39"/>
      <c r="C30" s="39"/>
    </row>
    <row r="31" spans="1:3">
      <c r="A31" s="41" t="s">
        <v>412</v>
      </c>
      <c r="B31" s="39"/>
      <c r="C31" s="39"/>
    </row>
    <row r="32" spans="1:3">
      <c r="A32" s="41" t="s">
        <v>413</v>
      </c>
      <c r="B32" s="39"/>
      <c r="C32" s="39"/>
    </row>
    <row r="33" spans="1:3">
      <c r="A33" s="41" t="s">
        <v>414</v>
      </c>
      <c r="B33" s="39"/>
      <c r="C33" s="39"/>
    </row>
    <row r="34" spans="1:3">
      <c r="A34" s="39"/>
      <c r="B34" s="39"/>
      <c r="C34" s="39"/>
    </row>
    <row r="35" spans="1:3">
      <c r="A35" s="39"/>
      <c r="B35" s="39"/>
      <c r="C35" s="39"/>
    </row>
    <row r="36" spans="1:3">
      <c r="A36" s="39"/>
      <c r="B36" s="39"/>
      <c r="C36" s="39"/>
    </row>
    <row r="37" spans="1:3">
      <c r="A37" s="33" t="s">
        <v>372</v>
      </c>
      <c r="B37" s="39"/>
      <c r="C37" s="39"/>
    </row>
    <row r="38" spans="1:3">
      <c r="A38" s="29" t="s">
        <v>373</v>
      </c>
      <c r="B38" s="39"/>
      <c r="C38" s="39"/>
    </row>
    <row r="39" spans="1:3">
      <c r="A39" s="39"/>
      <c r="B39" s="39"/>
      <c r="C39" s="39"/>
    </row>
    <row r="40" spans="1:3">
      <c r="A40" s="43" t="s">
        <v>374</v>
      </c>
      <c r="B40" s="39"/>
      <c r="C40" s="39"/>
    </row>
    <row r="41" spans="1:3">
      <c r="A41" s="43" t="s">
        <v>375</v>
      </c>
      <c r="B41" s="39"/>
      <c r="C41" s="39"/>
    </row>
    <row r="42" spans="1:3">
      <c r="A42" s="43" t="s">
        <v>376</v>
      </c>
      <c r="B42" s="39"/>
      <c r="C42" s="39"/>
    </row>
    <row r="43" spans="1:3">
      <c r="A43" s="43" t="s">
        <v>377</v>
      </c>
      <c r="B43" s="39"/>
      <c r="C43" s="39"/>
    </row>
    <row r="44" spans="1:3">
      <c r="A44" s="43" t="s">
        <v>375</v>
      </c>
      <c r="B44" s="39"/>
      <c r="C44" s="39"/>
    </row>
    <row r="45" spans="1:3">
      <c r="A45" s="43" t="s">
        <v>376</v>
      </c>
      <c r="B45" s="39"/>
      <c r="C45" s="39"/>
    </row>
    <row r="46" spans="1:3">
      <c r="A46" s="43" t="s">
        <v>378</v>
      </c>
      <c r="B46" s="39"/>
      <c r="C46" s="39"/>
    </row>
    <row r="47" spans="1:3">
      <c r="A47" s="43" t="s">
        <v>375</v>
      </c>
      <c r="B47" s="39"/>
      <c r="C47" s="39"/>
    </row>
    <row r="48" spans="1:3">
      <c r="A48" s="43" t="s">
        <v>376</v>
      </c>
      <c r="B48" s="39"/>
      <c r="C48" s="39"/>
    </row>
    <row r="49" spans="1:3">
      <c r="A49" s="43" t="s">
        <v>379</v>
      </c>
      <c r="B49" s="39"/>
      <c r="C49" s="39"/>
    </row>
    <row r="50" spans="1:3">
      <c r="A50" s="39"/>
      <c r="B50" s="39"/>
      <c r="C50" s="39"/>
    </row>
    <row r="51" spans="1:3">
      <c r="A51" s="33" t="s">
        <v>380</v>
      </c>
      <c r="B51" s="39"/>
      <c r="C51" s="39"/>
    </row>
    <row r="52" spans="1:3">
      <c r="A52" s="40"/>
      <c r="B52" s="39"/>
      <c r="C52" s="39"/>
    </row>
    <row r="53" spans="1:3">
      <c r="A53" s="41" t="s">
        <v>381</v>
      </c>
      <c r="B53" s="39"/>
      <c r="C53" s="39"/>
    </row>
    <row r="54" spans="1:3">
      <c r="A54" s="44" t="s">
        <v>382</v>
      </c>
      <c r="B54" s="39"/>
      <c r="C54" s="39"/>
    </row>
    <row r="55" spans="1:3">
      <c r="A55" s="44" t="s">
        <v>415</v>
      </c>
      <c r="B55" s="39"/>
      <c r="C55" s="39"/>
    </row>
    <row r="56" spans="1:3">
      <c r="A56" s="45" t="s">
        <v>416</v>
      </c>
      <c r="B56" s="39"/>
      <c r="C56" s="39"/>
    </row>
    <row r="57" spans="1:3">
      <c r="A57" s="41" t="s">
        <v>383</v>
      </c>
      <c r="B57" s="39"/>
      <c r="C57" s="39"/>
    </row>
    <row r="58" spans="1:3">
      <c r="A58" s="44" t="s">
        <v>417</v>
      </c>
      <c r="B58" s="39"/>
      <c r="C58" s="39"/>
    </row>
    <row r="59" spans="1:3">
      <c r="A59" s="44" t="s">
        <v>418</v>
      </c>
      <c r="B59" s="39"/>
      <c r="C59" s="39"/>
    </row>
    <row r="60" spans="1:3">
      <c r="A60" s="44" t="s">
        <v>419</v>
      </c>
      <c r="B60" s="39"/>
      <c r="C60" s="39"/>
    </row>
    <row r="61" spans="1:3">
      <c r="A61" s="41" t="s">
        <v>420</v>
      </c>
      <c r="B61" s="39"/>
      <c r="C61" s="39"/>
    </row>
    <row r="62" spans="1:3">
      <c r="A62" s="44" t="s">
        <v>421</v>
      </c>
      <c r="B62" s="39"/>
      <c r="C62" s="39"/>
    </row>
    <row r="63" spans="1:3">
      <c r="A63" s="44" t="s">
        <v>422</v>
      </c>
      <c r="B63" s="39"/>
      <c r="C63" s="39"/>
    </row>
    <row r="64" spans="1:3">
      <c r="A64" s="41" t="s">
        <v>384</v>
      </c>
      <c r="B64" s="39"/>
      <c r="C64" s="39"/>
    </row>
    <row r="65" spans="1:3">
      <c r="A65" s="44" t="s">
        <v>423</v>
      </c>
      <c r="B65" s="39"/>
      <c r="C65" s="39"/>
    </row>
    <row r="66" spans="1:3">
      <c r="A66" s="44" t="s">
        <v>424</v>
      </c>
      <c r="B66" s="39"/>
      <c r="C66" s="39"/>
    </row>
    <row r="67" spans="1:3">
      <c r="A67" s="39"/>
      <c r="B67" s="39"/>
      <c r="C67" s="39"/>
    </row>
    <row r="68" spans="1:3">
      <c r="A68" s="39"/>
      <c r="B68" s="39"/>
      <c r="C68" s="39"/>
    </row>
    <row r="69" spans="1:3">
      <c r="A69" s="39"/>
      <c r="B69" s="39"/>
      <c r="C69" s="39"/>
    </row>
    <row r="70" spans="1:3">
      <c r="A70" s="33" t="s">
        <v>385</v>
      </c>
      <c r="B70" s="39"/>
      <c r="C70" s="39"/>
    </row>
    <row r="71" spans="1:3" ht="56">
      <c r="A71" s="31" t="s">
        <v>61</v>
      </c>
      <c r="B71" s="31" t="s">
        <v>386</v>
      </c>
      <c r="C71" s="31" t="s">
        <v>387</v>
      </c>
    </row>
    <row r="72" spans="1:3" ht="140">
      <c r="A72" s="32" t="s">
        <v>388</v>
      </c>
      <c r="B72" s="38" t="s">
        <v>389</v>
      </c>
      <c r="C72" s="38" t="s">
        <v>390</v>
      </c>
    </row>
    <row r="73" spans="1:3" ht="168">
      <c r="A73" s="32" t="s">
        <v>391</v>
      </c>
      <c r="B73" s="38" t="s">
        <v>392</v>
      </c>
      <c r="C73" s="38" t="s">
        <v>393</v>
      </c>
    </row>
    <row r="74" spans="1:3" ht="169">
      <c r="A74" s="32" t="s">
        <v>394</v>
      </c>
      <c r="B74" s="38" t="s">
        <v>395</v>
      </c>
      <c r="C74" s="38" t="s">
        <v>396</v>
      </c>
    </row>
    <row r="75" spans="1:3" ht="182">
      <c r="A75" s="32" t="s">
        <v>397</v>
      </c>
      <c r="B75" s="38" t="s">
        <v>398</v>
      </c>
      <c r="C75" s="38" t="s">
        <v>399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45B68-C86C-4FD2-8A17-5F8F0A6C7BC7}">
  <dimension ref="A1:C160"/>
  <sheetViews>
    <sheetView workbookViewId="0">
      <selection activeCell="F15" sqref="F15"/>
    </sheetView>
  </sheetViews>
  <sheetFormatPr defaultRowHeight="14.5"/>
  <sheetData>
    <row r="1" spans="1:1">
      <c r="A1" t="s">
        <v>425</v>
      </c>
    </row>
    <row r="4" spans="1:1">
      <c r="A4" t="s">
        <v>366</v>
      </c>
    </row>
    <row r="5" spans="1:1">
      <c r="A5" t="s">
        <v>367</v>
      </c>
    </row>
    <row r="6" spans="1:1">
      <c r="A6" s="16"/>
    </row>
    <row r="7" spans="1:1">
      <c r="A7" s="17" t="s">
        <v>426</v>
      </c>
    </row>
    <row r="8" spans="1:1">
      <c r="A8" s="17" t="s">
        <v>427</v>
      </c>
    </row>
    <row r="9" spans="1:1">
      <c r="A9" s="17" t="s">
        <v>428</v>
      </c>
    </row>
    <row r="11" spans="1:1">
      <c r="A11" t="s">
        <v>368</v>
      </c>
    </row>
    <row r="12" spans="1:1">
      <c r="A12" s="16"/>
    </row>
    <row r="13" spans="1:1">
      <c r="A13" s="17" t="s">
        <v>429</v>
      </c>
    </row>
    <row r="14" spans="1:1">
      <c r="A14" s="46" t="s">
        <v>430</v>
      </c>
    </row>
    <row r="15" spans="1:1">
      <c r="A15" s="46" t="s">
        <v>431</v>
      </c>
    </row>
    <row r="16" spans="1:1">
      <c r="A16" s="17" t="s">
        <v>432</v>
      </c>
    </row>
    <row r="17" spans="1:1">
      <c r="A17" s="17" t="s">
        <v>433</v>
      </c>
    </row>
    <row r="19" spans="1:1">
      <c r="A19" t="s">
        <v>369</v>
      </c>
    </row>
    <row r="20" spans="1:1">
      <c r="A20" s="16"/>
    </row>
    <row r="21" spans="1:1">
      <c r="A21" s="17" t="s">
        <v>434</v>
      </c>
    </row>
    <row r="22" spans="1:1">
      <c r="A22" s="17" t="s">
        <v>435</v>
      </c>
    </row>
    <row r="24" spans="1:1">
      <c r="A24" t="s">
        <v>370</v>
      </c>
    </row>
    <row r="25" spans="1:1">
      <c r="A25" s="16"/>
    </row>
    <row r="26" spans="1:1">
      <c r="A26" s="17" t="s">
        <v>436</v>
      </c>
    </row>
    <row r="27" spans="1:1">
      <c r="A27" s="17" t="s">
        <v>437</v>
      </c>
    </row>
    <row r="29" spans="1:1">
      <c r="A29" t="s">
        <v>371</v>
      </c>
    </row>
    <row r="30" spans="1:1">
      <c r="A30" s="16"/>
    </row>
    <row r="31" spans="1:1">
      <c r="A31" s="17" t="s">
        <v>438</v>
      </c>
    </row>
    <row r="32" spans="1:1">
      <c r="A32" s="17" t="s">
        <v>439</v>
      </c>
    </row>
    <row r="33" spans="1:1">
      <c r="A33" s="17" t="s">
        <v>440</v>
      </c>
    </row>
    <row r="37" spans="1:1">
      <c r="A37" t="s">
        <v>372</v>
      </c>
    </row>
    <row r="38" spans="1:1">
      <c r="A38" t="s">
        <v>441</v>
      </c>
    </row>
    <row r="40" spans="1:1">
      <c r="A40" s="19" t="s">
        <v>374</v>
      </c>
    </row>
    <row r="41" spans="1:1">
      <c r="A41" s="19" t="s">
        <v>375</v>
      </c>
    </row>
    <row r="42" spans="1:1">
      <c r="A42" s="19" t="s">
        <v>376</v>
      </c>
    </row>
    <row r="43" spans="1:1">
      <c r="A43" s="19" t="s">
        <v>377</v>
      </c>
    </row>
    <row r="44" spans="1:1">
      <c r="A44" s="19" t="s">
        <v>375</v>
      </c>
    </row>
    <row r="45" spans="1:1">
      <c r="A45" s="19" t="s">
        <v>376</v>
      </c>
    </row>
    <row r="46" spans="1:1">
      <c r="A46" s="19" t="s">
        <v>378</v>
      </c>
    </row>
    <row r="47" spans="1:1">
      <c r="A47" s="19" t="s">
        <v>375</v>
      </c>
    </row>
    <row r="48" spans="1:1">
      <c r="A48" s="19" t="s">
        <v>376</v>
      </c>
    </row>
    <row r="49" spans="1:1">
      <c r="A49" s="19" t="s">
        <v>379</v>
      </c>
    </row>
    <row r="51" spans="1:1">
      <c r="A51" t="s">
        <v>380</v>
      </c>
    </row>
    <row r="52" spans="1:1">
      <c r="A52" s="16"/>
    </row>
    <row r="53" spans="1:1">
      <c r="A53" s="17" t="s">
        <v>442</v>
      </c>
    </row>
    <row r="54" spans="1:1">
      <c r="A54" s="37" t="s">
        <v>443</v>
      </c>
    </row>
    <row r="55" spans="1:1">
      <c r="A55" s="37" t="s">
        <v>444</v>
      </c>
    </row>
    <row r="56" spans="1:1">
      <c r="A56" s="47" t="s">
        <v>445</v>
      </c>
    </row>
    <row r="57" spans="1:1">
      <c r="A57" s="17" t="s">
        <v>446</v>
      </c>
    </row>
    <row r="58" spans="1:1">
      <c r="A58" s="37" t="s">
        <v>447</v>
      </c>
    </row>
    <row r="59" spans="1:1">
      <c r="A59" s="37" t="s">
        <v>448</v>
      </c>
    </row>
    <row r="60" spans="1:1">
      <c r="A60" s="37" t="s">
        <v>449</v>
      </c>
    </row>
    <row r="61" spans="1:1">
      <c r="A61" s="17" t="s">
        <v>450</v>
      </c>
    </row>
    <row r="62" spans="1:1">
      <c r="A62" s="37" t="s">
        <v>451</v>
      </c>
    </row>
    <row r="63" spans="1:1">
      <c r="A63" s="37" t="s">
        <v>452</v>
      </c>
    </row>
    <row r="64" spans="1:1">
      <c r="A64" s="17" t="s">
        <v>453</v>
      </c>
    </row>
    <row r="65" spans="1:3">
      <c r="A65" s="37" t="s">
        <v>454</v>
      </c>
    </row>
    <row r="66" spans="1:3">
      <c r="A66" s="37" t="s">
        <v>455</v>
      </c>
    </row>
    <row r="70" spans="1:3">
      <c r="A70" t="s">
        <v>385</v>
      </c>
    </row>
    <row r="71" spans="1:3" ht="58">
      <c r="A71" s="13" t="s">
        <v>61</v>
      </c>
      <c r="B71" s="13" t="s">
        <v>386</v>
      </c>
      <c r="C71" s="13" t="s">
        <v>387</v>
      </c>
    </row>
    <row r="72" spans="1:3" ht="145">
      <c r="A72" s="15" t="s">
        <v>388</v>
      </c>
      <c r="B72" s="14" t="s">
        <v>389</v>
      </c>
      <c r="C72" s="14" t="s">
        <v>456</v>
      </c>
    </row>
    <row r="73" spans="1:3" ht="159.5">
      <c r="A73" s="15" t="s">
        <v>391</v>
      </c>
      <c r="B73" s="14" t="s">
        <v>392</v>
      </c>
      <c r="C73" s="14" t="s">
        <v>457</v>
      </c>
    </row>
    <row r="74" spans="1:3" ht="188.5">
      <c r="A74" s="15" t="s">
        <v>394</v>
      </c>
      <c r="B74" s="14" t="s">
        <v>395</v>
      </c>
      <c r="C74" s="14" t="s">
        <v>458</v>
      </c>
    </row>
    <row r="75" spans="1:3" ht="145">
      <c r="A75" s="15" t="s">
        <v>397</v>
      </c>
      <c r="B75" s="14" t="s">
        <v>398</v>
      </c>
      <c r="C75" s="14" t="s">
        <v>459</v>
      </c>
    </row>
    <row r="76" spans="1:3">
      <c r="A76" t="s">
        <v>460</v>
      </c>
    </row>
    <row r="77" spans="1:3">
      <c r="A77" t="s">
        <v>461</v>
      </c>
    </row>
    <row r="78" spans="1:3">
      <c r="A78" t="s">
        <v>462</v>
      </c>
    </row>
    <row r="79" spans="1:3">
      <c r="A79" t="s">
        <v>463</v>
      </c>
    </row>
    <row r="81" spans="1:1">
      <c r="A81" t="s">
        <v>464</v>
      </c>
    </row>
    <row r="83" spans="1:1">
      <c r="A83" t="s">
        <v>465</v>
      </c>
    </row>
    <row r="84" spans="1:1">
      <c r="A84" t="s">
        <v>466</v>
      </c>
    </row>
    <row r="85" spans="1:1">
      <c r="A85" s="12" t="s">
        <v>467</v>
      </c>
    </row>
    <row r="88" spans="1:1">
      <c r="A88" t="s">
        <v>468</v>
      </c>
    </row>
    <row r="89" spans="1:1">
      <c r="A89" s="16"/>
    </row>
    <row r="90" spans="1:1">
      <c r="A90" s="17" t="s">
        <v>469</v>
      </c>
    </row>
    <row r="91" spans="1:1">
      <c r="A91" s="37" t="s">
        <v>470</v>
      </c>
    </row>
    <row r="92" spans="1:1">
      <c r="A92" s="37" t="s">
        <v>471</v>
      </c>
    </row>
    <row r="93" spans="1:1">
      <c r="A93" s="17" t="s">
        <v>472</v>
      </c>
    </row>
    <row r="94" spans="1:1">
      <c r="A94" s="37" t="s">
        <v>473</v>
      </c>
    </row>
    <row r="95" spans="1:1">
      <c r="A95" s="48" t="s">
        <v>474</v>
      </c>
    </row>
    <row r="96" spans="1:1">
      <c r="A96" s="48" t="s">
        <v>475</v>
      </c>
    </row>
    <row r="97" spans="1:1">
      <c r="A97" s="48" t="s">
        <v>476</v>
      </c>
    </row>
    <row r="101" spans="1:1">
      <c r="A101" t="s">
        <v>477</v>
      </c>
    </row>
    <row r="102" spans="1:1">
      <c r="A102" s="16"/>
    </row>
    <row r="103" spans="1:1">
      <c r="A103" s="17" t="s">
        <v>478</v>
      </c>
    </row>
    <row r="104" spans="1:1">
      <c r="A104" s="17" t="s">
        <v>479</v>
      </c>
    </row>
    <row r="105" spans="1:1">
      <c r="A105" s="17" t="s">
        <v>480</v>
      </c>
    </row>
    <row r="106" spans="1:1">
      <c r="A106" s="17" t="s">
        <v>481</v>
      </c>
    </row>
    <row r="110" spans="1:1">
      <c r="A110" t="s">
        <v>482</v>
      </c>
    </row>
    <row r="111" spans="1:1">
      <c r="A111" s="16"/>
    </row>
    <row r="112" spans="1:1">
      <c r="A112" s="17" t="s">
        <v>483</v>
      </c>
    </row>
    <row r="113" spans="1:1">
      <c r="A113" s="17" t="s">
        <v>484</v>
      </c>
    </row>
    <row r="117" spans="1:1">
      <c r="A117" t="s">
        <v>485</v>
      </c>
    </row>
    <row r="118" spans="1:1">
      <c r="A118" t="s">
        <v>460</v>
      </c>
    </row>
    <row r="119" spans="1:1">
      <c r="A119" t="s">
        <v>461</v>
      </c>
    </row>
    <row r="120" spans="1:1">
      <c r="A120" t="s">
        <v>462</v>
      </c>
    </row>
    <row r="121" spans="1:1">
      <c r="A121" t="s">
        <v>463</v>
      </c>
    </row>
    <row r="123" spans="1:1">
      <c r="A123" t="s">
        <v>486</v>
      </c>
    </row>
    <row r="125" spans="1:1">
      <c r="A125" t="s">
        <v>465</v>
      </c>
    </row>
    <row r="126" spans="1:1">
      <c r="A126" t="s">
        <v>466</v>
      </c>
    </row>
    <row r="127" spans="1:1">
      <c r="A127" t="s">
        <v>487</v>
      </c>
    </row>
    <row r="130" spans="1:1">
      <c r="A130" t="s">
        <v>488</v>
      </c>
    </row>
    <row r="131" spans="1:1">
      <c r="A131" s="16"/>
    </row>
    <row r="132" spans="1:1">
      <c r="A132" s="17" t="s">
        <v>489</v>
      </c>
    </row>
    <row r="133" spans="1:1">
      <c r="A133" s="17" t="s">
        <v>490</v>
      </c>
    </row>
    <row r="134" spans="1:1">
      <c r="A134" s="17" t="s">
        <v>491</v>
      </c>
    </row>
    <row r="138" spans="1:1">
      <c r="A138" t="s">
        <v>492</v>
      </c>
    </row>
    <row r="139" spans="1:1">
      <c r="A139" t="s">
        <v>493</v>
      </c>
    </row>
    <row r="140" spans="1:1">
      <c r="A140" s="12" t="s">
        <v>494</v>
      </c>
    </row>
    <row r="141" spans="1:1">
      <c r="A141" t="s">
        <v>495</v>
      </c>
    </row>
    <row r="142" spans="1:1">
      <c r="A142" t="s">
        <v>496</v>
      </c>
    </row>
    <row r="143" spans="1:1">
      <c r="A143" s="16"/>
    </row>
    <row r="144" spans="1:1">
      <c r="A144" s="17" t="s">
        <v>497</v>
      </c>
    </row>
    <row r="148" spans="1:1">
      <c r="A148" s="12" t="s">
        <v>498</v>
      </c>
    </row>
    <row r="149" spans="1:1">
      <c r="A149" t="s">
        <v>499</v>
      </c>
    </row>
    <row r="150" spans="1:1">
      <c r="A150" t="s">
        <v>500</v>
      </c>
    </row>
    <row r="151" spans="1:1">
      <c r="A151" s="16"/>
    </row>
    <row r="152" spans="1:1">
      <c r="A152" s="17" t="s">
        <v>501</v>
      </c>
    </row>
    <row r="156" spans="1:1">
      <c r="A156" t="s">
        <v>502</v>
      </c>
    </row>
    <row r="157" spans="1:1">
      <c r="A157" s="16"/>
    </row>
    <row r="158" spans="1:1">
      <c r="A158" s="17" t="s">
        <v>503</v>
      </c>
    </row>
    <row r="159" spans="1:1">
      <c r="A159" s="17" t="s">
        <v>504</v>
      </c>
    </row>
    <row r="160" spans="1:1">
      <c r="A160" s="17" t="s">
        <v>505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E38B-3702-46D3-9947-A53946A143EF}">
  <dimension ref="A1:R91"/>
  <sheetViews>
    <sheetView workbookViewId="0">
      <selection activeCell="P20" sqref="P20"/>
    </sheetView>
  </sheetViews>
  <sheetFormatPr defaultRowHeight="14.5"/>
  <sheetData>
    <row r="1" spans="1:18">
      <c r="A1" t="s">
        <v>506</v>
      </c>
    </row>
    <row r="2" spans="1:18">
      <c r="A2" t="s">
        <v>507</v>
      </c>
    </row>
    <row r="3" spans="1:18">
      <c r="A3" s="16"/>
    </row>
    <row r="4" spans="1:18">
      <c r="A4" s="17" t="s">
        <v>508</v>
      </c>
    </row>
    <row r="5" spans="1:18">
      <c r="A5" s="17" t="s">
        <v>509</v>
      </c>
    </row>
    <row r="6" spans="1:18">
      <c r="A6" s="17" t="s">
        <v>510</v>
      </c>
    </row>
    <row r="7" spans="1:18">
      <c r="A7" s="17" t="s">
        <v>511</v>
      </c>
    </row>
    <row r="8" spans="1:18">
      <c r="A8" s="17" t="s">
        <v>512</v>
      </c>
    </row>
    <row r="9" spans="1:18">
      <c r="A9" s="17" t="s">
        <v>513</v>
      </c>
    </row>
    <row r="10" spans="1:18">
      <c r="A10" s="17" t="s">
        <v>514</v>
      </c>
      <c r="R10" s="29" t="s">
        <v>572</v>
      </c>
    </row>
    <row r="11" spans="1:18">
      <c r="A11" s="17" t="s">
        <v>515</v>
      </c>
      <c r="R11" s="40"/>
    </row>
    <row r="12" spans="1:18">
      <c r="A12" s="17" t="s">
        <v>516</v>
      </c>
      <c r="R12" s="41" t="s">
        <v>574</v>
      </c>
    </row>
    <row r="13" spans="1:18">
      <c r="R13" s="41" t="s">
        <v>575</v>
      </c>
    </row>
    <row r="14" spans="1:18">
      <c r="R14" s="41" t="s">
        <v>576</v>
      </c>
    </row>
    <row r="15" spans="1:18">
      <c r="R15" s="39"/>
    </row>
    <row r="16" spans="1:18">
      <c r="A16" t="s">
        <v>517</v>
      </c>
      <c r="R16" s="29" t="s">
        <v>573</v>
      </c>
    </row>
    <row r="17" spans="1:1">
      <c r="A17" t="s">
        <v>518</v>
      </c>
    </row>
    <row r="18" spans="1:1">
      <c r="A18" t="s">
        <v>519</v>
      </c>
    </row>
    <row r="20" spans="1:1">
      <c r="A20" s="19" t="s">
        <v>26</v>
      </c>
    </row>
    <row r="21" spans="1:1">
      <c r="A21" s="19" t="s">
        <v>520</v>
      </c>
    </row>
    <row r="22" spans="1:1">
      <c r="A22" s="19" t="s">
        <v>26</v>
      </c>
    </row>
    <row r="23" spans="1:1">
      <c r="A23" s="18"/>
    </row>
    <row r="24" spans="1:1">
      <c r="A24" s="19" t="s">
        <v>521</v>
      </c>
    </row>
    <row r="25" spans="1:1">
      <c r="A25" s="19" t="s">
        <v>522</v>
      </c>
    </row>
    <row r="26" spans="1:1">
      <c r="A26" s="19" t="s">
        <v>523</v>
      </c>
    </row>
    <row r="27" spans="1:1">
      <c r="A27" s="19" t="s">
        <v>524</v>
      </c>
    </row>
    <row r="28" spans="1:1">
      <c r="A28" s="19" t="s">
        <v>523</v>
      </c>
    </row>
    <row r="29" spans="1:1">
      <c r="A29" s="19" t="s">
        <v>525</v>
      </c>
    </row>
    <row r="30" spans="1:1">
      <c r="A30" s="19" t="s">
        <v>526</v>
      </c>
    </row>
    <row r="31" spans="1:1">
      <c r="A31" s="19" t="s">
        <v>527</v>
      </c>
    </row>
    <row r="32" spans="1:1">
      <c r="A32" s="19" t="s">
        <v>528</v>
      </c>
    </row>
    <row r="33" spans="1:1">
      <c r="A33" s="19" t="s">
        <v>529</v>
      </c>
    </row>
    <row r="34" spans="1:1">
      <c r="A34" s="19" t="s">
        <v>530</v>
      </c>
    </row>
    <row r="35" spans="1:1">
      <c r="A35" s="19" t="s">
        <v>531</v>
      </c>
    </row>
    <row r="36" spans="1:1">
      <c r="A36" s="19" t="s">
        <v>532</v>
      </c>
    </row>
    <row r="37" spans="1:1">
      <c r="A37" s="19" t="s">
        <v>528</v>
      </c>
    </row>
    <row r="38" spans="1:1">
      <c r="A38" s="19" t="s">
        <v>533</v>
      </c>
    </row>
    <row r="39" spans="1:1">
      <c r="A39" s="19" t="s">
        <v>534</v>
      </c>
    </row>
    <row r="40" spans="1:1">
      <c r="A40" s="19" t="s">
        <v>535</v>
      </c>
    </row>
    <row r="41" spans="1:1">
      <c r="A41" s="19" t="s">
        <v>536</v>
      </c>
    </row>
    <row r="42" spans="1:1">
      <c r="A42" s="19" t="s">
        <v>537</v>
      </c>
    </row>
    <row r="43" spans="1:1">
      <c r="A43" s="19" t="s">
        <v>535</v>
      </c>
    </row>
    <row r="47" spans="1:1">
      <c r="A47" t="s">
        <v>538</v>
      </c>
    </row>
    <row r="48" spans="1:1">
      <c r="A48" t="s">
        <v>539</v>
      </c>
    </row>
    <row r="49" spans="1:1">
      <c r="A49" t="s">
        <v>540</v>
      </c>
    </row>
    <row r="50" spans="1:1">
      <c r="A50" s="16"/>
    </row>
    <row r="51" spans="1:1">
      <c r="A51" s="17" t="s">
        <v>541</v>
      </c>
    </row>
    <row r="52" spans="1:1">
      <c r="A52" s="17" t="s">
        <v>542</v>
      </c>
    </row>
    <row r="53" spans="1:1">
      <c r="A53" s="17" t="s">
        <v>543</v>
      </c>
    </row>
    <row r="54" spans="1:1">
      <c r="A54" s="47" t="s">
        <v>544</v>
      </c>
    </row>
    <row r="55" spans="1:1">
      <c r="A55" s="47" t="s">
        <v>545</v>
      </c>
    </row>
    <row r="56" spans="1:1">
      <c r="A56" s="17" t="s">
        <v>546</v>
      </c>
    </row>
    <row r="57" spans="1:1">
      <c r="A57" s="17" t="s">
        <v>547</v>
      </c>
    </row>
    <row r="59" spans="1:1">
      <c r="A59" t="s">
        <v>548</v>
      </c>
    </row>
    <row r="60" spans="1:1">
      <c r="A60" s="16"/>
    </row>
    <row r="61" spans="1:1">
      <c r="A61" s="17" t="s">
        <v>549</v>
      </c>
    </row>
    <row r="62" spans="1:1">
      <c r="A62" s="17" t="s">
        <v>550</v>
      </c>
    </row>
    <row r="63" spans="1:1">
      <c r="A63" s="17" t="s">
        <v>551</v>
      </c>
    </row>
    <row r="64" spans="1:1">
      <c r="A64" s="17" t="s">
        <v>552</v>
      </c>
    </row>
    <row r="65" spans="1:1">
      <c r="A65" s="17" t="s">
        <v>553</v>
      </c>
    </row>
    <row r="67" spans="1:1">
      <c r="A67" t="s">
        <v>554</v>
      </c>
    </row>
    <row r="68" spans="1:1">
      <c r="A68" s="16"/>
    </row>
    <row r="69" spans="1:1">
      <c r="A69" s="17" t="s">
        <v>555</v>
      </c>
    </row>
    <row r="70" spans="1:1">
      <c r="A70" s="17" t="s">
        <v>556</v>
      </c>
    </row>
    <row r="71" spans="1:1">
      <c r="A71" s="17" t="s">
        <v>557</v>
      </c>
    </row>
    <row r="72" spans="1:1">
      <c r="A72" s="17" t="s">
        <v>558</v>
      </c>
    </row>
    <row r="73" spans="1:1">
      <c r="A73" s="17" t="s">
        <v>559</v>
      </c>
    </row>
    <row r="75" spans="1:1">
      <c r="A75" t="s">
        <v>560</v>
      </c>
    </row>
    <row r="76" spans="1:1">
      <c r="A76" s="16"/>
    </row>
    <row r="77" spans="1:1">
      <c r="A77" s="17" t="s">
        <v>561</v>
      </c>
    </row>
    <row r="78" spans="1:1">
      <c r="A78" s="17" t="s">
        <v>562</v>
      </c>
    </row>
    <row r="79" spans="1:1">
      <c r="A79" s="17" t="s">
        <v>563</v>
      </c>
    </row>
    <row r="81" spans="1:1">
      <c r="A81" t="s">
        <v>564</v>
      </c>
    </row>
    <row r="82" spans="1:1">
      <c r="A82" s="16"/>
    </row>
    <row r="83" spans="1:1">
      <c r="A83" s="17" t="s">
        <v>565</v>
      </c>
    </row>
    <row r="84" spans="1:1">
      <c r="A84" s="17" t="s">
        <v>566</v>
      </c>
    </row>
    <row r="85" spans="1:1">
      <c r="A85" s="17" t="s">
        <v>567</v>
      </c>
    </row>
    <row r="86" spans="1:1">
      <c r="A86" s="17" t="s">
        <v>568</v>
      </c>
    </row>
    <row r="88" spans="1:1">
      <c r="A88" t="s">
        <v>569</v>
      </c>
    </row>
    <row r="89" spans="1:1">
      <c r="A89" s="16"/>
    </row>
    <row r="90" spans="1:1">
      <c r="A90" s="17" t="s">
        <v>570</v>
      </c>
    </row>
    <row r="91" spans="1:1">
      <c r="A91" s="17" t="s">
        <v>571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7AFB-965E-4FB9-BEF9-238ED5E7E907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F807-E416-485D-9282-5FA79E718821}">
  <dimension ref="A1:B288"/>
  <sheetViews>
    <sheetView workbookViewId="0">
      <selection activeCell="B5" sqref="B5"/>
    </sheetView>
  </sheetViews>
  <sheetFormatPr defaultRowHeight="14.5"/>
  <cols>
    <col min="1" max="1" width="9" bestFit="1" customWidth="1"/>
    <col min="2" max="2" width="80.7265625" bestFit="1" customWidth="1"/>
  </cols>
  <sheetData>
    <row r="1" spans="1:2">
      <c r="A1" t="s">
        <v>709</v>
      </c>
      <c r="B1" t="s">
        <v>710</v>
      </c>
    </row>
    <row r="2" spans="1:2">
      <c r="A2">
        <v>1</v>
      </c>
      <c r="B2" s="49" t="s">
        <v>711</v>
      </c>
    </row>
    <row r="3" spans="1:2">
      <c r="A3">
        <v>2</v>
      </c>
      <c r="B3" s="49" t="s">
        <v>712</v>
      </c>
    </row>
    <row r="4" spans="1:2">
      <c r="A4">
        <v>3</v>
      </c>
      <c r="B4" s="49" t="s">
        <v>34</v>
      </c>
    </row>
    <row r="5" spans="1:2">
      <c r="A5">
        <v>4</v>
      </c>
      <c r="B5" s="49" t="s">
        <v>713</v>
      </c>
    </row>
    <row r="6" spans="1:2">
      <c r="A6">
        <v>5</v>
      </c>
      <c r="B6" s="49" t="s">
        <v>714</v>
      </c>
    </row>
    <row r="7" spans="1:2">
      <c r="A7">
        <v>6</v>
      </c>
      <c r="B7" s="49" t="s">
        <v>38</v>
      </c>
    </row>
    <row r="8" spans="1:2">
      <c r="A8">
        <v>7</v>
      </c>
      <c r="B8" s="49" t="s">
        <v>715</v>
      </c>
    </row>
    <row r="9" spans="1:2">
      <c r="A9">
        <v>8</v>
      </c>
      <c r="B9" s="49" t="s">
        <v>716</v>
      </c>
    </row>
    <row r="10" spans="1:2">
      <c r="A10">
        <v>9</v>
      </c>
      <c r="B10" s="49" t="s">
        <v>717</v>
      </c>
    </row>
    <row r="11" spans="1:2">
      <c r="A11">
        <v>10</v>
      </c>
      <c r="B11" s="49" t="s">
        <v>34</v>
      </c>
    </row>
    <row r="12" spans="1:2">
      <c r="A12">
        <v>11</v>
      </c>
      <c r="B12" s="49" t="s">
        <v>273</v>
      </c>
    </row>
    <row r="13" spans="1:2">
      <c r="A13">
        <v>12</v>
      </c>
      <c r="B13" s="49" t="s">
        <v>718</v>
      </c>
    </row>
    <row r="14" spans="1:2">
      <c r="A14">
        <v>13</v>
      </c>
      <c r="B14" s="49" t="s">
        <v>38</v>
      </c>
    </row>
    <row r="15" spans="1:2">
      <c r="A15">
        <v>14</v>
      </c>
      <c r="B15" s="49" t="s">
        <v>715</v>
      </c>
    </row>
    <row r="16" spans="1:2">
      <c r="A16">
        <v>15</v>
      </c>
      <c r="B16" s="49" t="s">
        <v>719</v>
      </c>
    </row>
    <row r="17" spans="1:2">
      <c r="A17">
        <v>16</v>
      </c>
      <c r="B17" s="49" t="s">
        <v>720</v>
      </c>
    </row>
    <row r="18" spans="1:2">
      <c r="A18">
        <v>17</v>
      </c>
      <c r="B18" s="49" t="s">
        <v>715</v>
      </c>
    </row>
    <row r="19" spans="1:2">
      <c r="A19">
        <v>18</v>
      </c>
      <c r="B19" s="49" t="s">
        <v>721</v>
      </c>
    </row>
    <row r="20" spans="1:2">
      <c r="A20">
        <v>19</v>
      </c>
      <c r="B20" s="49" t="s">
        <v>722</v>
      </c>
    </row>
    <row r="21" spans="1:2">
      <c r="A21">
        <v>20</v>
      </c>
      <c r="B21" s="49" t="s">
        <v>723</v>
      </c>
    </row>
    <row r="22" spans="1:2">
      <c r="A22">
        <v>21</v>
      </c>
      <c r="B22" s="49" t="s">
        <v>715</v>
      </c>
    </row>
    <row r="23" spans="1:2">
      <c r="A23">
        <v>22</v>
      </c>
      <c r="B23" s="49" t="s">
        <v>724</v>
      </c>
    </row>
    <row r="24" spans="1:2">
      <c r="A24">
        <v>23</v>
      </c>
      <c r="B24" s="49" t="s">
        <v>725</v>
      </c>
    </row>
    <row r="25" spans="1:2">
      <c r="A25">
        <v>24</v>
      </c>
      <c r="B25" s="49" t="s">
        <v>726</v>
      </c>
    </row>
    <row r="26" spans="1:2">
      <c r="A26">
        <v>25</v>
      </c>
      <c r="B26" s="49" t="s">
        <v>727</v>
      </c>
    </row>
    <row r="27" spans="1:2">
      <c r="A27">
        <v>26</v>
      </c>
      <c r="B27" s="49" t="s">
        <v>728</v>
      </c>
    </row>
    <row r="28" spans="1:2">
      <c r="A28">
        <v>27</v>
      </c>
      <c r="B28" s="49" t="s">
        <v>729</v>
      </c>
    </row>
    <row r="29" spans="1:2">
      <c r="A29">
        <v>28</v>
      </c>
      <c r="B29" s="49" t="s">
        <v>57</v>
      </c>
    </row>
    <row r="30" spans="1:2">
      <c r="A30">
        <v>29</v>
      </c>
      <c r="B30" s="49" t="s">
        <v>730</v>
      </c>
    </row>
    <row r="31" spans="1:2">
      <c r="A31">
        <v>30</v>
      </c>
      <c r="B31" s="49" t="s">
        <v>731</v>
      </c>
    </row>
    <row r="32" spans="1:2">
      <c r="A32">
        <v>31</v>
      </c>
      <c r="B32" s="49" t="s">
        <v>732</v>
      </c>
    </row>
    <row r="33" spans="1:2">
      <c r="A33">
        <v>32</v>
      </c>
      <c r="B33" s="49" t="s">
        <v>34</v>
      </c>
    </row>
    <row r="34" spans="1:2">
      <c r="A34">
        <v>33</v>
      </c>
      <c r="B34" s="49" t="s">
        <v>713</v>
      </c>
    </row>
    <row r="35" spans="1:2">
      <c r="A35">
        <v>34</v>
      </c>
      <c r="B35" s="49" t="s">
        <v>733</v>
      </c>
    </row>
    <row r="36" spans="1:2">
      <c r="A36">
        <v>35</v>
      </c>
      <c r="B36" s="49" t="s">
        <v>38</v>
      </c>
    </row>
    <row r="37" spans="1:2">
      <c r="A37">
        <v>36</v>
      </c>
      <c r="B37" s="49" t="s">
        <v>715</v>
      </c>
    </row>
    <row r="38" spans="1:2">
      <c r="A38">
        <v>37</v>
      </c>
      <c r="B38" s="49" t="s">
        <v>734</v>
      </c>
    </row>
    <row r="39" spans="1:2">
      <c r="A39">
        <v>38</v>
      </c>
      <c r="B39" s="49" t="s">
        <v>735</v>
      </c>
    </row>
    <row r="40" spans="1:2">
      <c r="A40">
        <v>39</v>
      </c>
      <c r="B40" s="49" t="s">
        <v>715</v>
      </c>
    </row>
    <row r="41" spans="1:2">
      <c r="A41">
        <v>40</v>
      </c>
      <c r="B41" s="49" t="s">
        <v>736</v>
      </c>
    </row>
    <row r="42" spans="1:2">
      <c r="A42">
        <v>41</v>
      </c>
      <c r="B42" s="49" t="s">
        <v>737</v>
      </c>
    </row>
    <row r="43" spans="1:2">
      <c r="A43">
        <v>42</v>
      </c>
      <c r="B43" s="49" t="s">
        <v>715</v>
      </c>
    </row>
    <row r="44" spans="1:2">
      <c r="A44">
        <v>43</v>
      </c>
      <c r="B44" s="49" t="s">
        <v>738</v>
      </c>
    </row>
    <row r="45" spans="1:2">
      <c r="A45">
        <v>44</v>
      </c>
      <c r="B45" s="49" t="s">
        <v>739</v>
      </c>
    </row>
    <row r="46" spans="1:2">
      <c r="A46">
        <v>45</v>
      </c>
      <c r="B46" s="49" t="s">
        <v>715</v>
      </c>
    </row>
    <row r="47" spans="1:2">
      <c r="A47">
        <v>46</v>
      </c>
      <c r="B47" s="49" t="s">
        <v>740</v>
      </c>
    </row>
    <row r="48" spans="1:2">
      <c r="A48">
        <v>47</v>
      </c>
      <c r="B48" s="49" t="s">
        <v>741</v>
      </c>
    </row>
    <row r="49" spans="1:2">
      <c r="A49">
        <v>48</v>
      </c>
      <c r="B49" s="49" t="s">
        <v>742</v>
      </c>
    </row>
    <row r="50" spans="1:2">
      <c r="A50">
        <v>49</v>
      </c>
      <c r="B50" s="49" t="s">
        <v>743</v>
      </c>
    </row>
    <row r="51" spans="1:2">
      <c r="A51">
        <v>50</v>
      </c>
      <c r="B51" s="49" t="s">
        <v>744</v>
      </c>
    </row>
    <row r="52" spans="1:2">
      <c r="A52">
        <v>51</v>
      </c>
      <c r="B52" s="49" t="s">
        <v>34</v>
      </c>
    </row>
    <row r="53" spans="1:2">
      <c r="A53">
        <v>52</v>
      </c>
      <c r="B53" s="49" t="s">
        <v>745</v>
      </c>
    </row>
    <row r="54" spans="1:2">
      <c r="A54">
        <v>53</v>
      </c>
      <c r="B54" s="49" t="s">
        <v>746</v>
      </c>
    </row>
    <row r="55" spans="1:2">
      <c r="A55">
        <v>54</v>
      </c>
      <c r="B55" s="49" t="s">
        <v>38</v>
      </c>
    </row>
    <row r="56" spans="1:2">
      <c r="A56">
        <v>55</v>
      </c>
      <c r="B56" s="49" t="s">
        <v>715</v>
      </c>
    </row>
    <row r="57" spans="1:2">
      <c r="A57">
        <v>56</v>
      </c>
      <c r="B57" s="49" t="s">
        <v>747</v>
      </c>
    </row>
    <row r="58" spans="1:2">
      <c r="A58">
        <v>57</v>
      </c>
      <c r="B58" s="49" t="s">
        <v>748</v>
      </c>
    </row>
    <row r="59" spans="1:2">
      <c r="A59">
        <v>58</v>
      </c>
      <c r="B59" s="49" t="s">
        <v>715</v>
      </c>
    </row>
    <row r="60" spans="1:2">
      <c r="A60">
        <v>59</v>
      </c>
      <c r="B60" s="49" t="s">
        <v>749</v>
      </c>
    </row>
    <row r="61" spans="1:2">
      <c r="A61">
        <v>60</v>
      </c>
      <c r="B61" s="49" t="s">
        <v>750</v>
      </c>
    </row>
    <row r="62" spans="1:2">
      <c r="A62">
        <v>61</v>
      </c>
      <c r="B62" s="49" t="s">
        <v>751</v>
      </c>
    </row>
    <row r="63" spans="1:2">
      <c r="A63">
        <v>62</v>
      </c>
      <c r="B63" s="49" t="s">
        <v>715</v>
      </c>
    </row>
    <row r="64" spans="1:2">
      <c r="A64">
        <v>63</v>
      </c>
      <c r="B64" s="49" t="s">
        <v>752</v>
      </c>
    </row>
    <row r="65" spans="1:2">
      <c r="A65">
        <v>64</v>
      </c>
      <c r="B65" s="49" t="s">
        <v>753</v>
      </c>
    </row>
    <row r="66" spans="1:2">
      <c r="A66">
        <v>65</v>
      </c>
      <c r="B66" s="49" t="s">
        <v>34</v>
      </c>
    </row>
    <row r="67" spans="1:2">
      <c r="A67">
        <v>66</v>
      </c>
      <c r="B67" s="49" t="s">
        <v>713</v>
      </c>
    </row>
    <row r="68" spans="1:2">
      <c r="A68">
        <v>67</v>
      </c>
      <c r="B68" s="49" t="s">
        <v>754</v>
      </c>
    </row>
    <row r="69" spans="1:2">
      <c r="A69">
        <v>68</v>
      </c>
      <c r="B69" s="49" t="s">
        <v>714</v>
      </c>
    </row>
    <row r="70" spans="1:2">
      <c r="A70">
        <v>69</v>
      </c>
      <c r="B70" s="49" t="s">
        <v>38</v>
      </c>
    </row>
    <row r="71" spans="1:2">
      <c r="A71">
        <v>70</v>
      </c>
      <c r="B71" s="49" t="s">
        <v>715</v>
      </c>
    </row>
    <row r="72" spans="1:2">
      <c r="A72">
        <v>71</v>
      </c>
      <c r="B72" s="49" t="s">
        <v>755</v>
      </c>
    </row>
    <row r="73" spans="1:2">
      <c r="A73">
        <v>72</v>
      </c>
      <c r="B73" s="49" t="s">
        <v>756</v>
      </c>
    </row>
    <row r="74" spans="1:2">
      <c r="A74">
        <v>73</v>
      </c>
      <c r="B74" s="49" t="s">
        <v>34</v>
      </c>
    </row>
    <row r="75" spans="1:2">
      <c r="A75">
        <v>74</v>
      </c>
      <c r="B75" s="49" t="s">
        <v>713</v>
      </c>
    </row>
    <row r="76" spans="1:2">
      <c r="A76">
        <v>75</v>
      </c>
      <c r="B76" s="49" t="s">
        <v>757</v>
      </c>
    </row>
    <row r="77" spans="1:2">
      <c r="A77">
        <v>76</v>
      </c>
      <c r="B77" s="49" t="s">
        <v>714</v>
      </c>
    </row>
    <row r="78" spans="1:2">
      <c r="A78">
        <v>77</v>
      </c>
      <c r="B78" s="49" t="s">
        <v>38</v>
      </c>
    </row>
    <row r="79" spans="1:2">
      <c r="A79">
        <v>78</v>
      </c>
      <c r="B79" s="49" t="s">
        <v>715</v>
      </c>
    </row>
    <row r="80" spans="1:2">
      <c r="A80">
        <v>79</v>
      </c>
      <c r="B80" s="49" t="s">
        <v>758</v>
      </c>
    </row>
    <row r="81" spans="1:2">
      <c r="A81">
        <v>80</v>
      </c>
      <c r="B81" s="49" t="s">
        <v>759</v>
      </c>
    </row>
    <row r="82" spans="1:2">
      <c r="A82">
        <v>81</v>
      </c>
      <c r="B82" s="49" t="s">
        <v>715</v>
      </c>
    </row>
    <row r="83" spans="1:2">
      <c r="A83">
        <v>82</v>
      </c>
      <c r="B83" s="49" t="s">
        <v>760</v>
      </c>
    </row>
    <row r="84" spans="1:2">
      <c r="A84">
        <v>83</v>
      </c>
      <c r="B84" s="49" t="s">
        <v>761</v>
      </c>
    </row>
    <row r="85" spans="1:2">
      <c r="A85">
        <v>84</v>
      </c>
      <c r="B85" s="49" t="s">
        <v>762</v>
      </c>
    </row>
    <row r="86" spans="1:2">
      <c r="A86">
        <v>85</v>
      </c>
      <c r="B86" s="49" t="s">
        <v>763</v>
      </c>
    </row>
    <row r="87" spans="1:2">
      <c r="A87">
        <v>86</v>
      </c>
      <c r="B87" s="49" t="s">
        <v>764</v>
      </c>
    </row>
    <row r="88" spans="1:2">
      <c r="A88">
        <v>87</v>
      </c>
      <c r="B88" s="49" t="s">
        <v>715</v>
      </c>
    </row>
    <row r="89" spans="1:2">
      <c r="A89">
        <v>88</v>
      </c>
      <c r="B89" s="49" t="s">
        <v>765</v>
      </c>
    </row>
    <row r="90" spans="1:2">
      <c r="A90">
        <v>89</v>
      </c>
      <c r="B90" s="49" t="s">
        <v>766</v>
      </c>
    </row>
    <row r="91" spans="1:2">
      <c r="A91">
        <v>90</v>
      </c>
      <c r="B91" s="49" t="s">
        <v>715</v>
      </c>
    </row>
    <row r="92" spans="1:2">
      <c r="A92">
        <v>91</v>
      </c>
      <c r="B92" s="49" t="s">
        <v>767</v>
      </c>
    </row>
    <row r="93" spans="1:2">
      <c r="A93">
        <v>92</v>
      </c>
      <c r="B93" s="49" t="s">
        <v>768</v>
      </c>
    </row>
    <row r="94" spans="1:2">
      <c r="A94">
        <v>93</v>
      </c>
      <c r="B94" s="49" t="s">
        <v>715</v>
      </c>
    </row>
    <row r="95" spans="1:2">
      <c r="A95">
        <v>94</v>
      </c>
      <c r="B95" s="49" t="s">
        <v>769</v>
      </c>
    </row>
    <row r="96" spans="1:2">
      <c r="A96">
        <v>95</v>
      </c>
      <c r="B96" s="49" t="s">
        <v>770</v>
      </c>
    </row>
    <row r="97" spans="1:2">
      <c r="A97">
        <v>96</v>
      </c>
      <c r="B97" s="49" t="s">
        <v>715</v>
      </c>
    </row>
    <row r="98" spans="1:2">
      <c r="A98">
        <v>97</v>
      </c>
      <c r="B98" s="49" t="s">
        <v>771</v>
      </c>
    </row>
    <row r="99" spans="1:2">
      <c r="A99">
        <v>98</v>
      </c>
      <c r="B99" s="49" t="s">
        <v>772</v>
      </c>
    </row>
    <row r="100" spans="1:2">
      <c r="A100">
        <v>99</v>
      </c>
      <c r="B100" s="49" t="s">
        <v>715</v>
      </c>
    </row>
    <row r="101" spans="1:2">
      <c r="A101">
        <v>100</v>
      </c>
      <c r="B101" s="49" t="s">
        <v>773</v>
      </c>
    </row>
    <row r="102" spans="1:2">
      <c r="A102">
        <v>101</v>
      </c>
      <c r="B102" s="49" t="s">
        <v>774</v>
      </c>
    </row>
    <row r="103" spans="1:2">
      <c r="A103">
        <v>102</v>
      </c>
      <c r="B103" s="49" t="s">
        <v>775</v>
      </c>
    </row>
    <row r="104" spans="1:2">
      <c r="A104">
        <v>103</v>
      </c>
      <c r="B104" s="49" t="s">
        <v>776</v>
      </c>
    </row>
    <row r="105" spans="1:2">
      <c r="A105">
        <v>104</v>
      </c>
      <c r="B105" s="49" t="s">
        <v>57</v>
      </c>
    </row>
    <row r="106" spans="1:2">
      <c r="A106">
        <v>105</v>
      </c>
      <c r="B106" s="49" t="s">
        <v>777</v>
      </c>
    </row>
    <row r="107" spans="1:2">
      <c r="A107">
        <v>106</v>
      </c>
      <c r="B107" s="49" t="s">
        <v>778</v>
      </c>
    </row>
    <row r="108" spans="1:2">
      <c r="A108">
        <v>107</v>
      </c>
      <c r="B108" s="49" t="s">
        <v>779</v>
      </c>
    </row>
    <row r="109" spans="1:2">
      <c r="A109">
        <v>108</v>
      </c>
      <c r="B109" s="49" t="s">
        <v>34</v>
      </c>
    </row>
    <row r="110" spans="1:2">
      <c r="A110">
        <v>109</v>
      </c>
      <c r="B110" s="49" t="s">
        <v>780</v>
      </c>
    </row>
    <row r="111" spans="1:2">
      <c r="A111">
        <v>110</v>
      </c>
      <c r="B111" s="49" t="s">
        <v>781</v>
      </c>
    </row>
    <row r="112" spans="1:2">
      <c r="A112">
        <v>111</v>
      </c>
      <c r="B112" s="49" t="s">
        <v>38</v>
      </c>
    </row>
    <row r="113" spans="1:2">
      <c r="A113">
        <v>112</v>
      </c>
      <c r="B113" s="49" t="s">
        <v>715</v>
      </c>
    </row>
    <row r="114" spans="1:2">
      <c r="A114">
        <v>113</v>
      </c>
      <c r="B114" s="49" t="s">
        <v>782</v>
      </c>
    </row>
    <row r="115" spans="1:2">
      <c r="A115">
        <v>114</v>
      </c>
      <c r="B115" s="49" t="s">
        <v>783</v>
      </c>
    </row>
    <row r="116" spans="1:2">
      <c r="A116">
        <v>115</v>
      </c>
      <c r="B116" s="49" t="s">
        <v>34</v>
      </c>
    </row>
    <row r="117" spans="1:2">
      <c r="A117">
        <v>116</v>
      </c>
      <c r="B117" s="49" t="s">
        <v>784</v>
      </c>
    </row>
    <row r="118" spans="1:2">
      <c r="A118">
        <v>117</v>
      </c>
      <c r="B118" s="49" t="s">
        <v>785</v>
      </c>
    </row>
    <row r="119" spans="1:2">
      <c r="A119">
        <v>118</v>
      </c>
      <c r="B119" s="49" t="s">
        <v>38</v>
      </c>
    </row>
    <row r="120" spans="1:2">
      <c r="A120">
        <v>119</v>
      </c>
      <c r="B120" s="49" t="s">
        <v>715</v>
      </c>
    </row>
    <row r="121" spans="1:2">
      <c r="A121">
        <v>120</v>
      </c>
      <c r="B121" s="49" t="s">
        <v>786</v>
      </c>
    </row>
    <row r="122" spans="1:2">
      <c r="A122">
        <v>121</v>
      </c>
      <c r="B122" s="49" t="s">
        <v>787</v>
      </c>
    </row>
    <row r="123" spans="1:2">
      <c r="A123">
        <v>122</v>
      </c>
      <c r="B123" s="49" t="s">
        <v>34</v>
      </c>
    </row>
    <row r="124" spans="1:2">
      <c r="A124">
        <v>123</v>
      </c>
      <c r="B124" s="49" t="s">
        <v>784</v>
      </c>
    </row>
    <row r="125" spans="1:2">
      <c r="A125">
        <v>124</v>
      </c>
      <c r="B125" s="49" t="s">
        <v>788</v>
      </c>
    </row>
    <row r="126" spans="1:2">
      <c r="A126">
        <v>125</v>
      </c>
      <c r="B126" s="49" t="s">
        <v>38</v>
      </c>
    </row>
    <row r="127" spans="1:2">
      <c r="A127">
        <v>126</v>
      </c>
      <c r="B127" s="49" t="s">
        <v>715</v>
      </c>
    </row>
    <row r="128" spans="1:2">
      <c r="A128">
        <v>127</v>
      </c>
      <c r="B128" s="49" t="s">
        <v>789</v>
      </c>
    </row>
    <row r="129" spans="1:2">
      <c r="A129">
        <v>128</v>
      </c>
      <c r="B129" s="49" t="s">
        <v>790</v>
      </c>
    </row>
    <row r="130" spans="1:2">
      <c r="A130">
        <v>129</v>
      </c>
      <c r="B130" s="49" t="s">
        <v>715</v>
      </c>
    </row>
    <row r="131" spans="1:2">
      <c r="A131">
        <v>130</v>
      </c>
      <c r="B131" s="49" t="s">
        <v>791</v>
      </c>
    </row>
    <row r="132" spans="1:2">
      <c r="A132">
        <v>131</v>
      </c>
      <c r="B132" s="49" t="s">
        <v>792</v>
      </c>
    </row>
    <row r="133" spans="1:2">
      <c r="A133">
        <v>132</v>
      </c>
      <c r="B133" s="49" t="s">
        <v>793</v>
      </c>
    </row>
    <row r="134" spans="1:2">
      <c r="A134">
        <v>133</v>
      </c>
      <c r="B134" s="49" t="s">
        <v>794</v>
      </c>
    </row>
    <row r="135" spans="1:2">
      <c r="A135">
        <v>134</v>
      </c>
      <c r="B135" s="49" t="s">
        <v>43</v>
      </c>
    </row>
    <row r="136" spans="1:2">
      <c r="A136">
        <v>135</v>
      </c>
      <c r="B136" s="49" t="s">
        <v>715</v>
      </c>
    </row>
    <row r="137" spans="1:2">
      <c r="A137">
        <v>136</v>
      </c>
      <c r="B137" s="49" t="s">
        <v>795</v>
      </c>
    </row>
    <row r="138" spans="1:2">
      <c r="A138">
        <v>137</v>
      </c>
      <c r="B138" s="49" t="s">
        <v>796</v>
      </c>
    </row>
    <row r="139" spans="1:2">
      <c r="A139">
        <v>138</v>
      </c>
      <c r="B139" s="49" t="s">
        <v>797</v>
      </c>
    </row>
    <row r="140" spans="1:2">
      <c r="A140">
        <v>139</v>
      </c>
      <c r="B140" s="49" t="s">
        <v>798</v>
      </c>
    </row>
    <row r="141" spans="1:2">
      <c r="A141">
        <v>140</v>
      </c>
      <c r="B141" s="49" t="s">
        <v>799</v>
      </c>
    </row>
    <row r="142" spans="1:2">
      <c r="A142">
        <v>141</v>
      </c>
      <c r="B142" s="49" t="s">
        <v>57</v>
      </c>
    </row>
    <row r="143" spans="1:2">
      <c r="A143">
        <v>142</v>
      </c>
      <c r="B143" s="49" t="s">
        <v>800</v>
      </c>
    </row>
    <row r="144" spans="1:2">
      <c r="A144">
        <v>143</v>
      </c>
      <c r="B144" s="49" t="s">
        <v>801</v>
      </c>
    </row>
    <row r="145" spans="1:2">
      <c r="A145">
        <v>144</v>
      </c>
      <c r="B145" s="49" t="s">
        <v>802</v>
      </c>
    </row>
    <row r="146" spans="1:2">
      <c r="A146">
        <v>145</v>
      </c>
      <c r="B146" s="49" t="s">
        <v>715</v>
      </c>
    </row>
    <row r="147" spans="1:2">
      <c r="A147">
        <v>146</v>
      </c>
      <c r="B147" s="49" t="s">
        <v>803</v>
      </c>
    </row>
    <row r="148" spans="1:2">
      <c r="A148">
        <v>147</v>
      </c>
      <c r="B148" s="49" t="s">
        <v>804</v>
      </c>
    </row>
    <row r="149" spans="1:2">
      <c r="A149">
        <v>148</v>
      </c>
      <c r="B149" s="49" t="s">
        <v>715</v>
      </c>
    </row>
    <row r="150" spans="1:2">
      <c r="A150">
        <v>149</v>
      </c>
      <c r="B150" s="49" t="s">
        <v>805</v>
      </c>
    </row>
    <row r="151" spans="1:2">
      <c r="A151">
        <v>150</v>
      </c>
      <c r="B151" s="49" t="s">
        <v>806</v>
      </c>
    </row>
    <row r="152" spans="1:2">
      <c r="A152">
        <v>151</v>
      </c>
      <c r="B152" s="49" t="s">
        <v>807</v>
      </c>
    </row>
    <row r="153" spans="1:2">
      <c r="A153">
        <v>152</v>
      </c>
      <c r="B153" s="49" t="s">
        <v>715</v>
      </c>
    </row>
    <row r="154" spans="1:2">
      <c r="A154">
        <v>153</v>
      </c>
      <c r="B154" s="49" t="s">
        <v>808</v>
      </c>
    </row>
    <row r="155" spans="1:2">
      <c r="A155">
        <v>154</v>
      </c>
      <c r="B155" s="49" t="s">
        <v>809</v>
      </c>
    </row>
    <row r="156" spans="1:2">
      <c r="A156">
        <v>155</v>
      </c>
      <c r="B156" s="49" t="s">
        <v>810</v>
      </c>
    </row>
    <row r="157" spans="1:2">
      <c r="A157">
        <v>156</v>
      </c>
      <c r="B157" s="49" t="s">
        <v>715</v>
      </c>
    </row>
    <row r="158" spans="1:2">
      <c r="A158">
        <v>157</v>
      </c>
      <c r="B158" s="49" t="s">
        <v>811</v>
      </c>
    </row>
    <row r="159" spans="1:2">
      <c r="A159">
        <v>158</v>
      </c>
      <c r="B159" s="49" t="s">
        <v>812</v>
      </c>
    </row>
    <row r="160" spans="1:2">
      <c r="A160">
        <v>159</v>
      </c>
      <c r="B160" s="49" t="s">
        <v>34</v>
      </c>
    </row>
    <row r="161" spans="1:2">
      <c r="A161">
        <v>160</v>
      </c>
      <c r="B161" s="49" t="s">
        <v>813</v>
      </c>
    </row>
    <row r="162" spans="1:2">
      <c r="A162">
        <v>161</v>
      </c>
      <c r="B162" s="49" t="s">
        <v>814</v>
      </c>
    </row>
    <row r="163" spans="1:2">
      <c r="A163">
        <v>162</v>
      </c>
      <c r="B163" s="49" t="s">
        <v>38</v>
      </c>
    </row>
    <row r="164" spans="1:2">
      <c r="A164">
        <v>163</v>
      </c>
      <c r="B164" s="49" t="s">
        <v>715</v>
      </c>
    </row>
    <row r="165" spans="1:2">
      <c r="A165">
        <v>164</v>
      </c>
      <c r="B165" s="49" t="s">
        <v>815</v>
      </c>
    </row>
    <row r="166" spans="1:2">
      <c r="A166">
        <v>165</v>
      </c>
      <c r="B166" s="49" t="s">
        <v>816</v>
      </c>
    </row>
    <row r="167" spans="1:2">
      <c r="A167">
        <v>166</v>
      </c>
      <c r="B167" s="49" t="s">
        <v>817</v>
      </c>
    </row>
    <row r="168" spans="1:2">
      <c r="A168">
        <v>167</v>
      </c>
      <c r="B168" s="49" t="s">
        <v>818</v>
      </c>
    </row>
    <row r="169" spans="1:2">
      <c r="A169">
        <v>168</v>
      </c>
      <c r="B169" s="49" t="s">
        <v>57</v>
      </c>
    </row>
    <row r="170" spans="1:2">
      <c r="A170">
        <v>169</v>
      </c>
      <c r="B170" s="49" t="s">
        <v>819</v>
      </c>
    </row>
    <row r="171" spans="1:2">
      <c r="A171">
        <v>170</v>
      </c>
      <c r="B171" s="49" t="s">
        <v>820</v>
      </c>
    </row>
    <row r="172" spans="1:2">
      <c r="A172">
        <v>171</v>
      </c>
      <c r="B172" s="49" t="s">
        <v>821</v>
      </c>
    </row>
    <row r="173" spans="1:2">
      <c r="A173">
        <v>172</v>
      </c>
      <c r="B173" s="49" t="s">
        <v>715</v>
      </c>
    </row>
    <row r="174" spans="1:2">
      <c r="A174">
        <v>173</v>
      </c>
      <c r="B174" s="49" t="s">
        <v>822</v>
      </c>
    </row>
    <row r="175" spans="1:2">
      <c r="A175">
        <v>174</v>
      </c>
      <c r="B175" s="49" t="s">
        <v>823</v>
      </c>
    </row>
    <row r="176" spans="1:2">
      <c r="A176">
        <v>175</v>
      </c>
      <c r="B176" s="49" t="s">
        <v>715</v>
      </c>
    </row>
    <row r="177" spans="1:2">
      <c r="A177">
        <v>176</v>
      </c>
      <c r="B177" s="49" t="s">
        <v>824</v>
      </c>
    </row>
    <row r="178" spans="1:2">
      <c r="A178">
        <v>177</v>
      </c>
      <c r="B178" s="49" t="s">
        <v>825</v>
      </c>
    </row>
    <row r="179" spans="1:2">
      <c r="A179">
        <v>178</v>
      </c>
      <c r="B179" s="49" t="s">
        <v>826</v>
      </c>
    </row>
    <row r="180" spans="1:2">
      <c r="A180">
        <v>179</v>
      </c>
      <c r="B180" s="49" t="s">
        <v>715</v>
      </c>
    </row>
    <row r="181" spans="1:2">
      <c r="A181">
        <v>180</v>
      </c>
      <c r="B181" s="49" t="s">
        <v>827</v>
      </c>
    </row>
    <row r="182" spans="1:2">
      <c r="A182">
        <v>181</v>
      </c>
      <c r="B182" s="49" t="s">
        <v>828</v>
      </c>
    </row>
    <row r="183" spans="1:2">
      <c r="A183">
        <v>182</v>
      </c>
      <c r="B183" s="49" t="s">
        <v>715</v>
      </c>
    </row>
    <row r="184" spans="1:2">
      <c r="A184">
        <v>183</v>
      </c>
      <c r="B184" s="49" t="s">
        <v>829</v>
      </c>
    </row>
    <row r="185" spans="1:2">
      <c r="A185">
        <v>184</v>
      </c>
      <c r="B185" s="49" t="s">
        <v>830</v>
      </c>
    </row>
    <row r="186" spans="1:2">
      <c r="A186">
        <v>185</v>
      </c>
      <c r="B186" s="49" t="s">
        <v>831</v>
      </c>
    </row>
    <row r="187" spans="1:2">
      <c r="A187">
        <v>186</v>
      </c>
      <c r="B187" s="49" t="s">
        <v>832</v>
      </c>
    </row>
    <row r="188" spans="1:2">
      <c r="A188">
        <v>187</v>
      </c>
      <c r="B188" s="49" t="s">
        <v>833</v>
      </c>
    </row>
    <row r="189" spans="1:2">
      <c r="A189">
        <v>188</v>
      </c>
      <c r="B189" s="49" t="s">
        <v>834</v>
      </c>
    </row>
    <row r="190" spans="1:2">
      <c r="A190">
        <v>189</v>
      </c>
      <c r="B190" s="49" t="s">
        <v>835</v>
      </c>
    </row>
    <row r="191" spans="1:2">
      <c r="A191">
        <v>190</v>
      </c>
      <c r="B191" s="49" t="s">
        <v>836</v>
      </c>
    </row>
    <row r="192" spans="1:2">
      <c r="A192">
        <v>191</v>
      </c>
      <c r="B192" s="49" t="s">
        <v>57</v>
      </c>
    </row>
    <row r="193" spans="1:2">
      <c r="A193">
        <v>192</v>
      </c>
      <c r="B193" s="49" t="s">
        <v>289</v>
      </c>
    </row>
    <row r="194" spans="1:2">
      <c r="A194">
        <v>193</v>
      </c>
      <c r="B194" s="49" t="s">
        <v>290</v>
      </c>
    </row>
    <row r="195" spans="1:2">
      <c r="A195">
        <v>194</v>
      </c>
      <c r="B195" s="49" t="s">
        <v>837</v>
      </c>
    </row>
    <row r="196" spans="1:2">
      <c r="A196">
        <v>195</v>
      </c>
      <c r="B196" s="49" t="s">
        <v>838</v>
      </c>
    </row>
    <row r="197" spans="1:2">
      <c r="A197">
        <v>196</v>
      </c>
      <c r="B197" s="49" t="s">
        <v>839</v>
      </c>
    </row>
    <row r="198" spans="1:2">
      <c r="A198">
        <v>197</v>
      </c>
      <c r="B198" s="49" t="s">
        <v>38</v>
      </c>
    </row>
    <row r="199" spans="1:2">
      <c r="A199">
        <v>198</v>
      </c>
      <c r="B199" s="49" t="s">
        <v>715</v>
      </c>
    </row>
    <row r="200" spans="1:2">
      <c r="A200">
        <v>199</v>
      </c>
      <c r="B200" s="49" t="s">
        <v>840</v>
      </c>
    </row>
    <row r="201" spans="1:2">
      <c r="A201">
        <v>200</v>
      </c>
      <c r="B201" s="49" t="s">
        <v>841</v>
      </c>
    </row>
    <row r="202" spans="1:2">
      <c r="A202">
        <v>201</v>
      </c>
      <c r="B202" s="49" t="s">
        <v>842</v>
      </c>
    </row>
    <row r="203" spans="1:2">
      <c r="A203">
        <v>202</v>
      </c>
      <c r="B203" s="49" t="s">
        <v>843</v>
      </c>
    </row>
    <row r="204" spans="1:2">
      <c r="A204">
        <v>203</v>
      </c>
      <c r="B204" s="49" t="s">
        <v>57</v>
      </c>
    </row>
    <row r="205" spans="1:2">
      <c r="A205">
        <v>204</v>
      </c>
      <c r="B205" s="49" t="s">
        <v>844</v>
      </c>
    </row>
    <row r="206" spans="1:2">
      <c r="A206">
        <v>205</v>
      </c>
      <c r="B206" s="49" t="s">
        <v>845</v>
      </c>
    </row>
    <row r="207" spans="1:2">
      <c r="A207">
        <v>206</v>
      </c>
      <c r="B207" s="49" t="s">
        <v>846</v>
      </c>
    </row>
    <row r="208" spans="1:2">
      <c r="A208">
        <v>207</v>
      </c>
      <c r="B208" s="49" t="s">
        <v>847</v>
      </c>
    </row>
    <row r="209" spans="1:2">
      <c r="A209">
        <v>208</v>
      </c>
      <c r="B209" s="49" t="s">
        <v>848</v>
      </c>
    </row>
    <row r="210" spans="1:2">
      <c r="A210">
        <v>209</v>
      </c>
      <c r="B210" s="49" t="s">
        <v>849</v>
      </c>
    </row>
    <row r="211" spans="1:2">
      <c r="A211">
        <v>210</v>
      </c>
      <c r="B211" s="49" t="s">
        <v>850</v>
      </c>
    </row>
    <row r="212" spans="1:2">
      <c r="A212">
        <v>211</v>
      </c>
      <c r="B212" s="49" t="s">
        <v>851</v>
      </c>
    </row>
    <row r="213" spans="1:2">
      <c r="A213">
        <v>212</v>
      </c>
      <c r="B213" s="49" t="s">
        <v>38</v>
      </c>
    </row>
    <row r="214" spans="1:2">
      <c r="A214">
        <v>213</v>
      </c>
      <c r="B214" s="49" t="s">
        <v>715</v>
      </c>
    </row>
    <row r="215" spans="1:2">
      <c r="A215">
        <v>214</v>
      </c>
      <c r="B215" s="49" t="s">
        <v>852</v>
      </c>
    </row>
    <row r="216" spans="1:2">
      <c r="A216">
        <v>215</v>
      </c>
      <c r="B216" s="49" t="s">
        <v>853</v>
      </c>
    </row>
    <row r="217" spans="1:2">
      <c r="A217">
        <v>216</v>
      </c>
      <c r="B217" s="49" t="s">
        <v>842</v>
      </c>
    </row>
    <row r="218" spans="1:2">
      <c r="A218">
        <v>217</v>
      </c>
      <c r="B218" s="49" t="s">
        <v>843</v>
      </c>
    </row>
    <row r="219" spans="1:2">
      <c r="A219">
        <v>218</v>
      </c>
      <c r="B219" s="49" t="s">
        <v>57</v>
      </c>
    </row>
    <row r="220" spans="1:2">
      <c r="A220">
        <v>219</v>
      </c>
      <c r="B220" s="49" t="s">
        <v>844</v>
      </c>
    </row>
    <row r="221" spans="1:2">
      <c r="A221">
        <v>220</v>
      </c>
      <c r="B221" s="49" t="s">
        <v>845</v>
      </c>
    </row>
    <row r="222" spans="1:2">
      <c r="A222">
        <v>221</v>
      </c>
      <c r="B222" s="49" t="s">
        <v>854</v>
      </c>
    </row>
    <row r="223" spans="1:2">
      <c r="A223">
        <v>222</v>
      </c>
      <c r="B223" s="49" t="s">
        <v>847</v>
      </c>
    </row>
    <row r="224" spans="1:2">
      <c r="A224">
        <v>223</v>
      </c>
      <c r="B224" s="49" t="s">
        <v>848</v>
      </c>
    </row>
    <row r="225" spans="1:2">
      <c r="A225">
        <v>224</v>
      </c>
      <c r="B225" s="49" t="s">
        <v>855</v>
      </c>
    </row>
    <row r="226" spans="1:2">
      <c r="A226">
        <v>225</v>
      </c>
      <c r="B226" s="49" t="s">
        <v>856</v>
      </c>
    </row>
    <row r="227" spans="1:2">
      <c r="A227">
        <v>226</v>
      </c>
      <c r="B227" s="49" t="s">
        <v>851</v>
      </c>
    </row>
    <row r="228" spans="1:2">
      <c r="A228">
        <v>227</v>
      </c>
      <c r="B228" s="49" t="s">
        <v>38</v>
      </c>
    </row>
    <row r="229" spans="1:2">
      <c r="A229">
        <v>228</v>
      </c>
      <c r="B229" s="49" t="s">
        <v>715</v>
      </c>
    </row>
    <row r="230" spans="1:2">
      <c r="A230">
        <v>229</v>
      </c>
      <c r="B230" s="49" t="s">
        <v>857</v>
      </c>
    </row>
    <row r="231" spans="1:2">
      <c r="A231">
        <v>230</v>
      </c>
      <c r="B231" s="49" t="s">
        <v>858</v>
      </c>
    </row>
    <row r="232" spans="1:2">
      <c r="A232">
        <v>231</v>
      </c>
      <c r="B232" s="49" t="s">
        <v>833</v>
      </c>
    </row>
    <row r="233" spans="1:2">
      <c r="A233">
        <v>232</v>
      </c>
      <c r="B233" s="49" t="s">
        <v>834</v>
      </c>
    </row>
    <row r="234" spans="1:2">
      <c r="A234">
        <v>233</v>
      </c>
      <c r="B234" s="49" t="s">
        <v>859</v>
      </c>
    </row>
    <row r="235" spans="1:2">
      <c r="A235">
        <v>234</v>
      </c>
      <c r="B235" s="49" t="s">
        <v>860</v>
      </c>
    </row>
    <row r="236" spans="1:2">
      <c r="A236">
        <v>235</v>
      </c>
      <c r="B236" s="49" t="s">
        <v>861</v>
      </c>
    </row>
    <row r="237" spans="1:2">
      <c r="A237">
        <v>236</v>
      </c>
      <c r="B237" s="49" t="s">
        <v>715</v>
      </c>
    </row>
    <row r="238" spans="1:2">
      <c r="A238">
        <v>237</v>
      </c>
      <c r="B238" s="49" t="s">
        <v>862</v>
      </c>
    </row>
    <row r="239" spans="1:2">
      <c r="A239">
        <v>238</v>
      </c>
      <c r="B239" s="49" t="s">
        <v>863</v>
      </c>
    </row>
    <row r="240" spans="1:2">
      <c r="A240">
        <v>239</v>
      </c>
      <c r="B240" s="49" t="s">
        <v>715</v>
      </c>
    </row>
    <row r="241" spans="1:2">
      <c r="A241">
        <v>240</v>
      </c>
      <c r="B241" s="49" t="s">
        <v>864</v>
      </c>
    </row>
    <row r="242" spans="1:2">
      <c r="A242">
        <v>241</v>
      </c>
      <c r="B242" s="49" t="s">
        <v>865</v>
      </c>
    </row>
    <row r="243" spans="1:2">
      <c r="A243">
        <v>242</v>
      </c>
      <c r="B243" s="49" t="s">
        <v>866</v>
      </c>
    </row>
    <row r="244" spans="1:2">
      <c r="A244">
        <v>243</v>
      </c>
      <c r="B244" s="49" t="s">
        <v>715</v>
      </c>
    </row>
    <row r="245" spans="1:2">
      <c r="A245">
        <v>244</v>
      </c>
      <c r="B245" s="49" t="s">
        <v>57</v>
      </c>
    </row>
    <row r="246" spans="1:2">
      <c r="A246">
        <v>245</v>
      </c>
      <c r="B246" s="49" t="s">
        <v>867</v>
      </c>
    </row>
    <row r="247" spans="1:2">
      <c r="A247">
        <v>246</v>
      </c>
      <c r="B247" s="49" t="s">
        <v>868</v>
      </c>
    </row>
    <row r="248" spans="1:2">
      <c r="A248">
        <v>247</v>
      </c>
      <c r="B248" s="49" t="s">
        <v>33</v>
      </c>
    </row>
    <row r="249" spans="1:2">
      <c r="A249">
        <v>248</v>
      </c>
      <c r="B249" s="49" t="s">
        <v>34</v>
      </c>
    </row>
    <row r="250" spans="1:2">
      <c r="A250">
        <v>249</v>
      </c>
      <c r="B250" s="49" t="s">
        <v>35</v>
      </c>
    </row>
    <row r="251" spans="1:2">
      <c r="A251">
        <v>250</v>
      </c>
      <c r="B251" s="49" t="s">
        <v>36</v>
      </c>
    </row>
    <row r="252" spans="1:2">
      <c r="A252">
        <v>251</v>
      </c>
      <c r="B252" s="49" t="s">
        <v>37</v>
      </c>
    </row>
    <row r="253" spans="1:2">
      <c r="A253">
        <v>252</v>
      </c>
      <c r="B253" s="49" t="s">
        <v>38</v>
      </c>
    </row>
    <row r="254" spans="1:2">
      <c r="A254">
        <v>253</v>
      </c>
      <c r="B254" s="49" t="s">
        <v>715</v>
      </c>
    </row>
    <row r="255" spans="1:2">
      <c r="A255">
        <v>254</v>
      </c>
      <c r="B255" s="49" t="s">
        <v>869</v>
      </c>
    </row>
    <row r="256" spans="1:2">
      <c r="A256">
        <v>255</v>
      </c>
      <c r="B256" s="49" t="s">
        <v>870</v>
      </c>
    </row>
    <row r="257" spans="1:2">
      <c r="A257">
        <v>256</v>
      </c>
      <c r="B257" s="49" t="s">
        <v>34</v>
      </c>
    </row>
    <row r="258" spans="1:2">
      <c r="A258">
        <v>257</v>
      </c>
      <c r="B258" s="49" t="s">
        <v>871</v>
      </c>
    </row>
    <row r="259" spans="1:2">
      <c r="A259">
        <v>258</v>
      </c>
      <c r="B259" s="49" t="s">
        <v>872</v>
      </c>
    </row>
    <row r="260" spans="1:2">
      <c r="A260">
        <v>259</v>
      </c>
      <c r="B260" s="49" t="s">
        <v>38</v>
      </c>
    </row>
    <row r="261" spans="1:2">
      <c r="A261">
        <v>260</v>
      </c>
      <c r="B261" s="49" t="s">
        <v>715</v>
      </c>
    </row>
    <row r="262" spans="1:2">
      <c r="A262">
        <v>261</v>
      </c>
      <c r="B262" s="49" t="s">
        <v>873</v>
      </c>
    </row>
    <row r="263" spans="1:2">
      <c r="A263">
        <v>262</v>
      </c>
      <c r="B263" s="49" t="s">
        <v>40</v>
      </c>
    </row>
    <row r="264" spans="1:2">
      <c r="A264">
        <v>263</v>
      </c>
      <c r="B264" s="49" t="s">
        <v>34</v>
      </c>
    </row>
    <row r="265" spans="1:2">
      <c r="A265">
        <v>264</v>
      </c>
      <c r="B265" s="49" t="s">
        <v>874</v>
      </c>
    </row>
    <row r="266" spans="1:2">
      <c r="A266">
        <v>265</v>
      </c>
      <c r="B266" s="49" t="s">
        <v>872</v>
      </c>
    </row>
    <row r="267" spans="1:2">
      <c r="A267">
        <v>266</v>
      </c>
      <c r="B267" s="49" t="s">
        <v>38</v>
      </c>
    </row>
    <row r="268" spans="1:2">
      <c r="A268">
        <v>267</v>
      </c>
      <c r="B268" s="49" t="s">
        <v>715</v>
      </c>
    </row>
    <row r="269" spans="1:2">
      <c r="A269">
        <v>268</v>
      </c>
      <c r="B269" s="49" t="s">
        <v>875</v>
      </c>
    </row>
    <row r="270" spans="1:2">
      <c r="A270">
        <v>269</v>
      </c>
      <c r="B270" s="49" t="s">
        <v>45</v>
      </c>
    </row>
    <row r="271" spans="1:2">
      <c r="A271">
        <v>270</v>
      </c>
      <c r="B271" s="49" t="s">
        <v>46</v>
      </c>
    </row>
    <row r="272" spans="1:2">
      <c r="A272">
        <v>271</v>
      </c>
      <c r="B272" s="49" t="s">
        <v>47</v>
      </c>
    </row>
    <row r="273" spans="1:2">
      <c r="A273">
        <v>272</v>
      </c>
      <c r="B273" s="49" t="s">
        <v>48</v>
      </c>
    </row>
    <row r="274" spans="1:2">
      <c r="A274">
        <v>273</v>
      </c>
      <c r="B274" s="49" t="s">
        <v>715</v>
      </c>
    </row>
    <row r="275" spans="1:2">
      <c r="A275">
        <v>274</v>
      </c>
      <c r="B275" s="49" t="s">
        <v>876</v>
      </c>
    </row>
    <row r="276" spans="1:2">
      <c r="A276">
        <v>275</v>
      </c>
      <c r="B276" s="49" t="s">
        <v>50</v>
      </c>
    </row>
    <row r="277" spans="1:2">
      <c r="A277">
        <v>276</v>
      </c>
      <c r="B277" s="49" t="s">
        <v>51</v>
      </c>
    </row>
    <row r="278" spans="1:2">
      <c r="A278">
        <v>277</v>
      </c>
      <c r="B278" s="49" t="s">
        <v>52</v>
      </c>
    </row>
    <row r="279" spans="1:2">
      <c r="A279">
        <v>278</v>
      </c>
      <c r="B279" s="49" t="s">
        <v>53</v>
      </c>
    </row>
    <row r="280" spans="1:2">
      <c r="A280">
        <v>279</v>
      </c>
      <c r="B280" s="49" t="s">
        <v>715</v>
      </c>
    </row>
    <row r="281" spans="1:2">
      <c r="A281">
        <v>280</v>
      </c>
      <c r="B281" s="49" t="s">
        <v>877</v>
      </c>
    </row>
    <row r="282" spans="1:2">
      <c r="A282">
        <v>281</v>
      </c>
      <c r="B282" s="49" t="s">
        <v>55</v>
      </c>
    </row>
    <row r="283" spans="1:2">
      <c r="A283">
        <v>282</v>
      </c>
      <c r="B283" s="49" t="s">
        <v>878</v>
      </c>
    </row>
    <row r="284" spans="1:2">
      <c r="A284">
        <v>283</v>
      </c>
      <c r="B284" s="49" t="s">
        <v>57</v>
      </c>
    </row>
    <row r="285" spans="1:2">
      <c r="A285">
        <v>284</v>
      </c>
      <c r="B285" s="49" t="s">
        <v>879</v>
      </c>
    </row>
    <row r="286" spans="1:2">
      <c r="A286">
        <v>285</v>
      </c>
      <c r="B286" s="49" t="s">
        <v>59</v>
      </c>
    </row>
    <row r="287" spans="1:2">
      <c r="A287">
        <v>286</v>
      </c>
      <c r="B287" s="49" t="s">
        <v>38</v>
      </c>
    </row>
    <row r="288" spans="1:2">
      <c r="A288">
        <v>287</v>
      </c>
      <c r="B288" s="49" t="s">
        <v>880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35D42-8014-46F8-B1BA-EF8D1E3ACF6B}">
  <dimension ref="A1:F10"/>
  <sheetViews>
    <sheetView workbookViewId="0">
      <selection sqref="A1:F10"/>
    </sheetView>
  </sheetViews>
  <sheetFormatPr defaultRowHeight="14.5"/>
  <cols>
    <col min="1" max="1" width="12.1796875" bestFit="1" customWidth="1"/>
    <col min="2" max="2" width="10.453125" bestFit="1" customWidth="1"/>
    <col min="3" max="3" width="39.36328125" bestFit="1" customWidth="1"/>
    <col min="4" max="4" width="29.453125" bestFit="1" customWidth="1"/>
    <col min="5" max="5" width="20.453125" bestFit="1" customWidth="1"/>
    <col min="6" max="6" width="19.453125" bestFit="1" customWidth="1"/>
  </cols>
  <sheetData>
    <row r="1" spans="1:6">
      <c r="A1" t="s">
        <v>881</v>
      </c>
      <c r="B1" t="s">
        <v>578</v>
      </c>
      <c r="C1" t="s">
        <v>882</v>
      </c>
      <c r="D1" t="s">
        <v>883</v>
      </c>
      <c r="E1" t="s">
        <v>884</v>
      </c>
      <c r="F1" t="s">
        <v>885</v>
      </c>
    </row>
    <row r="2" spans="1:6">
      <c r="A2" s="49" t="s">
        <v>886</v>
      </c>
      <c r="B2" s="49" t="s">
        <v>584</v>
      </c>
      <c r="C2" s="49" t="s">
        <v>887</v>
      </c>
      <c r="D2" s="49" t="s">
        <v>888</v>
      </c>
      <c r="E2" s="49" t="s">
        <v>889</v>
      </c>
      <c r="F2" s="49" t="s">
        <v>890</v>
      </c>
    </row>
    <row r="3" spans="1:6">
      <c r="A3" s="49" t="s">
        <v>891</v>
      </c>
      <c r="B3" s="49" t="s">
        <v>588</v>
      </c>
      <c r="C3" s="49" t="s">
        <v>887</v>
      </c>
      <c r="D3" s="49" t="s">
        <v>892</v>
      </c>
      <c r="E3" s="49" t="s">
        <v>889</v>
      </c>
      <c r="F3" s="49" t="s">
        <v>893</v>
      </c>
    </row>
    <row r="4" spans="1:6">
      <c r="A4" s="49" t="s">
        <v>894</v>
      </c>
      <c r="B4" s="49" t="s">
        <v>589</v>
      </c>
      <c r="C4" s="49" t="s">
        <v>887</v>
      </c>
      <c r="D4" s="49" t="s">
        <v>895</v>
      </c>
      <c r="E4" s="49" t="s">
        <v>889</v>
      </c>
      <c r="F4" s="49" t="s">
        <v>896</v>
      </c>
    </row>
    <row r="5" spans="1:6">
      <c r="A5" s="49" t="s">
        <v>897</v>
      </c>
      <c r="B5" s="49" t="s">
        <v>590</v>
      </c>
      <c r="C5" s="49" t="s">
        <v>887</v>
      </c>
      <c r="D5" s="49" t="s">
        <v>898</v>
      </c>
      <c r="E5" s="49" t="s">
        <v>899</v>
      </c>
      <c r="F5" s="49" t="s">
        <v>900</v>
      </c>
    </row>
    <row r="6" spans="1:6">
      <c r="A6" s="49" t="s">
        <v>901</v>
      </c>
      <c r="B6" s="49" t="s">
        <v>591</v>
      </c>
      <c r="C6" s="49" t="s">
        <v>902</v>
      </c>
      <c r="D6" s="49" t="s">
        <v>903</v>
      </c>
      <c r="E6" s="49" t="s">
        <v>889</v>
      </c>
      <c r="F6" s="49" t="s">
        <v>904</v>
      </c>
    </row>
    <row r="7" spans="1:6">
      <c r="A7" s="49" t="s">
        <v>905</v>
      </c>
      <c r="B7" s="49" t="s">
        <v>592</v>
      </c>
      <c r="C7" s="49" t="s">
        <v>906</v>
      </c>
      <c r="D7" s="49" t="s">
        <v>907</v>
      </c>
      <c r="E7" s="49" t="s">
        <v>889</v>
      </c>
      <c r="F7" s="49" t="s">
        <v>908</v>
      </c>
    </row>
    <row r="8" spans="1:6">
      <c r="A8" s="49" t="s">
        <v>909</v>
      </c>
      <c r="B8" s="49" t="s">
        <v>593</v>
      </c>
      <c r="C8" s="49" t="s">
        <v>910</v>
      </c>
      <c r="D8" s="49" t="s">
        <v>911</v>
      </c>
      <c r="E8" s="49" t="s">
        <v>889</v>
      </c>
      <c r="F8" s="49" t="s">
        <v>912</v>
      </c>
    </row>
    <row r="9" spans="1:6">
      <c r="A9" s="49" t="s">
        <v>913</v>
      </c>
      <c r="B9" s="49" t="s">
        <v>594</v>
      </c>
      <c r="C9" s="49" t="s">
        <v>914</v>
      </c>
      <c r="D9" s="49" t="s">
        <v>915</v>
      </c>
      <c r="E9" s="49" t="s">
        <v>889</v>
      </c>
      <c r="F9" s="49" t="s">
        <v>916</v>
      </c>
    </row>
    <row r="10" spans="1:6">
      <c r="A10" s="49" t="s">
        <v>917</v>
      </c>
      <c r="B10" s="49" t="s">
        <v>595</v>
      </c>
      <c r="C10" s="49" t="s">
        <v>918</v>
      </c>
      <c r="D10" s="49" t="s">
        <v>919</v>
      </c>
      <c r="E10" s="49" t="s">
        <v>920</v>
      </c>
      <c r="F10" s="49" t="s">
        <v>921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506B5-31D3-4AF3-B8CC-75BEE745D378}">
  <dimension ref="A1:I13"/>
  <sheetViews>
    <sheetView workbookViewId="0">
      <selection activeCell="I24" sqref="I24"/>
    </sheetView>
  </sheetViews>
  <sheetFormatPr defaultRowHeight="14.5"/>
  <cols>
    <col min="1" max="1" width="13.08984375" bestFit="1" customWidth="1"/>
    <col min="2" max="2" width="9.08984375" bestFit="1" customWidth="1"/>
    <col min="3" max="3" width="6.08984375" bestFit="1" customWidth="1"/>
    <col min="4" max="4" width="17.54296875" bestFit="1" customWidth="1"/>
    <col min="5" max="5" width="18" bestFit="1" customWidth="1"/>
    <col min="6" max="6" width="14.453125" bestFit="1" customWidth="1"/>
    <col min="7" max="7" width="9.08984375" bestFit="1" customWidth="1"/>
    <col min="8" max="8" width="13.36328125" bestFit="1" customWidth="1"/>
    <col min="9" max="9" width="13.453125" bestFit="1" customWidth="1"/>
  </cols>
  <sheetData>
    <row r="1" spans="1:9">
      <c r="A1" t="s">
        <v>577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679</v>
      </c>
      <c r="H1" t="s">
        <v>680</v>
      </c>
      <c r="I1" t="s">
        <v>681</v>
      </c>
    </row>
    <row r="2" spans="1:9">
      <c r="A2">
        <v>202601</v>
      </c>
      <c r="B2" s="50">
        <v>46023</v>
      </c>
      <c r="C2">
        <v>2026</v>
      </c>
      <c r="D2">
        <v>1</v>
      </c>
      <c r="E2" s="49" t="s">
        <v>682</v>
      </c>
      <c r="F2" s="49" t="s">
        <v>683</v>
      </c>
      <c r="G2" s="49" t="s">
        <v>684</v>
      </c>
      <c r="H2" t="b">
        <v>1</v>
      </c>
      <c r="I2" s="49" t="s">
        <v>586</v>
      </c>
    </row>
    <row r="3" spans="1:9">
      <c r="A3">
        <v>202602</v>
      </c>
      <c r="B3" s="50">
        <v>46054</v>
      </c>
      <c r="C3">
        <v>2026</v>
      </c>
      <c r="D3">
        <v>2</v>
      </c>
      <c r="E3" s="49" t="s">
        <v>685</v>
      </c>
      <c r="F3" s="49" t="s">
        <v>686</v>
      </c>
      <c r="G3" s="49" t="s">
        <v>684</v>
      </c>
      <c r="H3" t="b">
        <v>1</v>
      </c>
      <c r="I3" s="49" t="s">
        <v>586</v>
      </c>
    </row>
    <row r="4" spans="1:9">
      <c r="A4">
        <v>202603</v>
      </c>
      <c r="B4" s="50">
        <v>46082</v>
      </c>
      <c r="C4">
        <v>2026</v>
      </c>
      <c r="D4">
        <v>3</v>
      </c>
      <c r="E4" s="49" t="s">
        <v>687</v>
      </c>
      <c r="F4" s="49" t="s">
        <v>688</v>
      </c>
      <c r="G4" s="49" t="s">
        <v>684</v>
      </c>
      <c r="H4" t="b">
        <v>1</v>
      </c>
      <c r="I4" s="49" t="s">
        <v>586</v>
      </c>
    </row>
    <row r="5" spans="1:9">
      <c r="A5">
        <v>202604</v>
      </c>
      <c r="B5" s="50">
        <v>46113</v>
      </c>
      <c r="C5">
        <v>2026</v>
      </c>
      <c r="D5">
        <v>4</v>
      </c>
      <c r="E5" s="49" t="s">
        <v>689</v>
      </c>
      <c r="F5" s="49" t="s">
        <v>690</v>
      </c>
      <c r="G5" s="49" t="s">
        <v>691</v>
      </c>
      <c r="H5" t="b">
        <v>1</v>
      </c>
      <c r="I5" s="49" t="s">
        <v>586</v>
      </c>
    </row>
    <row r="6" spans="1:9">
      <c r="A6">
        <v>202605</v>
      </c>
      <c r="B6" s="50">
        <v>46143</v>
      </c>
      <c r="C6">
        <v>2026</v>
      </c>
      <c r="D6">
        <v>5</v>
      </c>
      <c r="E6" s="49" t="s">
        <v>692</v>
      </c>
      <c r="F6" s="49" t="s">
        <v>692</v>
      </c>
      <c r="G6" s="49" t="s">
        <v>691</v>
      </c>
      <c r="H6" t="b">
        <v>1</v>
      </c>
      <c r="I6" s="49" t="s">
        <v>586</v>
      </c>
    </row>
    <row r="7" spans="1:9">
      <c r="A7">
        <v>202606</v>
      </c>
      <c r="B7" s="50">
        <v>46174</v>
      </c>
      <c r="C7">
        <v>2026</v>
      </c>
      <c r="D7">
        <v>6</v>
      </c>
      <c r="E7" s="49" t="s">
        <v>693</v>
      </c>
      <c r="F7" s="49" t="s">
        <v>694</v>
      </c>
      <c r="G7" s="49" t="s">
        <v>691</v>
      </c>
      <c r="H7" t="b">
        <v>1</v>
      </c>
      <c r="I7" s="49" t="s">
        <v>586</v>
      </c>
    </row>
    <row r="8" spans="1:9">
      <c r="A8">
        <v>202607</v>
      </c>
      <c r="B8" s="50">
        <v>46204</v>
      </c>
      <c r="C8">
        <v>2026</v>
      </c>
      <c r="D8">
        <v>7</v>
      </c>
      <c r="E8" s="49" t="s">
        <v>695</v>
      </c>
      <c r="F8" s="49" t="s">
        <v>696</v>
      </c>
      <c r="G8" s="49" t="s">
        <v>697</v>
      </c>
      <c r="H8" t="b">
        <v>1</v>
      </c>
      <c r="I8" s="49" t="s">
        <v>586</v>
      </c>
    </row>
    <row r="9" spans="1:9">
      <c r="A9">
        <v>202608</v>
      </c>
      <c r="B9" s="50">
        <v>46235</v>
      </c>
      <c r="C9">
        <v>2026</v>
      </c>
      <c r="D9">
        <v>8</v>
      </c>
      <c r="E9" s="49" t="s">
        <v>698</v>
      </c>
      <c r="F9" s="49" t="s">
        <v>699</v>
      </c>
      <c r="G9" s="49" t="s">
        <v>697</v>
      </c>
      <c r="H9" t="b">
        <v>1</v>
      </c>
      <c r="I9" s="49" t="s">
        <v>586</v>
      </c>
    </row>
    <row r="10" spans="1:9">
      <c r="A10">
        <v>202609</v>
      </c>
      <c r="B10" s="50">
        <v>46266</v>
      </c>
      <c r="C10">
        <v>2026</v>
      </c>
      <c r="D10">
        <v>9</v>
      </c>
      <c r="E10" s="49" t="s">
        <v>700</v>
      </c>
      <c r="F10" s="49" t="s">
        <v>701</v>
      </c>
      <c r="G10" s="49" t="s">
        <v>697</v>
      </c>
      <c r="H10" t="b">
        <v>1</v>
      </c>
      <c r="I10" s="49" t="s">
        <v>586</v>
      </c>
    </row>
    <row r="11" spans="1:9">
      <c r="A11">
        <v>202610</v>
      </c>
      <c r="B11" s="50">
        <v>46296</v>
      </c>
      <c r="C11">
        <v>2026</v>
      </c>
      <c r="D11">
        <v>10</v>
      </c>
      <c r="E11" s="49" t="s">
        <v>702</v>
      </c>
      <c r="F11" s="49" t="s">
        <v>703</v>
      </c>
      <c r="G11" s="49" t="s">
        <v>704</v>
      </c>
      <c r="H11" t="b">
        <v>0</v>
      </c>
      <c r="I11" s="49" t="s">
        <v>604</v>
      </c>
    </row>
    <row r="12" spans="1:9">
      <c r="A12">
        <v>202611</v>
      </c>
      <c r="B12" s="50">
        <v>46327</v>
      </c>
      <c r="C12">
        <v>2026</v>
      </c>
      <c r="D12">
        <v>11</v>
      </c>
      <c r="E12" s="49" t="s">
        <v>705</v>
      </c>
      <c r="F12" s="49" t="s">
        <v>706</v>
      </c>
      <c r="G12" s="49" t="s">
        <v>704</v>
      </c>
      <c r="H12" t="b">
        <v>0</v>
      </c>
      <c r="I12" s="49" t="s">
        <v>604</v>
      </c>
    </row>
    <row r="13" spans="1:9">
      <c r="A13">
        <v>202612</v>
      </c>
      <c r="B13" s="50">
        <v>46357</v>
      </c>
      <c r="C13">
        <v>2026</v>
      </c>
      <c r="D13">
        <v>12</v>
      </c>
      <c r="E13" s="49" t="s">
        <v>707</v>
      </c>
      <c r="F13" s="49" t="s">
        <v>708</v>
      </c>
      <c r="G13" s="49" t="s">
        <v>704</v>
      </c>
      <c r="H13" t="b">
        <v>0</v>
      </c>
      <c r="I13" s="49" t="s">
        <v>604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596CC-D1BD-408E-A373-4100EDF40D66}">
  <dimension ref="A1:G650"/>
  <sheetViews>
    <sheetView workbookViewId="0">
      <selection sqref="A1:G650"/>
    </sheetView>
  </sheetViews>
  <sheetFormatPr defaultRowHeight="14.5"/>
  <cols>
    <col min="1" max="1" width="13.08984375" bestFit="1" customWidth="1"/>
    <col min="2" max="2" width="10.453125" bestFit="1" customWidth="1"/>
    <col min="3" max="3" width="8.1796875" bestFit="1" customWidth="1"/>
    <col min="4" max="4" width="14.26953125" bestFit="1" customWidth="1"/>
    <col min="5" max="5" width="15.81640625" bestFit="1" customWidth="1"/>
    <col min="6" max="6" width="14.54296875" bestFit="1" customWidth="1"/>
    <col min="7" max="7" width="34.90625" bestFit="1" customWidth="1"/>
  </cols>
  <sheetData>
    <row r="1" spans="1:7">
      <c r="A1" t="s">
        <v>577</v>
      </c>
      <c r="B1" t="s">
        <v>578</v>
      </c>
      <c r="C1" t="s">
        <v>579</v>
      </c>
      <c r="D1" t="s">
        <v>580</v>
      </c>
      <c r="E1" t="s">
        <v>581</v>
      </c>
      <c r="F1" t="s">
        <v>582</v>
      </c>
      <c r="G1" t="s">
        <v>583</v>
      </c>
    </row>
    <row r="2" spans="1:7">
      <c r="A2">
        <v>202601</v>
      </c>
      <c r="B2" s="49" t="s">
        <v>584</v>
      </c>
      <c r="C2">
        <v>3900</v>
      </c>
      <c r="D2" s="49" t="s">
        <v>585</v>
      </c>
      <c r="E2" s="49" t="s">
        <v>586</v>
      </c>
      <c r="F2">
        <v>6.6959999999999997</v>
      </c>
      <c r="G2" s="49" t="s">
        <v>587</v>
      </c>
    </row>
    <row r="3" spans="1:7">
      <c r="A3">
        <v>202601</v>
      </c>
      <c r="B3" s="49" t="s">
        <v>588</v>
      </c>
      <c r="C3">
        <v>3900</v>
      </c>
      <c r="D3" s="49" t="s">
        <v>585</v>
      </c>
      <c r="E3" s="49" t="s">
        <v>586</v>
      </c>
      <c r="F3">
        <v>5.859</v>
      </c>
      <c r="G3" s="49" t="s">
        <v>587</v>
      </c>
    </row>
    <row r="4" spans="1:7">
      <c r="A4">
        <v>202601</v>
      </c>
      <c r="B4" s="49" t="s">
        <v>589</v>
      </c>
      <c r="C4">
        <v>3900</v>
      </c>
      <c r="D4" s="49" t="s">
        <v>585</v>
      </c>
      <c r="E4" s="49" t="s">
        <v>586</v>
      </c>
      <c r="F4">
        <v>6.6959999999999997</v>
      </c>
      <c r="G4" s="49" t="s">
        <v>587</v>
      </c>
    </row>
    <row r="5" spans="1:7">
      <c r="A5">
        <v>202601</v>
      </c>
      <c r="B5" s="49" t="s">
        <v>590</v>
      </c>
      <c r="C5">
        <v>3900</v>
      </c>
      <c r="D5" s="49" t="s">
        <v>585</v>
      </c>
      <c r="E5" s="49" t="s">
        <v>586</v>
      </c>
      <c r="F5">
        <v>1.4059999999999999</v>
      </c>
      <c r="G5" s="49" t="s">
        <v>587</v>
      </c>
    </row>
    <row r="6" spans="1:7">
      <c r="A6">
        <v>202601</v>
      </c>
      <c r="B6" s="49" t="s">
        <v>591</v>
      </c>
      <c r="C6">
        <v>3900</v>
      </c>
      <c r="D6" s="49" t="s">
        <v>585</v>
      </c>
      <c r="E6" s="49" t="s">
        <v>586</v>
      </c>
      <c r="F6">
        <v>27.888999999999999</v>
      </c>
      <c r="G6" s="49" t="s">
        <v>587</v>
      </c>
    </row>
    <row r="7" spans="1:7">
      <c r="A7">
        <v>202601</v>
      </c>
      <c r="B7" s="49" t="s">
        <v>592</v>
      </c>
      <c r="C7">
        <v>3900</v>
      </c>
      <c r="D7" s="49" t="s">
        <v>585</v>
      </c>
      <c r="E7" s="49" t="s">
        <v>586</v>
      </c>
      <c r="F7">
        <v>23.754000000000001</v>
      </c>
      <c r="G7" s="49" t="s">
        <v>587</v>
      </c>
    </row>
    <row r="8" spans="1:7">
      <c r="A8">
        <v>202601</v>
      </c>
      <c r="B8" s="49" t="s">
        <v>593</v>
      </c>
      <c r="C8">
        <v>3900</v>
      </c>
      <c r="D8" s="49" t="s">
        <v>585</v>
      </c>
      <c r="E8" s="49" t="s">
        <v>586</v>
      </c>
      <c r="F8">
        <v>13.425000000000001</v>
      </c>
      <c r="G8" s="49" t="s">
        <v>587</v>
      </c>
    </row>
    <row r="9" spans="1:7">
      <c r="A9">
        <v>202601</v>
      </c>
      <c r="B9" s="49" t="s">
        <v>594</v>
      </c>
      <c r="C9">
        <v>3900</v>
      </c>
      <c r="D9" s="49" t="s">
        <v>585</v>
      </c>
      <c r="E9" s="49" t="s">
        <v>586</v>
      </c>
      <c r="F9">
        <v>10.329000000000001</v>
      </c>
      <c r="G9" s="49" t="s">
        <v>587</v>
      </c>
    </row>
    <row r="10" spans="1:7">
      <c r="A10">
        <v>202601</v>
      </c>
      <c r="B10" s="49" t="s">
        <v>595</v>
      </c>
      <c r="C10">
        <v>3900</v>
      </c>
      <c r="D10" s="49" t="s">
        <v>585</v>
      </c>
      <c r="E10" s="49" t="s">
        <v>586</v>
      </c>
      <c r="F10">
        <v>7.2320000000000002</v>
      </c>
      <c r="G10" s="49" t="s">
        <v>587</v>
      </c>
    </row>
    <row r="11" spans="1:7">
      <c r="A11">
        <v>202602</v>
      </c>
      <c r="B11" s="49" t="s">
        <v>584</v>
      </c>
      <c r="C11">
        <v>3900</v>
      </c>
      <c r="D11" s="49" t="s">
        <v>585</v>
      </c>
      <c r="E11" s="49" t="s">
        <v>586</v>
      </c>
      <c r="F11">
        <v>6.6959999999999997</v>
      </c>
      <c r="G11" s="49" t="s">
        <v>596</v>
      </c>
    </row>
    <row r="12" spans="1:7">
      <c r="A12">
        <v>202602</v>
      </c>
      <c r="B12" s="49" t="s">
        <v>588</v>
      </c>
      <c r="C12">
        <v>3900</v>
      </c>
      <c r="D12" s="49" t="s">
        <v>585</v>
      </c>
      <c r="E12" s="49" t="s">
        <v>586</v>
      </c>
      <c r="F12">
        <v>5.859</v>
      </c>
      <c r="G12" s="49" t="s">
        <v>596</v>
      </c>
    </row>
    <row r="13" spans="1:7">
      <c r="A13">
        <v>202602</v>
      </c>
      <c r="B13" s="49" t="s">
        <v>589</v>
      </c>
      <c r="C13">
        <v>3900</v>
      </c>
      <c r="D13" s="49" t="s">
        <v>585</v>
      </c>
      <c r="E13" s="49" t="s">
        <v>586</v>
      </c>
      <c r="F13">
        <v>6.6959999999999997</v>
      </c>
      <c r="G13" s="49" t="s">
        <v>596</v>
      </c>
    </row>
    <row r="14" spans="1:7">
      <c r="A14">
        <v>202602</v>
      </c>
      <c r="B14" s="49" t="s">
        <v>590</v>
      </c>
      <c r="C14">
        <v>3900</v>
      </c>
      <c r="D14" s="49" t="s">
        <v>585</v>
      </c>
      <c r="E14" s="49" t="s">
        <v>586</v>
      </c>
      <c r="F14">
        <v>1.4059999999999999</v>
      </c>
      <c r="G14" s="49" t="s">
        <v>596</v>
      </c>
    </row>
    <row r="15" spans="1:7">
      <c r="A15">
        <v>202602</v>
      </c>
      <c r="B15" s="49" t="s">
        <v>591</v>
      </c>
      <c r="C15">
        <v>3900</v>
      </c>
      <c r="D15" s="49" t="s">
        <v>585</v>
      </c>
      <c r="E15" s="49" t="s">
        <v>586</v>
      </c>
      <c r="F15">
        <v>27.888999999999999</v>
      </c>
      <c r="G15" s="49" t="s">
        <v>596</v>
      </c>
    </row>
    <row r="16" spans="1:7">
      <c r="A16">
        <v>202602</v>
      </c>
      <c r="B16" s="49" t="s">
        <v>592</v>
      </c>
      <c r="C16">
        <v>3900</v>
      </c>
      <c r="D16" s="49" t="s">
        <v>585</v>
      </c>
      <c r="E16" s="49" t="s">
        <v>586</v>
      </c>
      <c r="F16">
        <v>23.754000000000001</v>
      </c>
      <c r="G16" s="49" t="s">
        <v>596</v>
      </c>
    </row>
    <row r="17" spans="1:7">
      <c r="A17">
        <v>202602</v>
      </c>
      <c r="B17" s="49" t="s">
        <v>593</v>
      </c>
      <c r="C17">
        <v>3900</v>
      </c>
      <c r="D17" s="49" t="s">
        <v>585</v>
      </c>
      <c r="E17" s="49" t="s">
        <v>586</v>
      </c>
      <c r="F17">
        <v>13.425000000000001</v>
      </c>
      <c r="G17" s="49" t="s">
        <v>596</v>
      </c>
    </row>
    <row r="18" spans="1:7">
      <c r="A18">
        <v>202602</v>
      </c>
      <c r="B18" s="49" t="s">
        <v>594</v>
      </c>
      <c r="C18">
        <v>3900</v>
      </c>
      <c r="D18" s="49" t="s">
        <v>585</v>
      </c>
      <c r="E18" s="49" t="s">
        <v>586</v>
      </c>
      <c r="F18">
        <v>10.329000000000001</v>
      </c>
      <c r="G18" s="49" t="s">
        <v>596</v>
      </c>
    </row>
    <row r="19" spans="1:7">
      <c r="A19">
        <v>202602</v>
      </c>
      <c r="B19" s="49" t="s">
        <v>595</v>
      </c>
      <c r="C19">
        <v>3900</v>
      </c>
      <c r="D19" s="49" t="s">
        <v>585</v>
      </c>
      <c r="E19" s="49" t="s">
        <v>586</v>
      </c>
      <c r="F19">
        <v>7.2320000000000002</v>
      </c>
      <c r="G19" s="49" t="s">
        <v>596</v>
      </c>
    </row>
    <row r="20" spans="1:7">
      <c r="A20">
        <v>202603</v>
      </c>
      <c r="B20" s="49" t="s">
        <v>584</v>
      </c>
      <c r="C20">
        <v>3900</v>
      </c>
      <c r="D20" s="49" t="s">
        <v>585</v>
      </c>
      <c r="E20" s="49" t="s">
        <v>586</v>
      </c>
      <c r="F20">
        <v>6.6959999999999997</v>
      </c>
      <c r="G20" s="49" t="s">
        <v>597</v>
      </c>
    </row>
    <row r="21" spans="1:7">
      <c r="A21">
        <v>202603</v>
      </c>
      <c r="B21" s="49" t="s">
        <v>588</v>
      </c>
      <c r="C21">
        <v>3900</v>
      </c>
      <c r="D21" s="49" t="s">
        <v>585</v>
      </c>
      <c r="E21" s="49" t="s">
        <v>586</v>
      </c>
      <c r="F21">
        <v>5.859</v>
      </c>
      <c r="G21" s="49" t="s">
        <v>597</v>
      </c>
    </row>
    <row r="22" spans="1:7">
      <c r="A22">
        <v>202603</v>
      </c>
      <c r="B22" s="49" t="s">
        <v>589</v>
      </c>
      <c r="C22">
        <v>3900</v>
      </c>
      <c r="D22" s="49" t="s">
        <v>585</v>
      </c>
      <c r="E22" s="49" t="s">
        <v>586</v>
      </c>
      <c r="F22">
        <v>6.6959999999999997</v>
      </c>
      <c r="G22" s="49" t="s">
        <v>597</v>
      </c>
    </row>
    <row r="23" spans="1:7">
      <c r="A23">
        <v>202603</v>
      </c>
      <c r="B23" s="49" t="s">
        <v>590</v>
      </c>
      <c r="C23">
        <v>3900</v>
      </c>
      <c r="D23" s="49" t="s">
        <v>585</v>
      </c>
      <c r="E23" s="49" t="s">
        <v>586</v>
      </c>
      <c r="F23">
        <v>1.4059999999999999</v>
      </c>
      <c r="G23" s="49" t="s">
        <v>597</v>
      </c>
    </row>
    <row r="24" spans="1:7">
      <c r="A24">
        <v>202603</v>
      </c>
      <c r="B24" s="49" t="s">
        <v>591</v>
      </c>
      <c r="C24">
        <v>3900</v>
      </c>
      <c r="D24" s="49" t="s">
        <v>585</v>
      </c>
      <c r="E24" s="49" t="s">
        <v>586</v>
      </c>
      <c r="F24">
        <v>27.888999999999999</v>
      </c>
      <c r="G24" s="49" t="s">
        <v>597</v>
      </c>
    </row>
    <row r="25" spans="1:7">
      <c r="A25">
        <v>202603</v>
      </c>
      <c r="B25" s="49" t="s">
        <v>592</v>
      </c>
      <c r="C25">
        <v>3900</v>
      </c>
      <c r="D25" s="49" t="s">
        <v>585</v>
      </c>
      <c r="E25" s="49" t="s">
        <v>586</v>
      </c>
      <c r="F25">
        <v>23.754000000000001</v>
      </c>
      <c r="G25" s="49" t="s">
        <v>597</v>
      </c>
    </row>
    <row r="26" spans="1:7">
      <c r="A26">
        <v>202603</v>
      </c>
      <c r="B26" s="49" t="s">
        <v>593</v>
      </c>
      <c r="C26">
        <v>3900</v>
      </c>
      <c r="D26" s="49" t="s">
        <v>585</v>
      </c>
      <c r="E26" s="49" t="s">
        <v>586</v>
      </c>
      <c r="F26">
        <v>13.425000000000001</v>
      </c>
      <c r="G26" s="49" t="s">
        <v>597</v>
      </c>
    </row>
    <row r="27" spans="1:7">
      <c r="A27">
        <v>202603</v>
      </c>
      <c r="B27" s="49" t="s">
        <v>594</v>
      </c>
      <c r="C27">
        <v>3900</v>
      </c>
      <c r="D27" s="49" t="s">
        <v>585</v>
      </c>
      <c r="E27" s="49" t="s">
        <v>586</v>
      </c>
      <c r="F27">
        <v>10.329000000000001</v>
      </c>
      <c r="G27" s="49" t="s">
        <v>597</v>
      </c>
    </row>
    <row r="28" spans="1:7">
      <c r="A28">
        <v>202603</v>
      </c>
      <c r="B28" s="49" t="s">
        <v>595</v>
      </c>
      <c r="C28">
        <v>3900</v>
      </c>
      <c r="D28" s="49" t="s">
        <v>585</v>
      </c>
      <c r="E28" s="49" t="s">
        <v>586</v>
      </c>
      <c r="F28">
        <v>7.2320000000000002</v>
      </c>
      <c r="G28" s="49" t="s">
        <v>597</v>
      </c>
    </row>
    <row r="29" spans="1:7">
      <c r="A29">
        <v>202604</v>
      </c>
      <c r="B29" s="49" t="s">
        <v>584</v>
      </c>
      <c r="C29">
        <v>3900</v>
      </c>
      <c r="D29" s="49" t="s">
        <v>585</v>
      </c>
      <c r="E29" s="49" t="s">
        <v>586</v>
      </c>
      <c r="F29">
        <v>6.6959999999999997</v>
      </c>
      <c r="G29" s="49" t="s">
        <v>598</v>
      </c>
    </row>
    <row r="30" spans="1:7">
      <c r="A30">
        <v>202604</v>
      </c>
      <c r="B30" s="49" t="s">
        <v>588</v>
      </c>
      <c r="C30">
        <v>3900</v>
      </c>
      <c r="D30" s="49" t="s">
        <v>585</v>
      </c>
      <c r="E30" s="49" t="s">
        <v>586</v>
      </c>
      <c r="F30">
        <v>5.859</v>
      </c>
      <c r="G30" s="49" t="s">
        <v>598</v>
      </c>
    </row>
    <row r="31" spans="1:7">
      <c r="A31">
        <v>202604</v>
      </c>
      <c r="B31" s="49" t="s">
        <v>589</v>
      </c>
      <c r="C31">
        <v>3900</v>
      </c>
      <c r="D31" s="49" t="s">
        <v>585</v>
      </c>
      <c r="E31" s="49" t="s">
        <v>586</v>
      </c>
      <c r="F31">
        <v>6.6959999999999997</v>
      </c>
      <c r="G31" s="49" t="s">
        <v>598</v>
      </c>
    </row>
    <row r="32" spans="1:7">
      <c r="A32">
        <v>202604</v>
      </c>
      <c r="B32" s="49" t="s">
        <v>590</v>
      </c>
      <c r="C32">
        <v>3900</v>
      </c>
      <c r="D32" s="49" t="s">
        <v>585</v>
      </c>
      <c r="E32" s="49" t="s">
        <v>586</v>
      </c>
      <c r="F32">
        <v>1.4059999999999999</v>
      </c>
      <c r="G32" s="49" t="s">
        <v>598</v>
      </c>
    </row>
    <row r="33" spans="1:7">
      <c r="A33">
        <v>202604</v>
      </c>
      <c r="B33" s="49" t="s">
        <v>591</v>
      </c>
      <c r="C33">
        <v>3900</v>
      </c>
      <c r="D33" s="49" t="s">
        <v>585</v>
      </c>
      <c r="E33" s="49" t="s">
        <v>586</v>
      </c>
      <c r="F33">
        <v>27.888999999999999</v>
      </c>
      <c r="G33" s="49" t="s">
        <v>598</v>
      </c>
    </row>
    <row r="34" spans="1:7">
      <c r="A34">
        <v>202604</v>
      </c>
      <c r="B34" s="49" t="s">
        <v>592</v>
      </c>
      <c r="C34">
        <v>3900</v>
      </c>
      <c r="D34" s="49" t="s">
        <v>585</v>
      </c>
      <c r="E34" s="49" t="s">
        <v>586</v>
      </c>
      <c r="F34">
        <v>23.754000000000001</v>
      </c>
      <c r="G34" s="49" t="s">
        <v>598</v>
      </c>
    </row>
    <row r="35" spans="1:7">
      <c r="A35">
        <v>202604</v>
      </c>
      <c r="B35" s="49" t="s">
        <v>593</v>
      </c>
      <c r="C35">
        <v>3900</v>
      </c>
      <c r="D35" s="49" t="s">
        <v>585</v>
      </c>
      <c r="E35" s="49" t="s">
        <v>586</v>
      </c>
      <c r="F35">
        <v>13.425000000000001</v>
      </c>
      <c r="G35" s="49" t="s">
        <v>598</v>
      </c>
    </row>
    <row r="36" spans="1:7">
      <c r="A36">
        <v>202604</v>
      </c>
      <c r="B36" s="49" t="s">
        <v>594</v>
      </c>
      <c r="C36">
        <v>3900</v>
      </c>
      <c r="D36" s="49" t="s">
        <v>585</v>
      </c>
      <c r="E36" s="49" t="s">
        <v>586</v>
      </c>
      <c r="F36">
        <v>10.329000000000001</v>
      </c>
      <c r="G36" s="49" t="s">
        <v>598</v>
      </c>
    </row>
    <row r="37" spans="1:7">
      <c r="A37">
        <v>202604</v>
      </c>
      <c r="B37" s="49" t="s">
        <v>595</v>
      </c>
      <c r="C37">
        <v>3900</v>
      </c>
      <c r="D37" s="49" t="s">
        <v>585</v>
      </c>
      <c r="E37" s="49" t="s">
        <v>586</v>
      </c>
      <c r="F37">
        <v>7.2320000000000002</v>
      </c>
      <c r="G37" s="49" t="s">
        <v>598</v>
      </c>
    </row>
    <row r="38" spans="1:7">
      <c r="A38">
        <v>202605</v>
      </c>
      <c r="B38" s="49" t="s">
        <v>584</v>
      </c>
      <c r="C38">
        <v>3900</v>
      </c>
      <c r="D38" s="49" t="s">
        <v>585</v>
      </c>
      <c r="E38" s="49" t="s">
        <v>586</v>
      </c>
      <c r="F38">
        <v>6.6959999999999997</v>
      </c>
      <c r="G38" s="49" t="s">
        <v>599</v>
      </c>
    </row>
    <row r="39" spans="1:7">
      <c r="A39">
        <v>202605</v>
      </c>
      <c r="B39" s="49" t="s">
        <v>588</v>
      </c>
      <c r="C39">
        <v>3900</v>
      </c>
      <c r="D39" s="49" t="s">
        <v>585</v>
      </c>
      <c r="E39" s="49" t="s">
        <v>586</v>
      </c>
      <c r="F39">
        <v>5.859</v>
      </c>
      <c r="G39" s="49" t="s">
        <v>599</v>
      </c>
    </row>
    <row r="40" spans="1:7">
      <c r="A40">
        <v>202605</v>
      </c>
      <c r="B40" s="49" t="s">
        <v>589</v>
      </c>
      <c r="C40">
        <v>3900</v>
      </c>
      <c r="D40" s="49" t="s">
        <v>585</v>
      </c>
      <c r="E40" s="49" t="s">
        <v>586</v>
      </c>
      <c r="F40">
        <v>6.6959999999999997</v>
      </c>
      <c r="G40" s="49" t="s">
        <v>599</v>
      </c>
    </row>
    <row r="41" spans="1:7">
      <c r="A41">
        <v>202605</v>
      </c>
      <c r="B41" s="49" t="s">
        <v>590</v>
      </c>
      <c r="C41">
        <v>3900</v>
      </c>
      <c r="D41" s="49" t="s">
        <v>585</v>
      </c>
      <c r="E41" s="49" t="s">
        <v>586</v>
      </c>
      <c r="F41">
        <v>1.4059999999999999</v>
      </c>
      <c r="G41" s="49" t="s">
        <v>599</v>
      </c>
    </row>
    <row r="42" spans="1:7">
      <c r="A42">
        <v>202605</v>
      </c>
      <c r="B42" s="49" t="s">
        <v>591</v>
      </c>
      <c r="C42">
        <v>3900</v>
      </c>
      <c r="D42" s="49" t="s">
        <v>585</v>
      </c>
      <c r="E42" s="49" t="s">
        <v>586</v>
      </c>
      <c r="F42">
        <v>27.888999999999999</v>
      </c>
      <c r="G42" s="49" t="s">
        <v>599</v>
      </c>
    </row>
    <row r="43" spans="1:7">
      <c r="A43">
        <v>202605</v>
      </c>
      <c r="B43" s="49" t="s">
        <v>592</v>
      </c>
      <c r="C43">
        <v>3900</v>
      </c>
      <c r="D43" s="49" t="s">
        <v>585</v>
      </c>
      <c r="E43" s="49" t="s">
        <v>586</v>
      </c>
      <c r="F43">
        <v>23.754000000000001</v>
      </c>
      <c r="G43" s="49" t="s">
        <v>599</v>
      </c>
    </row>
    <row r="44" spans="1:7">
      <c r="A44">
        <v>202605</v>
      </c>
      <c r="B44" s="49" t="s">
        <v>593</v>
      </c>
      <c r="C44">
        <v>3900</v>
      </c>
      <c r="D44" s="49" t="s">
        <v>585</v>
      </c>
      <c r="E44" s="49" t="s">
        <v>586</v>
      </c>
      <c r="F44">
        <v>13.425000000000001</v>
      </c>
      <c r="G44" s="49" t="s">
        <v>599</v>
      </c>
    </row>
    <row r="45" spans="1:7">
      <c r="A45">
        <v>202605</v>
      </c>
      <c r="B45" s="49" t="s">
        <v>594</v>
      </c>
      <c r="C45">
        <v>3900</v>
      </c>
      <c r="D45" s="49" t="s">
        <v>585</v>
      </c>
      <c r="E45" s="49" t="s">
        <v>586</v>
      </c>
      <c r="F45">
        <v>10.329000000000001</v>
      </c>
      <c r="G45" s="49" t="s">
        <v>599</v>
      </c>
    </row>
    <row r="46" spans="1:7">
      <c r="A46">
        <v>202605</v>
      </c>
      <c r="B46" s="49" t="s">
        <v>595</v>
      </c>
      <c r="C46">
        <v>3900</v>
      </c>
      <c r="D46" s="49" t="s">
        <v>585</v>
      </c>
      <c r="E46" s="49" t="s">
        <v>586</v>
      </c>
      <c r="F46">
        <v>7.2320000000000002</v>
      </c>
      <c r="G46" s="49" t="s">
        <v>599</v>
      </c>
    </row>
    <row r="47" spans="1:7">
      <c r="A47">
        <v>202606</v>
      </c>
      <c r="B47" s="49" t="s">
        <v>584</v>
      </c>
      <c r="C47">
        <v>3900</v>
      </c>
      <c r="D47" s="49" t="s">
        <v>585</v>
      </c>
      <c r="E47" s="49" t="s">
        <v>586</v>
      </c>
      <c r="F47">
        <v>6.72</v>
      </c>
      <c r="G47" s="49" t="s">
        <v>600</v>
      </c>
    </row>
    <row r="48" spans="1:7">
      <c r="A48">
        <v>202606</v>
      </c>
      <c r="B48" s="49" t="s">
        <v>588</v>
      </c>
      <c r="C48">
        <v>3900</v>
      </c>
      <c r="D48" s="49" t="s">
        <v>585</v>
      </c>
      <c r="E48" s="49" t="s">
        <v>586</v>
      </c>
      <c r="F48">
        <v>5.88</v>
      </c>
      <c r="G48" s="49" t="s">
        <v>600</v>
      </c>
    </row>
    <row r="49" spans="1:7">
      <c r="A49">
        <v>202606</v>
      </c>
      <c r="B49" s="49" t="s">
        <v>589</v>
      </c>
      <c r="C49">
        <v>3900</v>
      </c>
      <c r="D49" s="49" t="s">
        <v>585</v>
      </c>
      <c r="E49" s="49" t="s">
        <v>586</v>
      </c>
      <c r="F49">
        <v>6.72</v>
      </c>
      <c r="G49" s="49" t="s">
        <v>600</v>
      </c>
    </row>
    <row r="50" spans="1:7">
      <c r="A50">
        <v>202606</v>
      </c>
      <c r="B50" s="49" t="s">
        <v>590</v>
      </c>
      <c r="C50">
        <v>3900</v>
      </c>
      <c r="D50" s="49" t="s">
        <v>585</v>
      </c>
      <c r="E50" s="49" t="s">
        <v>586</v>
      </c>
      <c r="F50">
        <v>1.411</v>
      </c>
      <c r="G50" s="49" t="s">
        <v>600</v>
      </c>
    </row>
    <row r="51" spans="1:7">
      <c r="A51">
        <v>202606</v>
      </c>
      <c r="B51" s="49" t="s">
        <v>591</v>
      </c>
      <c r="C51">
        <v>3900</v>
      </c>
      <c r="D51" s="49" t="s">
        <v>585</v>
      </c>
      <c r="E51" s="49" t="s">
        <v>586</v>
      </c>
      <c r="F51">
        <v>27.989000000000001</v>
      </c>
      <c r="G51" s="49" t="s">
        <v>600</v>
      </c>
    </row>
    <row r="52" spans="1:7">
      <c r="A52">
        <v>202606</v>
      </c>
      <c r="B52" s="49" t="s">
        <v>592</v>
      </c>
      <c r="C52">
        <v>3900</v>
      </c>
      <c r="D52" s="49" t="s">
        <v>585</v>
      </c>
      <c r="E52" s="49" t="s">
        <v>586</v>
      </c>
      <c r="F52">
        <v>23.838999999999999</v>
      </c>
      <c r="G52" s="49" t="s">
        <v>600</v>
      </c>
    </row>
    <row r="53" spans="1:7">
      <c r="A53">
        <v>202606</v>
      </c>
      <c r="B53" s="49" t="s">
        <v>593</v>
      </c>
      <c r="C53">
        <v>3900</v>
      </c>
      <c r="D53" s="49" t="s">
        <v>585</v>
      </c>
      <c r="E53" s="49" t="s">
        <v>586</v>
      </c>
      <c r="F53">
        <v>13.474</v>
      </c>
      <c r="G53" s="49" t="s">
        <v>600</v>
      </c>
    </row>
    <row r="54" spans="1:7">
      <c r="A54">
        <v>202606</v>
      </c>
      <c r="B54" s="49" t="s">
        <v>594</v>
      </c>
      <c r="C54">
        <v>3900</v>
      </c>
      <c r="D54" s="49" t="s">
        <v>585</v>
      </c>
      <c r="E54" s="49" t="s">
        <v>586</v>
      </c>
      <c r="F54">
        <v>10.366</v>
      </c>
      <c r="G54" s="49" t="s">
        <v>600</v>
      </c>
    </row>
    <row r="55" spans="1:7">
      <c r="A55">
        <v>202606</v>
      </c>
      <c r="B55" s="49" t="s">
        <v>595</v>
      </c>
      <c r="C55">
        <v>3900</v>
      </c>
      <c r="D55" s="49" t="s">
        <v>585</v>
      </c>
      <c r="E55" s="49" t="s">
        <v>586</v>
      </c>
      <c r="F55">
        <v>7.258</v>
      </c>
      <c r="G55" s="49" t="s">
        <v>600</v>
      </c>
    </row>
    <row r="56" spans="1:7">
      <c r="A56">
        <v>202607</v>
      </c>
      <c r="B56" s="49" t="s">
        <v>584</v>
      </c>
      <c r="C56">
        <v>3900</v>
      </c>
      <c r="D56" s="49" t="s">
        <v>585</v>
      </c>
      <c r="E56" s="49" t="s">
        <v>586</v>
      </c>
      <c r="F56">
        <v>6.32</v>
      </c>
      <c r="G56" s="49" t="s">
        <v>601</v>
      </c>
    </row>
    <row r="57" spans="1:7">
      <c r="A57">
        <v>202607</v>
      </c>
      <c r="B57" s="49" t="s">
        <v>588</v>
      </c>
      <c r="C57">
        <v>3900</v>
      </c>
      <c r="D57" s="49" t="s">
        <v>585</v>
      </c>
      <c r="E57" s="49" t="s">
        <v>586</v>
      </c>
      <c r="F57">
        <v>5.53</v>
      </c>
      <c r="G57" s="49" t="s">
        <v>601</v>
      </c>
    </row>
    <row r="58" spans="1:7">
      <c r="A58">
        <v>202607</v>
      </c>
      <c r="B58" s="49" t="s">
        <v>589</v>
      </c>
      <c r="C58">
        <v>3900</v>
      </c>
      <c r="D58" s="49" t="s">
        <v>585</v>
      </c>
      <c r="E58" s="49" t="s">
        <v>586</v>
      </c>
      <c r="F58">
        <v>6.32</v>
      </c>
      <c r="G58" s="49" t="s">
        <v>601</v>
      </c>
    </row>
    <row r="59" spans="1:7">
      <c r="A59">
        <v>202607</v>
      </c>
      <c r="B59" s="49" t="s">
        <v>590</v>
      </c>
      <c r="C59">
        <v>3900</v>
      </c>
      <c r="D59" s="49" t="s">
        <v>585</v>
      </c>
      <c r="E59" s="49" t="s">
        <v>586</v>
      </c>
      <c r="F59">
        <v>1.327</v>
      </c>
      <c r="G59" s="49" t="s">
        <v>601</v>
      </c>
    </row>
    <row r="60" spans="1:7">
      <c r="A60">
        <v>202607</v>
      </c>
      <c r="B60" s="49" t="s">
        <v>591</v>
      </c>
      <c r="C60">
        <v>3900</v>
      </c>
      <c r="D60" s="49" t="s">
        <v>585</v>
      </c>
      <c r="E60" s="49" t="s">
        <v>586</v>
      </c>
      <c r="F60">
        <v>26.323</v>
      </c>
      <c r="G60" s="49" t="s">
        <v>601</v>
      </c>
    </row>
    <row r="61" spans="1:7">
      <c r="A61">
        <v>202607</v>
      </c>
      <c r="B61" s="49" t="s">
        <v>592</v>
      </c>
      <c r="C61">
        <v>3900</v>
      </c>
      <c r="D61" s="49" t="s">
        <v>585</v>
      </c>
      <c r="E61" s="49" t="s">
        <v>586</v>
      </c>
      <c r="F61">
        <v>22.42</v>
      </c>
      <c r="G61" s="49" t="s">
        <v>601</v>
      </c>
    </row>
    <row r="62" spans="1:7">
      <c r="A62">
        <v>202607</v>
      </c>
      <c r="B62" s="49" t="s">
        <v>593</v>
      </c>
      <c r="C62">
        <v>3900</v>
      </c>
      <c r="D62" s="49" t="s">
        <v>585</v>
      </c>
      <c r="E62" s="49" t="s">
        <v>586</v>
      </c>
      <c r="F62">
        <v>12.672000000000001</v>
      </c>
      <c r="G62" s="49" t="s">
        <v>601</v>
      </c>
    </row>
    <row r="63" spans="1:7">
      <c r="A63">
        <v>202607</v>
      </c>
      <c r="B63" s="49" t="s">
        <v>594</v>
      </c>
      <c r="C63">
        <v>3900</v>
      </c>
      <c r="D63" s="49" t="s">
        <v>585</v>
      </c>
      <c r="E63" s="49" t="s">
        <v>586</v>
      </c>
      <c r="F63">
        <v>9.7490000000000006</v>
      </c>
      <c r="G63" s="49" t="s">
        <v>601</v>
      </c>
    </row>
    <row r="64" spans="1:7">
      <c r="A64">
        <v>202607</v>
      </c>
      <c r="B64" s="49" t="s">
        <v>595</v>
      </c>
      <c r="C64">
        <v>3900</v>
      </c>
      <c r="D64" s="49" t="s">
        <v>585</v>
      </c>
      <c r="E64" s="49" t="s">
        <v>586</v>
      </c>
      <c r="F64">
        <v>6.8259999999999996</v>
      </c>
      <c r="G64" s="49" t="s">
        <v>601</v>
      </c>
    </row>
    <row r="65" spans="1:7">
      <c r="A65">
        <v>202608</v>
      </c>
      <c r="B65" s="49" t="s">
        <v>584</v>
      </c>
      <c r="C65">
        <v>3900</v>
      </c>
      <c r="D65" s="49" t="s">
        <v>585</v>
      </c>
      <c r="E65" s="49" t="s">
        <v>586</v>
      </c>
      <c r="F65">
        <v>6.6959999999999997</v>
      </c>
      <c r="G65" s="49" t="s">
        <v>602</v>
      </c>
    </row>
    <row r="66" spans="1:7">
      <c r="A66">
        <v>202608</v>
      </c>
      <c r="B66" s="49" t="s">
        <v>588</v>
      </c>
      <c r="C66">
        <v>3900</v>
      </c>
      <c r="D66" s="49" t="s">
        <v>585</v>
      </c>
      <c r="E66" s="49" t="s">
        <v>586</v>
      </c>
      <c r="F66">
        <v>5.859</v>
      </c>
      <c r="G66" s="49" t="s">
        <v>602</v>
      </c>
    </row>
    <row r="67" spans="1:7">
      <c r="A67">
        <v>202608</v>
      </c>
      <c r="B67" s="49" t="s">
        <v>589</v>
      </c>
      <c r="C67">
        <v>3900</v>
      </c>
      <c r="D67" s="49" t="s">
        <v>585</v>
      </c>
      <c r="E67" s="49" t="s">
        <v>586</v>
      </c>
      <c r="F67">
        <v>6.6959999999999997</v>
      </c>
      <c r="G67" s="49" t="s">
        <v>602</v>
      </c>
    </row>
    <row r="68" spans="1:7">
      <c r="A68">
        <v>202608</v>
      </c>
      <c r="B68" s="49" t="s">
        <v>590</v>
      </c>
      <c r="C68">
        <v>3900</v>
      </c>
      <c r="D68" s="49" t="s">
        <v>585</v>
      </c>
      <c r="E68" s="49" t="s">
        <v>586</v>
      </c>
      <c r="F68">
        <v>1.4059999999999999</v>
      </c>
      <c r="G68" s="49" t="s">
        <v>602</v>
      </c>
    </row>
    <row r="69" spans="1:7">
      <c r="A69">
        <v>202608</v>
      </c>
      <c r="B69" s="49" t="s">
        <v>591</v>
      </c>
      <c r="C69">
        <v>3900</v>
      </c>
      <c r="D69" s="49" t="s">
        <v>585</v>
      </c>
      <c r="E69" s="49" t="s">
        <v>586</v>
      </c>
      <c r="F69">
        <v>27.888999999999999</v>
      </c>
      <c r="G69" s="49" t="s">
        <v>602</v>
      </c>
    </row>
    <row r="70" spans="1:7">
      <c r="A70">
        <v>202608</v>
      </c>
      <c r="B70" s="49" t="s">
        <v>592</v>
      </c>
      <c r="C70">
        <v>3900</v>
      </c>
      <c r="D70" s="49" t="s">
        <v>585</v>
      </c>
      <c r="E70" s="49" t="s">
        <v>586</v>
      </c>
      <c r="F70">
        <v>23.754000000000001</v>
      </c>
      <c r="G70" s="49" t="s">
        <v>602</v>
      </c>
    </row>
    <row r="71" spans="1:7">
      <c r="A71">
        <v>202608</v>
      </c>
      <c r="B71" s="49" t="s">
        <v>593</v>
      </c>
      <c r="C71">
        <v>3900</v>
      </c>
      <c r="D71" s="49" t="s">
        <v>585</v>
      </c>
      <c r="E71" s="49" t="s">
        <v>586</v>
      </c>
      <c r="F71">
        <v>13.425000000000001</v>
      </c>
      <c r="G71" s="49" t="s">
        <v>602</v>
      </c>
    </row>
    <row r="72" spans="1:7">
      <c r="A72">
        <v>202608</v>
      </c>
      <c r="B72" s="49" t="s">
        <v>594</v>
      </c>
      <c r="C72">
        <v>3900</v>
      </c>
      <c r="D72" s="49" t="s">
        <v>585</v>
      </c>
      <c r="E72" s="49" t="s">
        <v>586</v>
      </c>
      <c r="F72">
        <v>10.329000000000001</v>
      </c>
      <c r="G72" s="49" t="s">
        <v>602</v>
      </c>
    </row>
    <row r="73" spans="1:7">
      <c r="A73">
        <v>202608</v>
      </c>
      <c r="B73" s="49" t="s">
        <v>595</v>
      </c>
      <c r="C73">
        <v>3900</v>
      </c>
      <c r="D73" s="49" t="s">
        <v>585</v>
      </c>
      <c r="E73" s="49" t="s">
        <v>586</v>
      </c>
      <c r="F73">
        <v>7.2320000000000002</v>
      </c>
      <c r="G73" s="49" t="s">
        <v>602</v>
      </c>
    </row>
    <row r="74" spans="1:7">
      <c r="A74">
        <v>202609</v>
      </c>
      <c r="B74" s="49" t="s">
        <v>584</v>
      </c>
      <c r="C74">
        <v>3900</v>
      </c>
      <c r="D74" s="49" t="s">
        <v>585</v>
      </c>
      <c r="E74" s="49" t="s">
        <v>586</v>
      </c>
      <c r="F74">
        <v>6.6959999999999997</v>
      </c>
      <c r="G74" s="49" t="s">
        <v>603</v>
      </c>
    </row>
    <row r="75" spans="1:7">
      <c r="A75">
        <v>202609</v>
      </c>
      <c r="B75" s="49" t="s">
        <v>588</v>
      </c>
      <c r="C75">
        <v>3900</v>
      </c>
      <c r="D75" s="49" t="s">
        <v>585</v>
      </c>
      <c r="E75" s="49" t="s">
        <v>586</v>
      </c>
      <c r="F75">
        <v>5.859</v>
      </c>
      <c r="G75" s="49" t="s">
        <v>603</v>
      </c>
    </row>
    <row r="76" spans="1:7">
      <c r="A76">
        <v>202609</v>
      </c>
      <c r="B76" s="49" t="s">
        <v>589</v>
      </c>
      <c r="C76">
        <v>3900</v>
      </c>
      <c r="D76" s="49" t="s">
        <v>585</v>
      </c>
      <c r="E76" s="49" t="s">
        <v>586</v>
      </c>
      <c r="F76">
        <v>6.6959999999999997</v>
      </c>
      <c r="G76" s="49" t="s">
        <v>603</v>
      </c>
    </row>
    <row r="77" spans="1:7">
      <c r="A77">
        <v>202609</v>
      </c>
      <c r="B77" s="49" t="s">
        <v>590</v>
      </c>
      <c r="C77">
        <v>3900</v>
      </c>
      <c r="D77" s="49" t="s">
        <v>585</v>
      </c>
      <c r="E77" s="49" t="s">
        <v>586</v>
      </c>
      <c r="F77">
        <v>1.4059999999999999</v>
      </c>
      <c r="G77" s="49" t="s">
        <v>603</v>
      </c>
    </row>
    <row r="78" spans="1:7">
      <c r="A78">
        <v>202609</v>
      </c>
      <c r="B78" s="49" t="s">
        <v>591</v>
      </c>
      <c r="C78">
        <v>3900</v>
      </c>
      <c r="D78" s="49" t="s">
        <v>585</v>
      </c>
      <c r="E78" s="49" t="s">
        <v>586</v>
      </c>
      <c r="F78">
        <v>27.888999999999999</v>
      </c>
      <c r="G78" s="49" t="s">
        <v>603</v>
      </c>
    </row>
    <row r="79" spans="1:7">
      <c r="A79">
        <v>202609</v>
      </c>
      <c r="B79" s="49" t="s">
        <v>592</v>
      </c>
      <c r="C79">
        <v>3900</v>
      </c>
      <c r="D79" s="49" t="s">
        <v>585</v>
      </c>
      <c r="E79" s="49" t="s">
        <v>586</v>
      </c>
      <c r="F79">
        <v>23.754000000000001</v>
      </c>
      <c r="G79" s="49" t="s">
        <v>603</v>
      </c>
    </row>
    <row r="80" spans="1:7">
      <c r="A80">
        <v>202609</v>
      </c>
      <c r="B80" s="49" t="s">
        <v>593</v>
      </c>
      <c r="C80">
        <v>3900</v>
      </c>
      <c r="D80" s="49" t="s">
        <v>585</v>
      </c>
      <c r="E80" s="49" t="s">
        <v>586</v>
      </c>
      <c r="F80">
        <v>13.425000000000001</v>
      </c>
      <c r="G80" s="49" t="s">
        <v>603</v>
      </c>
    </row>
    <row r="81" spans="1:7">
      <c r="A81">
        <v>202609</v>
      </c>
      <c r="B81" s="49" t="s">
        <v>594</v>
      </c>
      <c r="C81">
        <v>3900</v>
      </c>
      <c r="D81" s="49" t="s">
        <v>585</v>
      </c>
      <c r="E81" s="49" t="s">
        <v>586</v>
      </c>
      <c r="F81">
        <v>10.329000000000001</v>
      </c>
      <c r="G81" s="49" t="s">
        <v>603</v>
      </c>
    </row>
    <row r="82" spans="1:7">
      <c r="A82">
        <v>202609</v>
      </c>
      <c r="B82" s="49" t="s">
        <v>595</v>
      </c>
      <c r="C82">
        <v>3900</v>
      </c>
      <c r="D82" s="49" t="s">
        <v>585</v>
      </c>
      <c r="E82" s="49" t="s">
        <v>586</v>
      </c>
      <c r="F82">
        <v>7.2320000000000002</v>
      </c>
      <c r="G82" s="49" t="s">
        <v>603</v>
      </c>
    </row>
    <row r="83" spans="1:7">
      <c r="A83">
        <v>202610</v>
      </c>
      <c r="B83" s="49" t="s">
        <v>584</v>
      </c>
      <c r="C83">
        <v>3900</v>
      </c>
      <c r="D83" s="49" t="s">
        <v>585</v>
      </c>
      <c r="E83" s="49" t="s">
        <v>604</v>
      </c>
      <c r="F83">
        <v>6.6959999999999997</v>
      </c>
      <c r="G83" s="49" t="s">
        <v>605</v>
      </c>
    </row>
    <row r="84" spans="1:7">
      <c r="A84">
        <v>202610</v>
      </c>
      <c r="B84" s="49" t="s">
        <v>588</v>
      </c>
      <c r="C84">
        <v>3900</v>
      </c>
      <c r="D84" s="49" t="s">
        <v>585</v>
      </c>
      <c r="E84" s="49" t="s">
        <v>604</v>
      </c>
      <c r="F84">
        <v>5.859</v>
      </c>
      <c r="G84" s="49" t="s">
        <v>605</v>
      </c>
    </row>
    <row r="85" spans="1:7">
      <c r="A85">
        <v>202610</v>
      </c>
      <c r="B85" s="49" t="s">
        <v>589</v>
      </c>
      <c r="C85">
        <v>3900</v>
      </c>
      <c r="D85" s="49" t="s">
        <v>585</v>
      </c>
      <c r="E85" s="49" t="s">
        <v>604</v>
      </c>
      <c r="F85">
        <v>6.6959999999999997</v>
      </c>
      <c r="G85" s="49" t="s">
        <v>605</v>
      </c>
    </row>
    <row r="86" spans="1:7">
      <c r="A86">
        <v>202610</v>
      </c>
      <c r="B86" s="49" t="s">
        <v>590</v>
      </c>
      <c r="C86">
        <v>3900</v>
      </c>
      <c r="D86" s="49" t="s">
        <v>585</v>
      </c>
      <c r="E86" s="49" t="s">
        <v>604</v>
      </c>
      <c r="F86">
        <v>1.4059999999999999</v>
      </c>
      <c r="G86" s="49" t="s">
        <v>605</v>
      </c>
    </row>
    <row r="87" spans="1:7">
      <c r="A87">
        <v>202610</v>
      </c>
      <c r="B87" s="49" t="s">
        <v>591</v>
      </c>
      <c r="C87">
        <v>3900</v>
      </c>
      <c r="D87" s="49" t="s">
        <v>585</v>
      </c>
      <c r="E87" s="49" t="s">
        <v>604</v>
      </c>
      <c r="F87">
        <v>27.888999999999999</v>
      </c>
      <c r="G87" s="49" t="s">
        <v>605</v>
      </c>
    </row>
    <row r="88" spans="1:7">
      <c r="A88">
        <v>202610</v>
      </c>
      <c r="B88" s="49" t="s">
        <v>592</v>
      </c>
      <c r="C88">
        <v>3900</v>
      </c>
      <c r="D88" s="49" t="s">
        <v>585</v>
      </c>
      <c r="E88" s="49" t="s">
        <v>604</v>
      </c>
      <c r="F88">
        <v>23.754000000000001</v>
      </c>
      <c r="G88" s="49" t="s">
        <v>605</v>
      </c>
    </row>
    <row r="89" spans="1:7">
      <c r="A89">
        <v>202610</v>
      </c>
      <c r="B89" s="49" t="s">
        <v>593</v>
      </c>
      <c r="C89">
        <v>3900</v>
      </c>
      <c r="D89" s="49" t="s">
        <v>585</v>
      </c>
      <c r="E89" s="49" t="s">
        <v>604</v>
      </c>
      <c r="F89">
        <v>13.425000000000001</v>
      </c>
      <c r="G89" s="49" t="s">
        <v>605</v>
      </c>
    </row>
    <row r="90" spans="1:7">
      <c r="A90">
        <v>202610</v>
      </c>
      <c r="B90" s="49" t="s">
        <v>594</v>
      </c>
      <c r="C90">
        <v>3900</v>
      </c>
      <c r="D90" s="49" t="s">
        <v>585</v>
      </c>
      <c r="E90" s="49" t="s">
        <v>604</v>
      </c>
      <c r="F90">
        <v>10.329000000000001</v>
      </c>
      <c r="G90" s="49" t="s">
        <v>605</v>
      </c>
    </row>
    <row r="91" spans="1:7">
      <c r="A91">
        <v>202610</v>
      </c>
      <c r="B91" s="49" t="s">
        <v>595</v>
      </c>
      <c r="C91">
        <v>3900</v>
      </c>
      <c r="D91" s="49" t="s">
        <v>585</v>
      </c>
      <c r="E91" s="49" t="s">
        <v>604</v>
      </c>
      <c r="F91">
        <v>7.2320000000000002</v>
      </c>
      <c r="G91" s="49" t="s">
        <v>605</v>
      </c>
    </row>
    <row r="92" spans="1:7">
      <c r="A92">
        <v>202611</v>
      </c>
      <c r="B92" s="49" t="s">
        <v>584</v>
      </c>
      <c r="C92">
        <v>3900</v>
      </c>
      <c r="D92" s="49" t="s">
        <v>585</v>
      </c>
      <c r="E92" s="49" t="s">
        <v>604</v>
      </c>
      <c r="F92">
        <v>6.6959999999999997</v>
      </c>
      <c r="G92" s="49" t="s">
        <v>606</v>
      </c>
    </row>
    <row r="93" spans="1:7">
      <c r="A93">
        <v>202611</v>
      </c>
      <c r="B93" s="49" t="s">
        <v>588</v>
      </c>
      <c r="C93">
        <v>3900</v>
      </c>
      <c r="D93" s="49" t="s">
        <v>585</v>
      </c>
      <c r="E93" s="49" t="s">
        <v>604</v>
      </c>
      <c r="F93">
        <v>5.859</v>
      </c>
      <c r="G93" s="49" t="s">
        <v>606</v>
      </c>
    </row>
    <row r="94" spans="1:7">
      <c r="A94">
        <v>202611</v>
      </c>
      <c r="B94" s="49" t="s">
        <v>589</v>
      </c>
      <c r="C94">
        <v>3900</v>
      </c>
      <c r="D94" s="49" t="s">
        <v>585</v>
      </c>
      <c r="E94" s="49" t="s">
        <v>604</v>
      </c>
      <c r="F94">
        <v>6.6959999999999997</v>
      </c>
      <c r="G94" s="49" t="s">
        <v>606</v>
      </c>
    </row>
    <row r="95" spans="1:7">
      <c r="A95">
        <v>202611</v>
      </c>
      <c r="B95" s="49" t="s">
        <v>590</v>
      </c>
      <c r="C95">
        <v>3900</v>
      </c>
      <c r="D95" s="49" t="s">
        <v>585</v>
      </c>
      <c r="E95" s="49" t="s">
        <v>604</v>
      </c>
      <c r="F95">
        <v>1.4059999999999999</v>
      </c>
      <c r="G95" s="49" t="s">
        <v>606</v>
      </c>
    </row>
    <row r="96" spans="1:7">
      <c r="A96">
        <v>202611</v>
      </c>
      <c r="B96" s="49" t="s">
        <v>591</v>
      </c>
      <c r="C96">
        <v>3900</v>
      </c>
      <c r="D96" s="49" t="s">
        <v>585</v>
      </c>
      <c r="E96" s="49" t="s">
        <v>604</v>
      </c>
      <c r="F96">
        <v>27.888999999999999</v>
      </c>
      <c r="G96" s="49" t="s">
        <v>606</v>
      </c>
    </row>
    <row r="97" spans="1:7">
      <c r="A97">
        <v>202611</v>
      </c>
      <c r="B97" s="49" t="s">
        <v>592</v>
      </c>
      <c r="C97">
        <v>3900</v>
      </c>
      <c r="D97" s="49" t="s">
        <v>585</v>
      </c>
      <c r="E97" s="49" t="s">
        <v>604</v>
      </c>
      <c r="F97">
        <v>23.754000000000001</v>
      </c>
      <c r="G97" s="49" t="s">
        <v>606</v>
      </c>
    </row>
    <row r="98" spans="1:7">
      <c r="A98">
        <v>202611</v>
      </c>
      <c r="B98" s="49" t="s">
        <v>593</v>
      </c>
      <c r="C98">
        <v>3900</v>
      </c>
      <c r="D98" s="49" t="s">
        <v>585</v>
      </c>
      <c r="E98" s="49" t="s">
        <v>604</v>
      </c>
      <c r="F98">
        <v>13.425000000000001</v>
      </c>
      <c r="G98" s="49" t="s">
        <v>606</v>
      </c>
    </row>
    <row r="99" spans="1:7">
      <c r="A99">
        <v>202611</v>
      </c>
      <c r="B99" s="49" t="s">
        <v>594</v>
      </c>
      <c r="C99">
        <v>3900</v>
      </c>
      <c r="D99" s="49" t="s">
        <v>585</v>
      </c>
      <c r="E99" s="49" t="s">
        <v>604</v>
      </c>
      <c r="F99">
        <v>10.329000000000001</v>
      </c>
      <c r="G99" s="49" t="s">
        <v>606</v>
      </c>
    </row>
    <row r="100" spans="1:7">
      <c r="A100">
        <v>202611</v>
      </c>
      <c r="B100" s="49" t="s">
        <v>595</v>
      </c>
      <c r="C100">
        <v>3900</v>
      </c>
      <c r="D100" s="49" t="s">
        <v>585</v>
      </c>
      <c r="E100" s="49" t="s">
        <v>604</v>
      </c>
      <c r="F100">
        <v>7.2320000000000002</v>
      </c>
      <c r="G100" s="49" t="s">
        <v>606</v>
      </c>
    </row>
    <row r="101" spans="1:7">
      <c r="A101">
        <v>202612</v>
      </c>
      <c r="B101" s="49" t="s">
        <v>584</v>
      </c>
      <c r="C101">
        <v>3900</v>
      </c>
      <c r="D101" s="49" t="s">
        <v>585</v>
      </c>
      <c r="E101" s="49" t="s">
        <v>604</v>
      </c>
      <c r="F101">
        <v>6.6959999999999997</v>
      </c>
      <c r="G101" s="49" t="s">
        <v>607</v>
      </c>
    </row>
    <row r="102" spans="1:7">
      <c r="A102">
        <v>202612</v>
      </c>
      <c r="B102" s="49" t="s">
        <v>588</v>
      </c>
      <c r="C102">
        <v>3900</v>
      </c>
      <c r="D102" s="49" t="s">
        <v>585</v>
      </c>
      <c r="E102" s="49" t="s">
        <v>604</v>
      </c>
      <c r="F102">
        <v>5.859</v>
      </c>
      <c r="G102" s="49" t="s">
        <v>607</v>
      </c>
    </row>
    <row r="103" spans="1:7">
      <c r="A103">
        <v>202612</v>
      </c>
      <c r="B103" s="49" t="s">
        <v>589</v>
      </c>
      <c r="C103">
        <v>3900</v>
      </c>
      <c r="D103" s="49" t="s">
        <v>585</v>
      </c>
      <c r="E103" s="49" t="s">
        <v>604</v>
      </c>
      <c r="F103">
        <v>6.6959999999999997</v>
      </c>
      <c r="G103" s="49" t="s">
        <v>607</v>
      </c>
    </row>
    <row r="104" spans="1:7">
      <c r="A104">
        <v>202612</v>
      </c>
      <c r="B104" s="49" t="s">
        <v>590</v>
      </c>
      <c r="C104">
        <v>3900</v>
      </c>
      <c r="D104" s="49" t="s">
        <v>585</v>
      </c>
      <c r="E104" s="49" t="s">
        <v>604</v>
      </c>
      <c r="F104">
        <v>1.4059999999999999</v>
      </c>
      <c r="G104" s="49" t="s">
        <v>607</v>
      </c>
    </row>
    <row r="105" spans="1:7">
      <c r="A105">
        <v>202612</v>
      </c>
      <c r="B105" s="49" t="s">
        <v>591</v>
      </c>
      <c r="C105">
        <v>3900</v>
      </c>
      <c r="D105" s="49" t="s">
        <v>585</v>
      </c>
      <c r="E105" s="49" t="s">
        <v>604</v>
      </c>
      <c r="F105">
        <v>27.888999999999999</v>
      </c>
      <c r="G105" s="49" t="s">
        <v>607</v>
      </c>
    </row>
    <row r="106" spans="1:7">
      <c r="A106">
        <v>202612</v>
      </c>
      <c r="B106" s="49" t="s">
        <v>592</v>
      </c>
      <c r="C106">
        <v>3900</v>
      </c>
      <c r="D106" s="49" t="s">
        <v>585</v>
      </c>
      <c r="E106" s="49" t="s">
        <v>604</v>
      </c>
      <c r="F106">
        <v>23.754000000000001</v>
      </c>
      <c r="G106" s="49" t="s">
        <v>607</v>
      </c>
    </row>
    <row r="107" spans="1:7">
      <c r="A107">
        <v>202612</v>
      </c>
      <c r="B107" s="49" t="s">
        <v>593</v>
      </c>
      <c r="C107">
        <v>3900</v>
      </c>
      <c r="D107" s="49" t="s">
        <v>585</v>
      </c>
      <c r="E107" s="49" t="s">
        <v>604</v>
      </c>
      <c r="F107">
        <v>13.425000000000001</v>
      </c>
      <c r="G107" s="49" t="s">
        <v>607</v>
      </c>
    </row>
    <row r="108" spans="1:7">
      <c r="A108">
        <v>202612</v>
      </c>
      <c r="B108" s="49" t="s">
        <v>594</v>
      </c>
      <c r="C108">
        <v>3900</v>
      </c>
      <c r="D108" s="49" t="s">
        <v>585</v>
      </c>
      <c r="E108" s="49" t="s">
        <v>604</v>
      </c>
      <c r="F108">
        <v>10.329000000000001</v>
      </c>
      <c r="G108" s="49" t="s">
        <v>607</v>
      </c>
    </row>
    <row r="109" spans="1:7">
      <c r="A109">
        <v>202612</v>
      </c>
      <c r="B109" s="49" t="s">
        <v>595</v>
      </c>
      <c r="C109">
        <v>3900</v>
      </c>
      <c r="D109" s="49" t="s">
        <v>585</v>
      </c>
      <c r="E109" s="49" t="s">
        <v>604</v>
      </c>
      <c r="F109">
        <v>7.2320000000000002</v>
      </c>
      <c r="G109" s="49" t="s">
        <v>607</v>
      </c>
    </row>
    <row r="110" spans="1:7">
      <c r="A110">
        <v>202601</v>
      </c>
      <c r="B110" s="49" t="s">
        <v>584</v>
      </c>
      <c r="C110">
        <v>5000</v>
      </c>
      <c r="D110" s="49" t="s">
        <v>585</v>
      </c>
      <c r="E110" s="49" t="s">
        <v>586</v>
      </c>
      <c r="F110">
        <v>4.7149999999999999</v>
      </c>
      <c r="G110" s="49" t="s">
        <v>608</v>
      </c>
    </row>
    <row r="111" spans="1:7">
      <c r="A111">
        <v>202601</v>
      </c>
      <c r="B111" s="49" t="s">
        <v>588</v>
      </c>
      <c r="C111">
        <v>5000</v>
      </c>
      <c r="D111" s="49" t="s">
        <v>585</v>
      </c>
      <c r="E111" s="49" t="s">
        <v>586</v>
      </c>
      <c r="F111">
        <v>4.0650000000000004</v>
      </c>
      <c r="G111" s="49" t="s">
        <v>608</v>
      </c>
    </row>
    <row r="112" spans="1:7">
      <c r="A112">
        <v>202601</v>
      </c>
      <c r="B112" s="49" t="s">
        <v>589</v>
      </c>
      <c r="C112">
        <v>5000</v>
      </c>
      <c r="D112" s="49" t="s">
        <v>585</v>
      </c>
      <c r="E112" s="49" t="s">
        <v>586</v>
      </c>
      <c r="F112">
        <v>4.7149999999999999</v>
      </c>
      <c r="G112" s="49" t="s">
        <v>608</v>
      </c>
    </row>
    <row r="113" spans="1:7">
      <c r="A113">
        <v>202601</v>
      </c>
      <c r="B113" s="49" t="s">
        <v>590</v>
      </c>
      <c r="C113">
        <v>5000</v>
      </c>
      <c r="D113" s="49" t="s">
        <v>585</v>
      </c>
      <c r="E113" s="49" t="s">
        <v>586</v>
      </c>
      <c r="F113">
        <v>1.089</v>
      </c>
      <c r="G113" s="49" t="s">
        <v>608</v>
      </c>
    </row>
    <row r="114" spans="1:7">
      <c r="A114">
        <v>202601</v>
      </c>
      <c r="B114" s="49" t="s">
        <v>591</v>
      </c>
      <c r="C114">
        <v>5000</v>
      </c>
      <c r="D114" s="49" t="s">
        <v>585</v>
      </c>
      <c r="E114" s="49" t="s">
        <v>586</v>
      </c>
      <c r="F114">
        <v>20.722999999999999</v>
      </c>
      <c r="G114" s="49" t="s">
        <v>608</v>
      </c>
    </row>
    <row r="115" spans="1:7">
      <c r="A115">
        <v>202601</v>
      </c>
      <c r="B115" s="49" t="s">
        <v>592</v>
      </c>
      <c r="C115">
        <v>5000</v>
      </c>
      <c r="D115" s="49" t="s">
        <v>585</v>
      </c>
      <c r="E115" s="49" t="s">
        <v>586</v>
      </c>
      <c r="F115">
        <v>17.649999999999999</v>
      </c>
      <c r="G115" s="49" t="s">
        <v>608</v>
      </c>
    </row>
    <row r="116" spans="1:7">
      <c r="A116">
        <v>202601</v>
      </c>
      <c r="B116" s="49" t="s">
        <v>593</v>
      </c>
      <c r="C116">
        <v>5000</v>
      </c>
      <c r="D116" s="49" t="s">
        <v>585</v>
      </c>
      <c r="E116" s="49" t="s">
        <v>586</v>
      </c>
      <c r="F116">
        <v>9.9760000000000009</v>
      </c>
      <c r="G116" s="49" t="s">
        <v>608</v>
      </c>
    </row>
    <row r="117" spans="1:7">
      <c r="A117">
        <v>202601</v>
      </c>
      <c r="B117" s="49" t="s">
        <v>594</v>
      </c>
      <c r="C117">
        <v>5000</v>
      </c>
      <c r="D117" s="49" t="s">
        <v>585</v>
      </c>
      <c r="E117" s="49" t="s">
        <v>586</v>
      </c>
      <c r="F117">
        <v>7.6749999999999998</v>
      </c>
      <c r="G117" s="49" t="s">
        <v>608</v>
      </c>
    </row>
    <row r="118" spans="1:7">
      <c r="A118">
        <v>202601</v>
      </c>
      <c r="B118" s="49" t="s">
        <v>595</v>
      </c>
      <c r="C118">
        <v>5000</v>
      </c>
      <c r="D118" s="49" t="s">
        <v>585</v>
      </c>
      <c r="E118" s="49" t="s">
        <v>586</v>
      </c>
      <c r="F118">
        <v>6.1379999999999999</v>
      </c>
      <c r="G118" s="49" t="s">
        <v>608</v>
      </c>
    </row>
    <row r="119" spans="1:7">
      <c r="A119">
        <v>202602</v>
      </c>
      <c r="B119" s="49" t="s">
        <v>584</v>
      </c>
      <c r="C119">
        <v>5000</v>
      </c>
      <c r="D119" s="49" t="s">
        <v>585</v>
      </c>
      <c r="E119" s="49" t="s">
        <v>586</v>
      </c>
      <c r="F119">
        <v>4.7149999999999999</v>
      </c>
      <c r="G119" s="49" t="s">
        <v>609</v>
      </c>
    </row>
    <row r="120" spans="1:7">
      <c r="A120">
        <v>202602</v>
      </c>
      <c r="B120" s="49" t="s">
        <v>588</v>
      </c>
      <c r="C120">
        <v>5000</v>
      </c>
      <c r="D120" s="49" t="s">
        <v>585</v>
      </c>
      <c r="E120" s="49" t="s">
        <v>586</v>
      </c>
      <c r="F120">
        <v>4.0650000000000004</v>
      </c>
      <c r="G120" s="49" t="s">
        <v>609</v>
      </c>
    </row>
    <row r="121" spans="1:7">
      <c r="A121">
        <v>202602</v>
      </c>
      <c r="B121" s="49" t="s">
        <v>589</v>
      </c>
      <c r="C121">
        <v>5000</v>
      </c>
      <c r="D121" s="49" t="s">
        <v>585</v>
      </c>
      <c r="E121" s="49" t="s">
        <v>586</v>
      </c>
      <c r="F121">
        <v>4.7149999999999999</v>
      </c>
      <c r="G121" s="49" t="s">
        <v>609</v>
      </c>
    </row>
    <row r="122" spans="1:7">
      <c r="A122">
        <v>202602</v>
      </c>
      <c r="B122" s="49" t="s">
        <v>590</v>
      </c>
      <c r="C122">
        <v>5000</v>
      </c>
      <c r="D122" s="49" t="s">
        <v>585</v>
      </c>
      <c r="E122" s="49" t="s">
        <v>586</v>
      </c>
      <c r="F122">
        <v>1.089</v>
      </c>
      <c r="G122" s="49" t="s">
        <v>609</v>
      </c>
    </row>
    <row r="123" spans="1:7">
      <c r="A123">
        <v>202602</v>
      </c>
      <c r="B123" s="49" t="s">
        <v>591</v>
      </c>
      <c r="C123">
        <v>5000</v>
      </c>
      <c r="D123" s="49" t="s">
        <v>585</v>
      </c>
      <c r="E123" s="49" t="s">
        <v>586</v>
      </c>
      <c r="F123">
        <v>20.722999999999999</v>
      </c>
      <c r="G123" s="49" t="s">
        <v>609</v>
      </c>
    </row>
    <row r="124" spans="1:7">
      <c r="A124">
        <v>202602</v>
      </c>
      <c r="B124" s="49" t="s">
        <v>592</v>
      </c>
      <c r="C124">
        <v>5000</v>
      </c>
      <c r="D124" s="49" t="s">
        <v>585</v>
      </c>
      <c r="E124" s="49" t="s">
        <v>586</v>
      </c>
      <c r="F124">
        <v>17.649999999999999</v>
      </c>
      <c r="G124" s="49" t="s">
        <v>609</v>
      </c>
    </row>
    <row r="125" spans="1:7">
      <c r="A125">
        <v>202602</v>
      </c>
      <c r="B125" s="49" t="s">
        <v>593</v>
      </c>
      <c r="C125">
        <v>5000</v>
      </c>
      <c r="D125" s="49" t="s">
        <v>585</v>
      </c>
      <c r="E125" s="49" t="s">
        <v>586</v>
      </c>
      <c r="F125">
        <v>9.9760000000000009</v>
      </c>
      <c r="G125" s="49" t="s">
        <v>609</v>
      </c>
    </row>
    <row r="126" spans="1:7">
      <c r="A126">
        <v>202602</v>
      </c>
      <c r="B126" s="49" t="s">
        <v>594</v>
      </c>
      <c r="C126">
        <v>5000</v>
      </c>
      <c r="D126" s="49" t="s">
        <v>585</v>
      </c>
      <c r="E126" s="49" t="s">
        <v>586</v>
      </c>
      <c r="F126">
        <v>7.6749999999999998</v>
      </c>
      <c r="G126" s="49" t="s">
        <v>609</v>
      </c>
    </row>
    <row r="127" spans="1:7">
      <c r="A127">
        <v>202602</v>
      </c>
      <c r="B127" s="49" t="s">
        <v>595</v>
      </c>
      <c r="C127">
        <v>5000</v>
      </c>
      <c r="D127" s="49" t="s">
        <v>585</v>
      </c>
      <c r="E127" s="49" t="s">
        <v>586</v>
      </c>
      <c r="F127">
        <v>6.1379999999999999</v>
      </c>
      <c r="G127" s="49" t="s">
        <v>609</v>
      </c>
    </row>
    <row r="128" spans="1:7">
      <c r="A128">
        <v>202603</v>
      </c>
      <c r="B128" s="49" t="s">
        <v>584</v>
      </c>
      <c r="C128">
        <v>5000</v>
      </c>
      <c r="D128" s="49" t="s">
        <v>585</v>
      </c>
      <c r="E128" s="49" t="s">
        <v>586</v>
      </c>
      <c r="F128">
        <v>4.7149999999999999</v>
      </c>
      <c r="G128" s="49" t="s">
        <v>610</v>
      </c>
    </row>
    <row r="129" spans="1:7">
      <c r="A129">
        <v>202603</v>
      </c>
      <c r="B129" s="49" t="s">
        <v>588</v>
      </c>
      <c r="C129">
        <v>5000</v>
      </c>
      <c r="D129" s="49" t="s">
        <v>585</v>
      </c>
      <c r="E129" s="49" t="s">
        <v>586</v>
      </c>
      <c r="F129">
        <v>4.0650000000000004</v>
      </c>
      <c r="G129" s="49" t="s">
        <v>610</v>
      </c>
    </row>
    <row r="130" spans="1:7">
      <c r="A130">
        <v>202603</v>
      </c>
      <c r="B130" s="49" t="s">
        <v>589</v>
      </c>
      <c r="C130">
        <v>5000</v>
      </c>
      <c r="D130" s="49" t="s">
        <v>585</v>
      </c>
      <c r="E130" s="49" t="s">
        <v>586</v>
      </c>
      <c r="F130">
        <v>4.7149999999999999</v>
      </c>
      <c r="G130" s="49" t="s">
        <v>610</v>
      </c>
    </row>
    <row r="131" spans="1:7">
      <c r="A131">
        <v>202603</v>
      </c>
      <c r="B131" s="49" t="s">
        <v>590</v>
      </c>
      <c r="C131">
        <v>5000</v>
      </c>
      <c r="D131" s="49" t="s">
        <v>585</v>
      </c>
      <c r="E131" s="49" t="s">
        <v>586</v>
      </c>
      <c r="F131">
        <v>1.089</v>
      </c>
      <c r="G131" s="49" t="s">
        <v>610</v>
      </c>
    </row>
    <row r="132" spans="1:7">
      <c r="A132">
        <v>202603</v>
      </c>
      <c r="B132" s="49" t="s">
        <v>591</v>
      </c>
      <c r="C132">
        <v>5000</v>
      </c>
      <c r="D132" s="49" t="s">
        <v>585</v>
      </c>
      <c r="E132" s="49" t="s">
        <v>586</v>
      </c>
      <c r="F132">
        <v>20.722999999999999</v>
      </c>
      <c r="G132" s="49" t="s">
        <v>610</v>
      </c>
    </row>
    <row r="133" spans="1:7">
      <c r="A133">
        <v>202603</v>
      </c>
      <c r="B133" s="49" t="s">
        <v>592</v>
      </c>
      <c r="C133">
        <v>5000</v>
      </c>
      <c r="D133" s="49" t="s">
        <v>585</v>
      </c>
      <c r="E133" s="49" t="s">
        <v>586</v>
      </c>
      <c r="F133">
        <v>17.649999999999999</v>
      </c>
      <c r="G133" s="49" t="s">
        <v>610</v>
      </c>
    </row>
    <row r="134" spans="1:7">
      <c r="A134">
        <v>202603</v>
      </c>
      <c r="B134" s="49" t="s">
        <v>593</v>
      </c>
      <c r="C134">
        <v>5000</v>
      </c>
      <c r="D134" s="49" t="s">
        <v>585</v>
      </c>
      <c r="E134" s="49" t="s">
        <v>586</v>
      </c>
      <c r="F134">
        <v>9.9760000000000009</v>
      </c>
      <c r="G134" s="49" t="s">
        <v>610</v>
      </c>
    </row>
    <row r="135" spans="1:7">
      <c r="A135">
        <v>202603</v>
      </c>
      <c r="B135" s="49" t="s">
        <v>594</v>
      </c>
      <c r="C135">
        <v>5000</v>
      </c>
      <c r="D135" s="49" t="s">
        <v>585</v>
      </c>
      <c r="E135" s="49" t="s">
        <v>586</v>
      </c>
      <c r="F135">
        <v>7.6749999999999998</v>
      </c>
      <c r="G135" s="49" t="s">
        <v>610</v>
      </c>
    </row>
    <row r="136" spans="1:7">
      <c r="A136">
        <v>202603</v>
      </c>
      <c r="B136" s="49" t="s">
        <v>595</v>
      </c>
      <c r="C136">
        <v>5000</v>
      </c>
      <c r="D136" s="49" t="s">
        <v>585</v>
      </c>
      <c r="E136" s="49" t="s">
        <v>586</v>
      </c>
      <c r="F136">
        <v>6.1379999999999999</v>
      </c>
      <c r="G136" s="49" t="s">
        <v>610</v>
      </c>
    </row>
    <row r="137" spans="1:7">
      <c r="A137">
        <v>202604</v>
      </c>
      <c r="B137" s="49" t="s">
        <v>584</v>
      </c>
      <c r="C137">
        <v>5000</v>
      </c>
      <c r="D137" s="49" t="s">
        <v>585</v>
      </c>
      <c r="E137" s="49" t="s">
        <v>586</v>
      </c>
      <c r="F137">
        <v>4.7149999999999999</v>
      </c>
      <c r="G137" s="49" t="s">
        <v>611</v>
      </c>
    </row>
    <row r="138" spans="1:7">
      <c r="A138">
        <v>202604</v>
      </c>
      <c r="B138" s="49" t="s">
        <v>588</v>
      </c>
      <c r="C138">
        <v>5000</v>
      </c>
      <c r="D138" s="49" t="s">
        <v>585</v>
      </c>
      <c r="E138" s="49" t="s">
        <v>586</v>
      </c>
      <c r="F138">
        <v>4.0650000000000004</v>
      </c>
      <c r="G138" s="49" t="s">
        <v>611</v>
      </c>
    </row>
    <row r="139" spans="1:7">
      <c r="A139">
        <v>202604</v>
      </c>
      <c r="B139" s="49" t="s">
        <v>589</v>
      </c>
      <c r="C139">
        <v>5000</v>
      </c>
      <c r="D139" s="49" t="s">
        <v>585</v>
      </c>
      <c r="E139" s="49" t="s">
        <v>586</v>
      </c>
      <c r="F139">
        <v>4.7149999999999999</v>
      </c>
      <c r="G139" s="49" t="s">
        <v>611</v>
      </c>
    </row>
    <row r="140" spans="1:7">
      <c r="A140">
        <v>202604</v>
      </c>
      <c r="B140" s="49" t="s">
        <v>590</v>
      </c>
      <c r="C140">
        <v>5000</v>
      </c>
      <c r="D140" s="49" t="s">
        <v>585</v>
      </c>
      <c r="E140" s="49" t="s">
        <v>586</v>
      </c>
      <c r="F140">
        <v>1.089</v>
      </c>
      <c r="G140" s="49" t="s">
        <v>611</v>
      </c>
    </row>
    <row r="141" spans="1:7">
      <c r="A141">
        <v>202604</v>
      </c>
      <c r="B141" s="49" t="s">
        <v>591</v>
      </c>
      <c r="C141">
        <v>5000</v>
      </c>
      <c r="D141" s="49" t="s">
        <v>585</v>
      </c>
      <c r="E141" s="49" t="s">
        <v>586</v>
      </c>
      <c r="F141">
        <v>20.722999999999999</v>
      </c>
      <c r="G141" s="49" t="s">
        <v>611</v>
      </c>
    </row>
    <row r="142" spans="1:7">
      <c r="A142">
        <v>202604</v>
      </c>
      <c r="B142" s="49" t="s">
        <v>592</v>
      </c>
      <c r="C142">
        <v>5000</v>
      </c>
      <c r="D142" s="49" t="s">
        <v>585</v>
      </c>
      <c r="E142" s="49" t="s">
        <v>586</v>
      </c>
      <c r="F142">
        <v>17.649999999999999</v>
      </c>
      <c r="G142" s="49" t="s">
        <v>611</v>
      </c>
    </row>
    <row r="143" spans="1:7">
      <c r="A143">
        <v>202604</v>
      </c>
      <c r="B143" s="49" t="s">
        <v>593</v>
      </c>
      <c r="C143">
        <v>5000</v>
      </c>
      <c r="D143" s="49" t="s">
        <v>585</v>
      </c>
      <c r="E143" s="49" t="s">
        <v>586</v>
      </c>
      <c r="F143">
        <v>9.9760000000000009</v>
      </c>
      <c r="G143" s="49" t="s">
        <v>611</v>
      </c>
    </row>
    <row r="144" spans="1:7">
      <c r="A144">
        <v>202604</v>
      </c>
      <c r="B144" s="49" t="s">
        <v>594</v>
      </c>
      <c r="C144">
        <v>5000</v>
      </c>
      <c r="D144" s="49" t="s">
        <v>585</v>
      </c>
      <c r="E144" s="49" t="s">
        <v>586</v>
      </c>
      <c r="F144">
        <v>7.6749999999999998</v>
      </c>
      <c r="G144" s="49" t="s">
        <v>611</v>
      </c>
    </row>
    <row r="145" spans="1:7">
      <c r="A145">
        <v>202604</v>
      </c>
      <c r="B145" s="49" t="s">
        <v>595</v>
      </c>
      <c r="C145">
        <v>5000</v>
      </c>
      <c r="D145" s="49" t="s">
        <v>585</v>
      </c>
      <c r="E145" s="49" t="s">
        <v>586</v>
      </c>
      <c r="F145">
        <v>6.1379999999999999</v>
      </c>
      <c r="G145" s="49" t="s">
        <v>611</v>
      </c>
    </row>
    <row r="146" spans="1:7">
      <c r="A146">
        <v>202605</v>
      </c>
      <c r="B146" s="49" t="s">
        <v>584</v>
      </c>
      <c r="C146">
        <v>5000</v>
      </c>
      <c r="D146" s="49" t="s">
        <v>585</v>
      </c>
      <c r="E146" s="49" t="s">
        <v>586</v>
      </c>
      <c r="F146">
        <v>4.7149999999999999</v>
      </c>
      <c r="G146" s="49" t="s">
        <v>612</v>
      </c>
    </row>
    <row r="147" spans="1:7">
      <c r="A147">
        <v>202605</v>
      </c>
      <c r="B147" s="49" t="s">
        <v>588</v>
      </c>
      <c r="C147">
        <v>5000</v>
      </c>
      <c r="D147" s="49" t="s">
        <v>585</v>
      </c>
      <c r="E147" s="49" t="s">
        <v>586</v>
      </c>
      <c r="F147">
        <v>4.0650000000000004</v>
      </c>
      <c r="G147" s="49" t="s">
        <v>612</v>
      </c>
    </row>
    <row r="148" spans="1:7">
      <c r="A148">
        <v>202605</v>
      </c>
      <c r="B148" s="49" t="s">
        <v>589</v>
      </c>
      <c r="C148">
        <v>5000</v>
      </c>
      <c r="D148" s="49" t="s">
        <v>585</v>
      </c>
      <c r="E148" s="49" t="s">
        <v>586</v>
      </c>
      <c r="F148">
        <v>4.7149999999999999</v>
      </c>
      <c r="G148" s="49" t="s">
        <v>612</v>
      </c>
    </row>
    <row r="149" spans="1:7">
      <c r="A149">
        <v>202605</v>
      </c>
      <c r="B149" s="49" t="s">
        <v>590</v>
      </c>
      <c r="C149">
        <v>5000</v>
      </c>
      <c r="D149" s="49" t="s">
        <v>585</v>
      </c>
      <c r="E149" s="49" t="s">
        <v>586</v>
      </c>
      <c r="F149">
        <v>1.089</v>
      </c>
      <c r="G149" s="49" t="s">
        <v>612</v>
      </c>
    </row>
    <row r="150" spans="1:7">
      <c r="A150">
        <v>202605</v>
      </c>
      <c r="B150" s="49" t="s">
        <v>591</v>
      </c>
      <c r="C150">
        <v>5000</v>
      </c>
      <c r="D150" s="49" t="s">
        <v>585</v>
      </c>
      <c r="E150" s="49" t="s">
        <v>586</v>
      </c>
      <c r="F150">
        <v>20.722999999999999</v>
      </c>
      <c r="G150" s="49" t="s">
        <v>612</v>
      </c>
    </row>
    <row r="151" spans="1:7">
      <c r="A151">
        <v>202605</v>
      </c>
      <c r="B151" s="49" t="s">
        <v>592</v>
      </c>
      <c r="C151">
        <v>5000</v>
      </c>
      <c r="D151" s="49" t="s">
        <v>585</v>
      </c>
      <c r="E151" s="49" t="s">
        <v>586</v>
      </c>
      <c r="F151">
        <v>17.649999999999999</v>
      </c>
      <c r="G151" s="49" t="s">
        <v>612</v>
      </c>
    </row>
    <row r="152" spans="1:7">
      <c r="A152">
        <v>202605</v>
      </c>
      <c r="B152" s="49" t="s">
        <v>593</v>
      </c>
      <c r="C152">
        <v>5000</v>
      </c>
      <c r="D152" s="49" t="s">
        <v>585</v>
      </c>
      <c r="E152" s="49" t="s">
        <v>586</v>
      </c>
      <c r="F152">
        <v>9.9760000000000009</v>
      </c>
      <c r="G152" s="49" t="s">
        <v>612</v>
      </c>
    </row>
    <row r="153" spans="1:7">
      <c r="A153">
        <v>202605</v>
      </c>
      <c r="B153" s="49" t="s">
        <v>594</v>
      </c>
      <c r="C153">
        <v>5000</v>
      </c>
      <c r="D153" s="49" t="s">
        <v>585</v>
      </c>
      <c r="E153" s="49" t="s">
        <v>586</v>
      </c>
      <c r="F153">
        <v>7.6749999999999998</v>
      </c>
      <c r="G153" s="49" t="s">
        <v>612</v>
      </c>
    </row>
    <row r="154" spans="1:7">
      <c r="A154">
        <v>202605</v>
      </c>
      <c r="B154" s="49" t="s">
        <v>595</v>
      </c>
      <c r="C154">
        <v>5000</v>
      </c>
      <c r="D154" s="49" t="s">
        <v>585</v>
      </c>
      <c r="E154" s="49" t="s">
        <v>586</v>
      </c>
      <c r="F154">
        <v>6.1379999999999999</v>
      </c>
      <c r="G154" s="49" t="s">
        <v>612</v>
      </c>
    </row>
    <row r="155" spans="1:7">
      <c r="A155">
        <v>202606</v>
      </c>
      <c r="B155" s="49" t="s">
        <v>584</v>
      </c>
      <c r="C155">
        <v>5000</v>
      </c>
      <c r="D155" s="49" t="s">
        <v>585</v>
      </c>
      <c r="E155" s="49" t="s">
        <v>586</v>
      </c>
      <c r="F155">
        <v>7.1340000000000003</v>
      </c>
      <c r="G155" s="49" t="s">
        <v>613</v>
      </c>
    </row>
    <row r="156" spans="1:7">
      <c r="A156">
        <v>202606</v>
      </c>
      <c r="B156" s="49" t="s">
        <v>588</v>
      </c>
      <c r="C156">
        <v>5000</v>
      </c>
      <c r="D156" s="49" t="s">
        <v>585</v>
      </c>
      <c r="E156" s="49" t="s">
        <v>586</v>
      </c>
      <c r="F156">
        <v>6.15</v>
      </c>
      <c r="G156" s="49" t="s">
        <v>613</v>
      </c>
    </row>
    <row r="157" spans="1:7">
      <c r="A157">
        <v>202606</v>
      </c>
      <c r="B157" s="49" t="s">
        <v>589</v>
      </c>
      <c r="C157">
        <v>5000</v>
      </c>
      <c r="D157" s="49" t="s">
        <v>585</v>
      </c>
      <c r="E157" s="49" t="s">
        <v>586</v>
      </c>
      <c r="F157">
        <v>7.1340000000000003</v>
      </c>
      <c r="G157" s="49" t="s">
        <v>613</v>
      </c>
    </row>
    <row r="158" spans="1:7">
      <c r="A158">
        <v>202606</v>
      </c>
      <c r="B158" s="49" t="s">
        <v>590</v>
      </c>
      <c r="C158">
        <v>5000</v>
      </c>
      <c r="D158" s="49" t="s">
        <v>585</v>
      </c>
      <c r="E158" s="49" t="s">
        <v>586</v>
      </c>
      <c r="F158">
        <v>1.6479999999999999</v>
      </c>
      <c r="G158" s="49" t="s">
        <v>613</v>
      </c>
    </row>
    <row r="159" spans="1:7">
      <c r="A159">
        <v>202606</v>
      </c>
      <c r="B159" s="49" t="s">
        <v>591</v>
      </c>
      <c r="C159">
        <v>5000</v>
      </c>
      <c r="D159" s="49" t="s">
        <v>585</v>
      </c>
      <c r="E159" s="49" t="s">
        <v>586</v>
      </c>
      <c r="F159">
        <v>31.353000000000002</v>
      </c>
      <c r="G159" s="49" t="s">
        <v>613</v>
      </c>
    </row>
    <row r="160" spans="1:7">
      <c r="A160">
        <v>202606</v>
      </c>
      <c r="B160" s="49" t="s">
        <v>592</v>
      </c>
      <c r="C160">
        <v>5000</v>
      </c>
      <c r="D160" s="49" t="s">
        <v>585</v>
      </c>
      <c r="E160" s="49" t="s">
        <v>586</v>
      </c>
      <c r="F160">
        <v>26.702999999999999</v>
      </c>
      <c r="G160" s="49" t="s">
        <v>613</v>
      </c>
    </row>
    <row r="161" spans="1:7">
      <c r="A161">
        <v>202606</v>
      </c>
      <c r="B161" s="49" t="s">
        <v>593</v>
      </c>
      <c r="C161">
        <v>5000</v>
      </c>
      <c r="D161" s="49" t="s">
        <v>585</v>
      </c>
      <c r="E161" s="49" t="s">
        <v>586</v>
      </c>
      <c r="F161">
        <v>15.092000000000001</v>
      </c>
      <c r="G161" s="49" t="s">
        <v>613</v>
      </c>
    </row>
    <row r="162" spans="1:7">
      <c r="A162">
        <v>202606</v>
      </c>
      <c r="B162" s="49" t="s">
        <v>594</v>
      </c>
      <c r="C162">
        <v>5000</v>
      </c>
      <c r="D162" s="49" t="s">
        <v>585</v>
      </c>
      <c r="E162" s="49" t="s">
        <v>586</v>
      </c>
      <c r="F162">
        <v>11.611000000000001</v>
      </c>
      <c r="G162" s="49" t="s">
        <v>613</v>
      </c>
    </row>
    <row r="163" spans="1:7">
      <c r="A163">
        <v>202606</v>
      </c>
      <c r="B163" s="49" t="s">
        <v>595</v>
      </c>
      <c r="C163">
        <v>5000</v>
      </c>
      <c r="D163" s="49" t="s">
        <v>585</v>
      </c>
      <c r="E163" s="49" t="s">
        <v>586</v>
      </c>
      <c r="F163">
        <v>9.2870000000000008</v>
      </c>
      <c r="G163" s="49" t="s">
        <v>613</v>
      </c>
    </row>
    <row r="164" spans="1:7">
      <c r="A164">
        <v>202607</v>
      </c>
      <c r="B164" s="49" t="s">
        <v>584</v>
      </c>
      <c r="C164">
        <v>5000</v>
      </c>
      <c r="D164" s="49" t="s">
        <v>585</v>
      </c>
      <c r="E164" s="49" t="s">
        <v>586</v>
      </c>
      <c r="F164">
        <v>3.7120000000000002</v>
      </c>
      <c r="G164" s="49" t="s">
        <v>614</v>
      </c>
    </row>
    <row r="165" spans="1:7">
      <c r="A165">
        <v>202607</v>
      </c>
      <c r="B165" s="49" t="s">
        <v>588</v>
      </c>
      <c r="C165">
        <v>5000</v>
      </c>
      <c r="D165" s="49" t="s">
        <v>585</v>
      </c>
      <c r="E165" s="49" t="s">
        <v>586</v>
      </c>
      <c r="F165">
        <v>3.2</v>
      </c>
      <c r="G165" s="49" t="s">
        <v>614</v>
      </c>
    </row>
    <row r="166" spans="1:7">
      <c r="A166">
        <v>202607</v>
      </c>
      <c r="B166" s="49" t="s">
        <v>589</v>
      </c>
      <c r="C166">
        <v>5000</v>
      </c>
      <c r="D166" s="49" t="s">
        <v>585</v>
      </c>
      <c r="E166" s="49" t="s">
        <v>586</v>
      </c>
      <c r="F166">
        <v>3.7120000000000002</v>
      </c>
      <c r="G166" s="49" t="s">
        <v>614</v>
      </c>
    </row>
    <row r="167" spans="1:7">
      <c r="A167">
        <v>202607</v>
      </c>
      <c r="B167" s="49" t="s">
        <v>590</v>
      </c>
      <c r="C167">
        <v>5000</v>
      </c>
      <c r="D167" s="49" t="s">
        <v>585</v>
      </c>
      <c r="E167" s="49" t="s">
        <v>586</v>
      </c>
      <c r="F167">
        <v>0.85799999999999998</v>
      </c>
      <c r="G167" s="49" t="s">
        <v>614</v>
      </c>
    </row>
    <row r="168" spans="1:7">
      <c r="A168">
        <v>202607</v>
      </c>
      <c r="B168" s="49" t="s">
        <v>591</v>
      </c>
      <c r="C168">
        <v>5000</v>
      </c>
      <c r="D168" s="49" t="s">
        <v>585</v>
      </c>
      <c r="E168" s="49" t="s">
        <v>586</v>
      </c>
      <c r="F168">
        <v>16.314</v>
      </c>
      <c r="G168" s="49" t="s">
        <v>614</v>
      </c>
    </row>
    <row r="169" spans="1:7">
      <c r="A169">
        <v>202607</v>
      </c>
      <c r="B169" s="49" t="s">
        <v>592</v>
      </c>
      <c r="C169">
        <v>5000</v>
      </c>
      <c r="D169" s="49" t="s">
        <v>585</v>
      </c>
      <c r="E169" s="49" t="s">
        <v>586</v>
      </c>
      <c r="F169">
        <v>13.894</v>
      </c>
      <c r="G169" s="49" t="s">
        <v>614</v>
      </c>
    </row>
    <row r="170" spans="1:7">
      <c r="A170">
        <v>202607</v>
      </c>
      <c r="B170" s="49" t="s">
        <v>593</v>
      </c>
      <c r="C170">
        <v>5000</v>
      </c>
      <c r="D170" s="49" t="s">
        <v>585</v>
      </c>
      <c r="E170" s="49" t="s">
        <v>586</v>
      </c>
      <c r="F170">
        <v>7.8529999999999998</v>
      </c>
      <c r="G170" s="49" t="s">
        <v>614</v>
      </c>
    </row>
    <row r="171" spans="1:7">
      <c r="A171">
        <v>202607</v>
      </c>
      <c r="B171" s="49" t="s">
        <v>594</v>
      </c>
      <c r="C171">
        <v>5000</v>
      </c>
      <c r="D171" s="49" t="s">
        <v>585</v>
      </c>
      <c r="E171" s="49" t="s">
        <v>586</v>
      </c>
      <c r="F171">
        <v>6.0419999999999998</v>
      </c>
      <c r="G171" s="49" t="s">
        <v>614</v>
      </c>
    </row>
    <row r="172" spans="1:7">
      <c r="A172">
        <v>202607</v>
      </c>
      <c r="B172" s="49" t="s">
        <v>595</v>
      </c>
      <c r="C172">
        <v>5000</v>
      </c>
      <c r="D172" s="49" t="s">
        <v>585</v>
      </c>
      <c r="E172" s="49" t="s">
        <v>586</v>
      </c>
      <c r="F172">
        <v>4.8319999999999999</v>
      </c>
      <c r="G172" s="49" t="s">
        <v>614</v>
      </c>
    </row>
    <row r="173" spans="1:7">
      <c r="A173">
        <v>202608</v>
      </c>
      <c r="B173" s="49" t="s">
        <v>584</v>
      </c>
      <c r="C173">
        <v>5000</v>
      </c>
      <c r="D173" s="49" t="s">
        <v>585</v>
      </c>
      <c r="E173" s="49" t="s">
        <v>586</v>
      </c>
      <c r="F173">
        <v>4.7149999999999999</v>
      </c>
      <c r="G173" s="49" t="s">
        <v>615</v>
      </c>
    </row>
    <row r="174" spans="1:7">
      <c r="A174">
        <v>202608</v>
      </c>
      <c r="B174" s="49" t="s">
        <v>588</v>
      </c>
      <c r="C174">
        <v>5000</v>
      </c>
      <c r="D174" s="49" t="s">
        <v>585</v>
      </c>
      <c r="E174" s="49" t="s">
        <v>586</v>
      </c>
      <c r="F174">
        <v>4.0650000000000004</v>
      </c>
      <c r="G174" s="49" t="s">
        <v>615</v>
      </c>
    </row>
    <row r="175" spans="1:7">
      <c r="A175">
        <v>202608</v>
      </c>
      <c r="B175" s="49" t="s">
        <v>589</v>
      </c>
      <c r="C175">
        <v>5000</v>
      </c>
      <c r="D175" s="49" t="s">
        <v>585</v>
      </c>
      <c r="E175" s="49" t="s">
        <v>586</v>
      </c>
      <c r="F175">
        <v>4.7149999999999999</v>
      </c>
      <c r="G175" s="49" t="s">
        <v>615</v>
      </c>
    </row>
    <row r="176" spans="1:7">
      <c r="A176">
        <v>202608</v>
      </c>
      <c r="B176" s="49" t="s">
        <v>590</v>
      </c>
      <c r="C176">
        <v>5000</v>
      </c>
      <c r="D176" s="49" t="s">
        <v>585</v>
      </c>
      <c r="E176" s="49" t="s">
        <v>586</v>
      </c>
      <c r="F176">
        <v>1.089</v>
      </c>
      <c r="G176" s="49" t="s">
        <v>615</v>
      </c>
    </row>
    <row r="177" spans="1:7">
      <c r="A177">
        <v>202608</v>
      </c>
      <c r="B177" s="49" t="s">
        <v>591</v>
      </c>
      <c r="C177">
        <v>5000</v>
      </c>
      <c r="D177" s="49" t="s">
        <v>585</v>
      </c>
      <c r="E177" s="49" t="s">
        <v>586</v>
      </c>
      <c r="F177">
        <v>20.722999999999999</v>
      </c>
      <c r="G177" s="49" t="s">
        <v>615</v>
      </c>
    </row>
    <row r="178" spans="1:7">
      <c r="A178">
        <v>202608</v>
      </c>
      <c r="B178" s="49" t="s">
        <v>592</v>
      </c>
      <c r="C178">
        <v>5000</v>
      </c>
      <c r="D178" s="49" t="s">
        <v>585</v>
      </c>
      <c r="E178" s="49" t="s">
        <v>586</v>
      </c>
      <c r="F178">
        <v>17.649999999999999</v>
      </c>
      <c r="G178" s="49" t="s">
        <v>615</v>
      </c>
    </row>
    <row r="179" spans="1:7">
      <c r="A179">
        <v>202608</v>
      </c>
      <c r="B179" s="49" t="s">
        <v>593</v>
      </c>
      <c r="C179">
        <v>5000</v>
      </c>
      <c r="D179" s="49" t="s">
        <v>585</v>
      </c>
      <c r="E179" s="49" t="s">
        <v>586</v>
      </c>
      <c r="F179">
        <v>9.9760000000000009</v>
      </c>
      <c r="G179" s="49" t="s">
        <v>615</v>
      </c>
    </row>
    <row r="180" spans="1:7">
      <c r="A180">
        <v>202608</v>
      </c>
      <c r="B180" s="49" t="s">
        <v>594</v>
      </c>
      <c r="C180">
        <v>5000</v>
      </c>
      <c r="D180" s="49" t="s">
        <v>585</v>
      </c>
      <c r="E180" s="49" t="s">
        <v>586</v>
      </c>
      <c r="F180">
        <v>7.6749999999999998</v>
      </c>
      <c r="G180" s="49" t="s">
        <v>615</v>
      </c>
    </row>
    <row r="181" spans="1:7">
      <c r="A181">
        <v>202608</v>
      </c>
      <c r="B181" s="49" t="s">
        <v>595</v>
      </c>
      <c r="C181">
        <v>5000</v>
      </c>
      <c r="D181" s="49" t="s">
        <v>585</v>
      </c>
      <c r="E181" s="49" t="s">
        <v>586</v>
      </c>
      <c r="F181">
        <v>6.1379999999999999</v>
      </c>
      <c r="G181" s="49" t="s">
        <v>615</v>
      </c>
    </row>
    <row r="182" spans="1:7">
      <c r="A182">
        <v>202609</v>
      </c>
      <c r="B182" s="49" t="s">
        <v>584</v>
      </c>
      <c r="C182">
        <v>5000</v>
      </c>
      <c r="D182" s="49" t="s">
        <v>585</v>
      </c>
      <c r="E182" s="49" t="s">
        <v>586</v>
      </c>
      <c r="F182">
        <v>4.7149999999999999</v>
      </c>
      <c r="G182" s="49" t="s">
        <v>616</v>
      </c>
    </row>
    <row r="183" spans="1:7">
      <c r="A183">
        <v>202609</v>
      </c>
      <c r="B183" s="49" t="s">
        <v>588</v>
      </c>
      <c r="C183">
        <v>5000</v>
      </c>
      <c r="D183" s="49" t="s">
        <v>585</v>
      </c>
      <c r="E183" s="49" t="s">
        <v>586</v>
      </c>
      <c r="F183">
        <v>4.0650000000000004</v>
      </c>
      <c r="G183" s="49" t="s">
        <v>616</v>
      </c>
    </row>
    <row r="184" spans="1:7">
      <c r="A184">
        <v>202609</v>
      </c>
      <c r="B184" s="49" t="s">
        <v>589</v>
      </c>
      <c r="C184">
        <v>5000</v>
      </c>
      <c r="D184" s="49" t="s">
        <v>585</v>
      </c>
      <c r="E184" s="49" t="s">
        <v>586</v>
      </c>
      <c r="F184">
        <v>4.7149999999999999</v>
      </c>
      <c r="G184" s="49" t="s">
        <v>616</v>
      </c>
    </row>
    <row r="185" spans="1:7">
      <c r="A185">
        <v>202609</v>
      </c>
      <c r="B185" s="49" t="s">
        <v>590</v>
      </c>
      <c r="C185">
        <v>5000</v>
      </c>
      <c r="D185" s="49" t="s">
        <v>585</v>
      </c>
      <c r="E185" s="49" t="s">
        <v>586</v>
      </c>
      <c r="F185">
        <v>1.089</v>
      </c>
      <c r="G185" s="49" t="s">
        <v>616</v>
      </c>
    </row>
    <row r="186" spans="1:7">
      <c r="A186">
        <v>202609</v>
      </c>
      <c r="B186" s="49" t="s">
        <v>591</v>
      </c>
      <c r="C186">
        <v>5000</v>
      </c>
      <c r="D186" s="49" t="s">
        <v>585</v>
      </c>
      <c r="E186" s="49" t="s">
        <v>586</v>
      </c>
      <c r="F186">
        <v>20.722999999999999</v>
      </c>
      <c r="G186" s="49" t="s">
        <v>616</v>
      </c>
    </row>
    <row r="187" spans="1:7">
      <c r="A187">
        <v>202609</v>
      </c>
      <c r="B187" s="49" t="s">
        <v>592</v>
      </c>
      <c r="C187">
        <v>5000</v>
      </c>
      <c r="D187" s="49" t="s">
        <v>585</v>
      </c>
      <c r="E187" s="49" t="s">
        <v>586</v>
      </c>
      <c r="F187">
        <v>17.649999999999999</v>
      </c>
      <c r="G187" s="49" t="s">
        <v>616</v>
      </c>
    </row>
    <row r="188" spans="1:7">
      <c r="A188">
        <v>202609</v>
      </c>
      <c r="B188" s="49" t="s">
        <v>593</v>
      </c>
      <c r="C188">
        <v>5000</v>
      </c>
      <c r="D188" s="49" t="s">
        <v>585</v>
      </c>
      <c r="E188" s="49" t="s">
        <v>586</v>
      </c>
      <c r="F188">
        <v>9.9760000000000009</v>
      </c>
      <c r="G188" s="49" t="s">
        <v>616</v>
      </c>
    </row>
    <row r="189" spans="1:7">
      <c r="A189">
        <v>202609</v>
      </c>
      <c r="B189" s="49" t="s">
        <v>594</v>
      </c>
      <c r="C189">
        <v>5000</v>
      </c>
      <c r="D189" s="49" t="s">
        <v>585</v>
      </c>
      <c r="E189" s="49" t="s">
        <v>586</v>
      </c>
      <c r="F189">
        <v>7.6749999999999998</v>
      </c>
      <c r="G189" s="49" t="s">
        <v>616</v>
      </c>
    </row>
    <row r="190" spans="1:7">
      <c r="A190">
        <v>202609</v>
      </c>
      <c r="B190" s="49" t="s">
        <v>595</v>
      </c>
      <c r="C190">
        <v>5000</v>
      </c>
      <c r="D190" s="49" t="s">
        <v>585</v>
      </c>
      <c r="E190" s="49" t="s">
        <v>586</v>
      </c>
      <c r="F190">
        <v>6.1379999999999999</v>
      </c>
      <c r="G190" s="49" t="s">
        <v>616</v>
      </c>
    </row>
    <row r="191" spans="1:7">
      <c r="A191">
        <v>202610</v>
      </c>
      <c r="B191" s="49" t="s">
        <v>584</v>
      </c>
      <c r="C191">
        <v>5000</v>
      </c>
      <c r="D191" s="49" t="s">
        <v>585</v>
      </c>
      <c r="E191" s="49" t="s">
        <v>604</v>
      </c>
      <c r="F191">
        <v>4.7149999999999999</v>
      </c>
      <c r="G191" s="49" t="s">
        <v>617</v>
      </c>
    </row>
    <row r="192" spans="1:7">
      <c r="A192">
        <v>202610</v>
      </c>
      <c r="B192" s="49" t="s">
        <v>588</v>
      </c>
      <c r="C192">
        <v>5000</v>
      </c>
      <c r="D192" s="49" t="s">
        <v>585</v>
      </c>
      <c r="E192" s="49" t="s">
        <v>604</v>
      </c>
      <c r="F192">
        <v>4.0650000000000004</v>
      </c>
      <c r="G192" s="49" t="s">
        <v>617</v>
      </c>
    </row>
    <row r="193" spans="1:7">
      <c r="A193">
        <v>202610</v>
      </c>
      <c r="B193" s="49" t="s">
        <v>589</v>
      </c>
      <c r="C193">
        <v>5000</v>
      </c>
      <c r="D193" s="49" t="s">
        <v>585</v>
      </c>
      <c r="E193" s="49" t="s">
        <v>604</v>
      </c>
      <c r="F193">
        <v>4.7149999999999999</v>
      </c>
      <c r="G193" s="49" t="s">
        <v>617</v>
      </c>
    </row>
    <row r="194" spans="1:7">
      <c r="A194">
        <v>202610</v>
      </c>
      <c r="B194" s="49" t="s">
        <v>590</v>
      </c>
      <c r="C194">
        <v>5000</v>
      </c>
      <c r="D194" s="49" t="s">
        <v>585</v>
      </c>
      <c r="E194" s="49" t="s">
        <v>604</v>
      </c>
      <c r="F194">
        <v>1.089</v>
      </c>
      <c r="G194" s="49" t="s">
        <v>617</v>
      </c>
    </row>
    <row r="195" spans="1:7">
      <c r="A195">
        <v>202610</v>
      </c>
      <c r="B195" s="49" t="s">
        <v>591</v>
      </c>
      <c r="C195">
        <v>5000</v>
      </c>
      <c r="D195" s="49" t="s">
        <v>585</v>
      </c>
      <c r="E195" s="49" t="s">
        <v>604</v>
      </c>
      <c r="F195">
        <v>20.722999999999999</v>
      </c>
      <c r="G195" s="49" t="s">
        <v>617</v>
      </c>
    </row>
    <row r="196" spans="1:7">
      <c r="A196">
        <v>202610</v>
      </c>
      <c r="B196" s="49" t="s">
        <v>592</v>
      </c>
      <c r="C196">
        <v>5000</v>
      </c>
      <c r="D196" s="49" t="s">
        <v>585</v>
      </c>
      <c r="E196" s="49" t="s">
        <v>604</v>
      </c>
      <c r="F196">
        <v>17.649999999999999</v>
      </c>
      <c r="G196" s="49" t="s">
        <v>617</v>
      </c>
    </row>
    <row r="197" spans="1:7">
      <c r="A197">
        <v>202610</v>
      </c>
      <c r="B197" s="49" t="s">
        <v>593</v>
      </c>
      <c r="C197">
        <v>5000</v>
      </c>
      <c r="D197" s="49" t="s">
        <v>585</v>
      </c>
      <c r="E197" s="49" t="s">
        <v>604</v>
      </c>
      <c r="F197">
        <v>9.9760000000000009</v>
      </c>
      <c r="G197" s="49" t="s">
        <v>617</v>
      </c>
    </row>
    <row r="198" spans="1:7">
      <c r="A198">
        <v>202610</v>
      </c>
      <c r="B198" s="49" t="s">
        <v>594</v>
      </c>
      <c r="C198">
        <v>5000</v>
      </c>
      <c r="D198" s="49" t="s">
        <v>585</v>
      </c>
      <c r="E198" s="49" t="s">
        <v>604</v>
      </c>
      <c r="F198">
        <v>7.6749999999999998</v>
      </c>
      <c r="G198" s="49" t="s">
        <v>617</v>
      </c>
    </row>
    <row r="199" spans="1:7">
      <c r="A199">
        <v>202610</v>
      </c>
      <c r="B199" s="49" t="s">
        <v>595</v>
      </c>
      <c r="C199">
        <v>5000</v>
      </c>
      <c r="D199" s="49" t="s">
        <v>585</v>
      </c>
      <c r="E199" s="49" t="s">
        <v>604</v>
      </c>
      <c r="F199">
        <v>6.1379999999999999</v>
      </c>
      <c r="G199" s="49" t="s">
        <v>617</v>
      </c>
    </row>
    <row r="200" spans="1:7">
      <c r="A200">
        <v>202611</v>
      </c>
      <c r="B200" s="49" t="s">
        <v>584</v>
      </c>
      <c r="C200">
        <v>5000</v>
      </c>
      <c r="D200" s="49" t="s">
        <v>585</v>
      </c>
      <c r="E200" s="49" t="s">
        <v>604</v>
      </c>
      <c r="F200">
        <v>4.7149999999999999</v>
      </c>
      <c r="G200" s="49" t="s">
        <v>618</v>
      </c>
    </row>
    <row r="201" spans="1:7">
      <c r="A201">
        <v>202611</v>
      </c>
      <c r="B201" s="49" t="s">
        <v>588</v>
      </c>
      <c r="C201">
        <v>5000</v>
      </c>
      <c r="D201" s="49" t="s">
        <v>585</v>
      </c>
      <c r="E201" s="49" t="s">
        <v>604</v>
      </c>
      <c r="F201">
        <v>4.0650000000000004</v>
      </c>
      <c r="G201" s="49" t="s">
        <v>618</v>
      </c>
    </row>
    <row r="202" spans="1:7">
      <c r="A202">
        <v>202611</v>
      </c>
      <c r="B202" s="49" t="s">
        <v>589</v>
      </c>
      <c r="C202">
        <v>5000</v>
      </c>
      <c r="D202" s="49" t="s">
        <v>585</v>
      </c>
      <c r="E202" s="49" t="s">
        <v>604</v>
      </c>
      <c r="F202">
        <v>4.7149999999999999</v>
      </c>
      <c r="G202" s="49" t="s">
        <v>618</v>
      </c>
    </row>
    <row r="203" spans="1:7">
      <c r="A203">
        <v>202611</v>
      </c>
      <c r="B203" s="49" t="s">
        <v>590</v>
      </c>
      <c r="C203">
        <v>5000</v>
      </c>
      <c r="D203" s="49" t="s">
        <v>585</v>
      </c>
      <c r="E203" s="49" t="s">
        <v>604</v>
      </c>
      <c r="F203">
        <v>1.089</v>
      </c>
      <c r="G203" s="49" t="s">
        <v>618</v>
      </c>
    </row>
    <row r="204" spans="1:7">
      <c r="A204">
        <v>202611</v>
      </c>
      <c r="B204" s="49" t="s">
        <v>591</v>
      </c>
      <c r="C204">
        <v>5000</v>
      </c>
      <c r="D204" s="49" t="s">
        <v>585</v>
      </c>
      <c r="E204" s="49" t="s">
        <v>604</v>
      </c>
      <c r="F204">
        <v>20.722999999999999</v>
      </c>
      <c r="G204" s="49" t="s">
        <v>618</v>
      </c>
    </row>
    <row r="205" spans="1:7">
      <c r="A205">
        <v>202611</v>
      </c>
      <c r="B205" s="49" t="s">
        <v>592</v>
      </c>
      <c r="C205">
        <v>5000</v>
      </c>
      <c r="D205" s="49" t="s">
        <v>585</v>
      </c>
      <c r="E205" s="49" t="s">
        <v>604</v>
      </c>
      <c r="F205">
        <v>17.649999999999999</v>
      </c>
      <c r="G205" s="49" t="s">
        <v>618</v>
      </c>
    </row>
    <row r="206" spans="1:7">
      <c r="A206">
        <v>202611</v>
      </c>
      <c r="B206" s="49" t="s">
        <v>593</v>
      </c>
      <c r="C206">
        <v>5000</v>
      </c>
      <c r="D206" s="49" t="s">
        <v>585</v>
      </c>
      <c r="E206" s="49" t="s">
        <v>604</v>
      </c>
      <c r="F206">
        <v>9.9760000000000009</v>
      </c>
      <c r="G206" s="49" t="s">
        <v>618</v>
      </c>
    </row>
    <row r="207" spans="1:7">
      <c r="A207">
        <v>202611</v>
      </c>
      <c r="B207" s="49" t="s">
        <v>594</v>
      </c>
      <c r="C207">
        <v>5000</v>
      </c>
      <c r="D207" s="49" t="s">
        <v>585</v>
      </c>
      <c r="E207" s="49" t="s">
        <v>604</v>
      </c>
      <c r="F207">
        <v>7.6749999999999998</v>
      </c>
      <c r="G207" s="49" t="s">
        <v>618</v>
      </c>
    </row>
    <row r="208" spans="1:7">
      <c r="A208">
        <v>202611</v>
      </c>
      <c r="B208" s="49" t="s">
        <v>595</v>
      </c>
      <c r="C208">
        <v>5000</v>
      </c>
      <c r="D208" s="49" t="s">
        <v>585</v>
      </c>
      <c r="E208" s="49" t="s">
        <v>604</v>
      </c>
      <c r="F208">
        <v>6.1379999999999999</v>
      </c>
      <c r="G208" s="49" t="s">
        <v>618</v>
      </c>
    </row>
    <row r="209" spans="1:7">
      <c r="A209">
        <v>202612</v>
      </c>
      <c r="B209" s="49" t="s">
        <v>584</v>
      </c>
      <c r="C209">
        <v>5000</v>
      </c>
      <c r="D209" s="49" t="s">
        <v>585</v>
      </c>
      <c r="E209" s="49" t="s">
        <v>604</v>
      </c>
      <c r="F209">
        <v>4.7149999999999999</v>
      </c>
      <c r="G209" s="49" t="s">
        <v>619</v>
      </c>
    </row>
    <row r="210" spans="1:7">
      <c r="A210">
        <v>202612</v>
      </c>
      <c r="B210" s="49" t="s">
        <v>588</v>
      </c>
      <c r="C210">
        <v>5000</v>
      </c>
      <c r="D210" s="49" t="s">
        <v>585</v>
      </c>
      <c r="E210" s="49" t="s">
        <v>604</v>
      </c>
      <c r="F210">
        <v>4.0650000000000004</v>
      </c>
      <c r="G210" s="49" t="s">
        <v>619</v>
      </c>
    </row>
    <row r="211" spans="1:7">
      <c r="A211">
        <v>202612</v>
      </c>
      <c r="B211" s="49" t="s">
        <v>589</v>
      </c>
      <c r="C211">
        <v>5000</v>
      </c>
      <c r="D211" s="49" t="s">
        <v>585</v>
      </c>
      <c r="E211" s="49" t="s">
        <v>604</v>
      </c>
      <c r="F211">
        <v>4.7149999999999999</v>
      </c>
      <c r="G211" s="49" t="s">
        <v>619</v>
      </c>
    </row>
    <row r="212" spans="1:7">
      <c r="A212">
        <v>202612</v>
      </c>
      <c r="B212" s="49" t="s">
        <v>590</v>
      </c>
      <c r="C212">
        <v>5000</v>
      </c>
      <c r="D212" s="49" t="s">
        <v>585</v>
      </c>
      <c r="E212" s="49" t="s">
        <v>604</v>
      </c>
      <c r="F212">
        <v>1.089</v>
      </c>
      <c r="G212" s="49" t="s">
        <v>619</v>
      </c>
    </row>
    <row r="213" spans="1:7">
      <c r="A213">
        <v>202612</v>
      </c>
      <c r="B213" s="49" t="s">
        <v>591</v>
      </c>
      <c r="C213">
        <v>5000</v>
      </c>
      <c r="D213" s="49" t="s">
        <v>585</v>
      </c>
      <c r="E213" s="49" t="s">
        <v>604</v>
      </c>
      <c r="F213">
        <v>20.722999999999999</v>
      </c>
      <c r="G213" s="49" t="s">
        <v>619</v>
      </c>
    </row>
    <row r="214" spans="1:7">
      <c r="A214">
        <v>202612</v>
      </c>
      <c r="B214" s="49" t="s">
        <v>592</v>
      </c>
      <c r="C214">
        <v>5000</v>
      </c>
      <c r="D214" s="49" t="s">
        <v>585</v>
      </c>
      <c r="E214" s="49" t="s">
        <v>604</v>
      </c>
      <c r="F214">
        <v>17.649999999999999</v>
      </c>
      <c r="G214" s="49" t="s">
        <v>619</v>
      </c>
    </row>
    <row r="215" spans="1:7">
      <c r="A215">
        <v>202612</v>
      </c>
      <c r="B215" s="49" t="s">
        <v>593</v>
      </c>
      <c r="C215">
        <v>5000</v>
      </c>
      <c r="D215" s="49" t="s">
        <v>585</v>
      </c>
      <c r="E215" s="49" t="s">
        <v>604</v>
      </c>
      <c r="F215">
        <v>9.9760000000000009</v>
      </c>
      <c r="G215" s="49" t="s">
        <v>619</v>
      </c>
    </row>
    <row r="216" spans="1:7">
      <c r="A216">
        <v>202612</v>
      </c>
      <c r="B216" s="49" t="s">
        <v>594</v>
      </c>
      <c r="C216">
        <v>5000</v>
      </c>
      <c r="D216" s="49" t="s">
        <v>585</v>
      </c>
      <c r="E216" s="49" t="s">
        <v>604</v>
      </c>
      <c r="F216">
        <v>7.6749999999999998</v>
      </c>
      <c r="G216" s="49" t="s">
        <v>619</v>
      </c>
    </row>
    <row r="217" spans="1:7">
      <c r="A217">
        <v>202612</v>
      </c>
      <c r="B217" s="49" t="s">
        <v>595</v>
      </c>
      <c r="C217">
        <v>5000</v>
      </c>
      <c r="D217" s="49" t="s">
        <v>585</v>
      </c>
      <c r="E217" s="49" t="s">
        <v>604</v>
      </c>
      <c r="F217">
        <v>6.1379999999999999</v>
      </c>
      <c r="G217" s="49" t="s">
        <v>619</v>
      </c>
    </row>
    <row r="218" spans="1:7">
      <c r="A218">
        <v>202601</v>
      </c>
      <c r="B218" s="49" t="s">
        <v>584</v>
      </c>
      <c r="C218">
        <v>6300</v>
      </c>
      <c r="D218" s="49" t="s">
        <v>585</v>
      </c>
      <c r="E218" s="49" t="s">
        <v>586</v>
      </c>
      <c r="F218">
        <v>1.772</v>
      </c>
      <c r="G218" s="49" t="s">
        <v>620</v>
      </c>
    </row>
    <row r="219" spans="1:7">
      <c r="A219">
        <v>202601</v>
      </c>
      <c r="B219" s="49" t="s">
        <v>588</v>
      </c>
      <c r="C219">
        <v>6300</v>
      </c>
      <c r="D219" s="49" t="s">
        <v>585</v>
      </c>
      <c r="E219" s="49" t="s">
        <v>586</v>
      </c>
      <c r="F219">
        <v>1.5189999999999999</v>
      </c>
      <c r="G219" s="49" t="s">
        <v>620</v>
      </c>
    </row>
    <row r="220" spans="1:7">
      <c r="A220">
        <v>202601</v>
      </c>
      <c r="B220" s="49" t="s">
        <v>589</v>
      </c>
      <c r="C220">
        <v>6300</v>
      </c>
      <c r="D220" s="49" t="s">
        <v>585</v>
      </c>
      <c r="E220" s="49" t="s">
        <v>586</v>
      </c>
      <c r="F220">
        <v>1.772</v>
      </c>
      <c r="G220" s="49" t="s">
        <v>620</v>
      </c>
    </row>
    <row r="221" spans="1:7">
      <c r="A221">
        <v>202601</v>
      </c>
      <c r="B221" s="49" t="s">
        <v>590</v>
      </c>
      <c r="C221">
        <v>6300</v>
      </c>
      <c r="D221" s="49" t="s">
        <v>585</v>
      </c>
      <c r="E221" s="49" t="s">
        <v>586</v>
      </c>
      <c r="F221">
        <v>0.38800000000000001</v>
      </c>
      <c r="G221" s="49" t="s">
        <v>620</v>
      </c>
    </row>
    <row r="222" spans="1:7">
      <c r="A222">
        <v>202601</v>
      </c>
      <c r="B222" s="49" t="s">
        <v>591</v>
      </c>
      <c r="C222">
        <v>6300</v>
      </c>
      <c r="D222" s="49" t="s">
        <v>585</v>
      </c>
      <c r="E222" s="49" t="s">
        <v>586</v>
      </c>
      <c r="F222">
        <v>7.7480000000000002</v>
      </c>
      <c r="G222" s="49" t="s">
        <v>620</v>
      </c>
    </row>
    <row r="223" spans="1:7">
      <c r="A223">
        <v>202601</v>
      </c>
      <c r="B223" s="49" t="s">
        <v>592</v>
      </c>
      <c r="C223">
        <v>6300</v>
      </c>
      <c r="D223" s="49" t="s">
        <v>585</v>
      </c>
      <c r="E223" s="49" t="s">
        <v>586</v>
      </c>
      <c r="F223">
        <v>6.6</v>
      </c>
      <c r="G223" s="49" t="s">
        <v>620</v>
      </c>
    </row>
    <row r="224" spans="1:7">
      <c r="A224">
        <v>202601</v>
      </c>
      <c r="B224" s="49" t="s">
        <v>593</v>
      </c>
      <c r="C224">
        <v>6300</v>
      </c>
      <c r="D224" s="49" t="s">
        <v>585</v>
      </c>
      <c r="E224" s="49" t="s">
        <v>586</v>
      </c>
      <c r="F224">
        <v>3.73</v>
      </c>
      <c r="G224" s="49" t="s">
        <v>620</v>
      </c>
    </row>
    <row r="225" spans="1:7">
      <c r="A225">
        <v>202601</v>
      </c>
      <c r="B225" s="49" t="s">
        <v>594</v>
      </c>
      <c r="C225">
        <v>6300</v>
      </c>
      <c r="D225" s="49" t="s">
        <v>585</v>
      </c>
      <c r="E225" s="49" t="s">
        <v>586</v>
      </c>
      <c r="F225">
        <v>2.87</v>
      </c>
      <c r="G225" s="49" t="s">
        <v>620</v>
      </c>
    </row>
    <row r="226" spans="1:7">
      <c r="A226">
        <v>202601</v>
      </c>
      <c r="B226" s="49" t="s">
        <v>595</v>
      </c>
      <c r="C226">
        <v>6300</v>
      </c>
      <c r="D226" s="49" t="s">
        <v>585</v>
      </c>
      <c r="E226" s="49" t="s">
        <v>586</v>
      </c>
      <c r="F226">
        <v>2.2959999999999998</v>
      </c>
      <c r="G226" s="49" t="s">
        <v>620</v>
      </c>
    </row>
    <row r="227" spans="1:7">
      <c r="A227">
        <v>202602</v>
      </c>
      <c r="B227" s="49" t="s">
        <v>584</v>
      </c>
      <c r="C227">
        <v>6300</v>
      </c>
      <c r="D227" s="49" t="s">
        <v>585</v>
      </c>
      <c r="E227" s="49" t="s">
        <v>586</v>
      </c>
      <c r="F227">
        <v>1.772</v>
      </c>
      <c r="G227" s="49" t="s">
        <v>621</v>
      </c>
    </row>
    <row r="228" spans="1:7">
      <c r="A228">
        <v>202602</v>
      </c>
      <c r="B228" s="49" t="s">
        <v>588</v>
      </c>
      <c r="C228">
        <v>6300</v>
      </c>
      <c r="D228" s="49" t="s">
        <v>585</v>
      </c>
      <c r="E228" s="49" t="s">
        <v>586</v>
      </c>
      <c r="F228">
        <v>1.5189999999999999</v>
      </c>
      <c r="G228" s="49" t="s">
        <v>621</v>
      </c>
    </row>
    <row r="229" spans="1:7">
      <c r="A229">
        <v>202602</v>
      </c>
      <c r="B229" s="49" t="s">
        <v>589</v>
      </c>
      <c r="C229">
        <v>6300</v>
      </c>
      <c r="D229" s="49" t="s">
        <v>585</v>
      </c>
      <c r="E229" s="49" t="s">
        <v>586</v>
      </c>
      <c r="F229">
        <v>1.772</v>
      </c>
      <c r="G229" s="49" t="s">
        <v>621</v>
      </c>
    </row>
    <row r="230" spans="1:7">
      <c r="A230">
        <v>202602</v>
      </c>
      <c r="B230" s="49" t="s">
        <v>590</v>
      </c>
      <c r="C230">
        <v>6300</v>
      </c>
      <c r="D230" s="49" t="s">
        <v>585</v>
      </c>
      <c r="E230" s="49" t="s">
        <v>586</v>
      </c>
      <c r="F230">
        <v>0.38800000000000001</v>
      </c>
      <c r="G230" s="49" t="s">
        <v>621</v>
      </c>
    </row>
    <row r="231" spans="1:7">
      <c r="A231">
        <v>202602</v>
      </c>
      <c r="B231" s="49" t="s">
        <v>591</v>
      </c>
      <c r="C231">
        <v>6300</v>
      </c>
      <c r="D231" s="49" t="s">
        <v>585</v>
      </c>
      <c r="E231" s="49" t="s">
        <v>586</v>
      </c>
      <c r="F231">
        <v>7.7480000000000002</v>
      </c>
      <c r="G231" s="49" t="s">
        <v>621</v>
      </c>
    </row>
    <row r="232" spans="1:7">
      <c r="A232">
        <v>202602</v>
      </c>
      <c r="B232" s="49" t="s">
        <v>592</v>
      </c>
      <c r="C232">
        <v>6300</v>
      </c>
      <c r="D232" s="49" t="s">
        <v>585</v>
      </c>
      <c r="E232" s="49" t="s">
        <v>586</v>
      </c>
      <c r="F232">
        <v>6.6</v>
      </c>
      <c r="G232" s="49" t="s">
        <v>621</v>
      </c>
    </row>
    <row r="233" spans="1:7">
      <c r="A233">
        <v>202602</v>
      </c>
      <c r="B233" s="49" t="s">
        <v>593</v>
      </c>
      <c r="C233">
        <v>6300</v>
      </c>
      <c r="D233" s="49" t="s">
        <v>585</v>
      </c>
      <c r="E233" s="49" t="s">
        <v>586</v>
      </c>
      <c r="F233">
        <v>3.73</v>
      </c>
      <c r="G233" s="49" t="s">
        <v>621</v>
      </c>
    </row>
    <row r="234" spans="1:7">
      <c r="A234">
        <v>202602</v>
      </c>
      <c r="B234" s="49" t="s">
        <v>594</v>
      </c>
      <c r="C234">
        <v>6300</v>
      </c>
      <c r="D234" s="49" t="s">
        <v>585</v>
      </c>
      <c r="E234" s="49" t="s">
        <v>586</v>
      </c>
      <c r="F234">
        <v>2.87</v>
      </c>
      <c r="G234" s="49" t="s">
        <v>621</v>
      </c>
    </row>
    <row r="235" spans="1:7">
      <c r="A235">
        <v>202602</v>
      </c>
      <c r="B235" s="49" t="s">
        <v>595</v>
      </c>
      <c r="C235">
        <v>6300</v>
      </c>
      <c r="D235" s="49" t="s">
        <v>585</v>
      </c>
      <c r="E235" s="49" t="s">
        <v>586</v>
      </c>
      <c r="F235">
        <v>2.2959999999999998</v>
      </c>
      <c r="G235" s="49" t="s">
        <v>621</v>
      </c>
    </row>
    <row r="236" spans="1:7">
      <c r="A236">
        <v>202603</v>
      </c>
      <c r="B236" s="49" t="s">
        <v>584</v>
      </c>
      <c r="C236">
        <v>6300</v>
      </c>
      <c r="D236" s="49" t="s">
        <v>585</v>
      </c>
      <c r="E236" s="49" t="s">
        <v>586</v>
      </c>
      <c r="F236">
        <v>1.772</v>
      </c>
      <c r="G236" s="49" t="s">
        <v>622</v>
      </c>
    </row>
    <row r="237" spans="1:7">
      <c r="A237">
        <v>202603</v>
      </c>
      <c r="B237" s="49" t="s">
        <v>588</v>
      </c>
      <c r="C237">
        <v>6300</v>
      </c>
      <c r="D237" s="49" t="s">
        <v>585</v>
      </c>
      <c r="E237" s="49" t="s">
        <v>586</v>
      </c>
      <c r="F237">
        <v>1.5189999999999999</v>
      </c>
      <c r="G237" s="49" t="s">
        <v>622</v>
      </c>
    </row>
    <row r="238" spans="1:7">
      <c r="A238">
        <v>202603</v>
      </c>
      <c r="B238" s="49" t="s">
        <v>589</v>
      </c>
      <c r="C238">
        <v>6300</v>
      </c>
      <c r="D238" s="49" t="s">
        <v>585</v>
      </c>
      <c r="E238" s="49" t="s">
        <v>586</v>
      </c>
      <c r="F238">
        <v>1.772</v>
      </c>
      <c r="G238" s="49" t="s">
        <v>622</v>
      </c>
    </row>
    <row r="239" spans="1:7">
      <c r="A239">
        <v>202603</v>
      </c>
      <c r="B239" s="49" t="s">
        <v>591</v>
      </c>
      <c r="C239">
        <v>6300</v>
      </c>
      <c r="D239" s="49" t="s">
        <v>585</v>
      </c>
      <c r="E239" s="49" t="s">
        <v>586</v>
      </c>
      <c r="F239">
        <v>7.7480000000000002</v>
      </c>
      <c r="G239" s="49" t="s">
        <v>622</v>
      </c>
    </row>
    <row r="240" spans="1:7">
      <c r="A240">
        <v>202603</v>
      </c>
      <c r="B240" s="49" t="s">
        <v>592</v>
      </c>
      <c r="C240">
        <v>6300</v>
      </c>
      <c r="D240" s="49" t="s">
        <v>585</v>
      </c>
      <c r="E240" s="49" t="s">
        <v>586</v>
      </c>
      <c r="F240">
        <v>6.6</v>
      </c>
      <c r="G240" s="49" t="s">
        <v>622</v>
      </c>
    </row>
    <row r="241" spans="1:7">
      <c r="A241">
        <v>202603</v>
      </c>
      <c r="B241" s="49" t="s">
        <v>593</v>
      </c>
      <c r="C241">
        <v>6300</v>
      </c>
      <c r="D241" s="49" t="s">
        <v>585</v>
      </c>
      <c r="E241" s="49" t="s">
        <v>586</v>
      </c>
      <c r="F241">
        <v>3.73</v>
      </c>
      <c r="G241" s="49" t="s">
        <v>622</v>
      </c>
    </row>
    <row r="242" spans="1:7">
      <c r="A242">
        <v>202603</v>
      </c>
      <c r="B242" s="49" t="s">
        <v>594</v>
      </c>
      <c r="C242">
        <v>6300</v>
      </c>
      <c r="D242" s="49" t="s">
        <v>585</v>
      </c>
      <c r="E242" s="49" t="s">
        <v>586</v>
      </c>
      <c r="F242">
        <v>2.87</v>
      </c>
      <c r="G242" s="49" t="s">
        <v>622</v>
      </c>
    </row>
    <row r="243" spans="1:7">
      <c r="A243">
        <v>202603</v>
      </c>
      <c r="B243" s="49" t="s">
        <v>595</v>
      </c>
      <c r="C243">
        <v>6300</v>
      </c>
      <c r="D243" s="49" t="s">
        <v>585</v>
      </c>
      <c r="E243" s="49" t="s">
        <v>586</v>
      </c>
      <c r="F243">
        <v>2.2959999999999998</v>
      </c>
      <c r="G243" s="49" t="s">
        <v>622</v>
      </c>
    </row>
    <row r="244" spans="1:7">
      <c r="A244">
        <v>202604</v>
      </c>
      <c r="B244" s="49" t="s">
        <v>584</v>
      </c>
      <c r="C244">
        <v>6300</v>
      </c>
      <c r="D244" s="49" t="s">
        <v>585</v>
      </c>
      <c r="E244" s="49" t="s">
        <v>586</v>
      </c>
      <c r="F244">
        <v>1.772</v>
      </c>
      <c r="G244" s="49" t="s">
        <v>623</v>
      </c>
    </row>
    <row r="245" spans="1:7">
      <c r="A245">
        <v>202604</v>
      </c>
      <c r="B245" s="49" t="s">
        <v>588</v>
      </c>
      <c r="C245">
        <v>6300</v>
      </c>
      <c r="D245" s="49" t="s">
        <v>585</v>
      </c>
      <c r="E245" s="49" t="s">
        <v>586</v>
      </c>
      <c r="F245">
        <v>1.5189999999999999</v>
      </c>
      <c r="G245" s="49" t="s">
        <v>623</v>
      </c>
    </row>
    <row r="246" spans="1:7">
      <c r="A246">
        <v>202604</v>
      </c>
      <c r="B246" s="49" t="s">
        <v>589</v>
      </c>
      <c r="C246">
        <v>6300</v>
      </c>
      <c r="D246" s="49" t="s">
        <v>585</v>
      </c>
      <c r="E246" s="49" t="s">
        <v>586</v>
      </c>
      <c r="F246">
        <v>1.772</v>
      </c>
      <c r="G246" s="49" t="s">
        <v>623</v>
      </c>
    </row>
    <row r="247" spans="1:7">
      <c r="A247">
        <v>202604</v>
      </c>
      <c r="B247" s="49" t="s">
        <v>590</v>
      </c>
      <c r="C247">
        <v>6300</v>
      </c>
      <c r="D247" s="49" t="s">
        <v>585</v>
      </c>
      <c r="E247" s="49" t="s">
        <v>586</v>
      </c>
      <c r="F247">
        <v>0.38800000000000001</v>
      </c>
      <c r="G247" s="49" t="s">
        <v>623</v>
      </c>
    </row>
    <row r="248" spans="1:7">
      <c r="A248">
        <v>202604</v>
      </c>
      <c r="B248" s="49" t="s">
        <v>591</v>
      </c>
      <c r="C248">
        <v>6300</v>
      </c>
      <c r="D248" s="49" t="s">
        <v>585</v>
      </c>
      <c r="E248" s="49" t="s">
        <v>586</v>
      </c>
      <c r="F248">
        <v>7.7480000000000002</v>
      </c>
      <c r="G248" s="49" t="s">
        <v>623</v>
      </c>
    </row>
    <row r="249" spans="1:7">
      <c r="A249">
        <v>202604</v>
      </c>
      <c r="B249" s="49" t="s">
        <v>592</v>
      </c>
      <c r="C249">
        <v>6300</v>
      </c>
      <c r="D249" s="49" t="s">
        <v>585</v>
      </c>
      <c r="E249" s="49" t="s">
        <v>586</v>
      </c>
      <c r="F249">
        <v>6.6</v>
      </c>
      <c r="G249" s="49" t="s">
        <v>623</v>
      </c>
    </row>
    <row r="250" spans="1:7">
      <c r="A250">
        <v>202604</v>
      </c>
      <c r="B250" s="49" t="s">
        <v>593</v>
      </c>
      <c r="C250">
        <v>6300</v>
      </c>
      <c r="D250" s="49" t="s">
        <v>585</v>
      </c>
      <c r="E250" s="49" t="s">
        <v>586</v>
      </c>
      <c r="F250">
        <v>3.73</v>
      </c>
      <c r="G250" s="49" t="s">
        <v>623</v>
      </c>
    </row>
    <row r="251" spans="1:7">
      <c r="A251">
        <v>202604</v>
      </c>
      <c r="B251" s="49" t="s">
        <v>594</v>
      </c>
      <c r="C251">
        <v>6300</v>
      </c>
      <c r="D251" s="49" t="s">
        <v>585</v>
      </c>
      <c r="E251" s="49" t="s">
        <v>586</v>
      </c>
      <c r="F251">
        <v>2.87</v>
      </c>
      <c r="G251" s="49" t="s">
        <v>623</v>
      </c>
    </row>
    <row r="252" spans="1:7">
      <c r="A252">
        <v>202604</v>
      </c>
      <c r="B252" s="49" t="s">
        <v>595</v>
      </c>
      <c r="C252">
        <v>6300</v>
      </c>
      <c r="D252" s="49" t="s">
        <v>585</v>
      </c>
      <c r="E252" s="49" t="s">
        <v>586</v>
      </c>
      <c r="F252">
        <v>2.2959999999999998</v>
      </c>
      <c r="G252" s="49" t="s">
        <v>623</v>
      </c>
    </row>
    <row r="253" spans="1:7">
      <c r="A253">
        <v>202605</v>
      </c>
      <c r="B253" s="49" t="s">
        <v>584</v>
      </c>
      <c r="C253">
        <v>6300</v>
      </c>
      <c r="D253" s="49" t="s">
        <v>585</v>
      </c>
      <c r="E253" s="49" t="s">
        <v>586</v>
      </c>
      <c r="F253">
        <v>1.772</v>
      </c>
      <c r="G253" s="49" t="s">
        <v>624</v>
      </c>
    </row>
    <row r="254" spans="1:7">
      <c r="A254">
        <v>202605</v>
      </c>
      <c r="B254" s="49" t="s">
        <v>588</v>
      </c>
      <c r="C254">
        <v>6300</v>
      </c>
      <c r="D254" s="49" t="s">
        <v>585</v>
      </c>
      <c r="E254" s="49" t="s">
        <v>586</v>
      </c>
      <c r="F254">
        <v>1.5189999999999999</v>
      </c>
      <c r="G254" s="49" t="s">
        <v>624</v>
      </c>
    </row>
    <row r="255" spans="1:7">
      <c r="A255">
        <v>202605</v>
      </c>
      <c r="B255" s="49" t="s">
        <v>589</v>
      </c>
      <c r="C255">
        <v>6300</v>
      </c>
      <c r="D255" s="49" t="s">
        <v>585</v>
      </c>
      <c r="E255" s="49" t="s">
        <v>586</v>
      </c>
      <c r="F255">
        <v>1.772</v>
      </c>
      <c r="G255" s="49" t="s">
        <v>624</v>
      </c>
    </row>
    <row r="256" spans="1:7">
      <c r="A256">
        <v>202605</v>
      </c>
      <c r="B256" s="49" t="s">
        <v>590</v>
      </c>
      <c r="C256">
        <v>6300</v>
      </c>
      <c r="D256" s="49" t="s">
        <v>585</v>
      </c>
      <c r="E256" s="49" t="s">
        <v>586</v>
      </c>
      <c r="F256">
        <v>0.38800000000000001</v>
      </c>
      <c r="G256" s="49" t="s">
        <v>624</v>
      </c>
    </row>
    <row r="257" spans="1:7">
      <c r="A257">
        <v>202605</v>
      </c>
      <c r="B257" s="49" t="s">
        <v>591</v>
      </c>
      <c r="C257">
        <v>6300</v>
      </c>
      <c r="D257" s="49" t="s">
        <v>585</v>
      </c>
      <c r="E257" s="49" t="s">
        <v>586</v>
      </c>
      <c r="F257">
        <v>7.7480000000000002</v>
      </c>
      <c r="G257" s="49" t="s">
        <v>624</v>
      </c>
    </row>
    <row r="258" spans="1:7">
      <c r="A258">
        <v>202605</v>
      </c>
      <c r="B258" s="49" t="s">
        <v>592</v>
      </c>
      <c r="C258">
        <v>6300</v>
      </c>
      <c r="D258" s="49" t="s">
        <v>585</v>
      </c>
      <c r="E258" s="49" t="s">
        <v>586</v>
      </c>
      <c r="F258">
        <v>6.6</v>
      </c>
      <c r="G258" s="49" t="s">
        <v>624</v>
      </c>
    </row>
    <row r="259" spans="1:7">
      <c r="A259">
        <v>202605</v>
      </c>
      <c r="B259" s="49" t="s">
        <v>593</v>
      </c>
      <c r="C259">
        <v>6300</v>
      </c>
      <c r="D259" s="49" t="s">
        <v>585</v>
      </c>
      <c r="E259" s="49" t="s">
        <v>586</v>
      </c>
      <c r="F259">
        <v>3.73</v>
      </c>
      <c r="G259" s="49" t="s">
        <v>624</v>
      </c>
    </row>
    <row r="260" spans="1:7">
      <c r="A260">
        <v>202605</v>
      </c>
      <c r="B260" s="49" t="s">
        <v>594</v>
      </c>
      <c r="C260">
        <v>6300</v>
      </c>
      <c r="D260" s="49" t="s">
        <v>585</v>
      </c>
      <c r="E260" s="49" t="s">
        <v>586</v>
      </c>
      <c r="F260">
        <v>2.87</v>
      </c>
      <c r="G260" s="49" t="s">
        <v>624</v>
      </c>
    </row>
    <row r="261" spans="1:7">
      <c r="A261">
        <v>202605</v>
      </c>
      <c r="B261" s="49" t="s">
        <v>595</v>
      </c>
      <c r="C261">
        <v>6300</v>
      </c>
      <c r="D261" s="49" t="s">
        <v>585</v>
      </c>
      <c r="E261" s="49" t="s">
        <v>586</v>
      </c>
      <c r="F261">
        <v>2.2959999999999998</v>
      </c>
      <c r="G261" s="49" t="s">
        <v>624</v>
      </c>
    </row>
    <row r="262" spans="1:7">
      <c r="A262">
        <v>202606</v>
      </c>
      <c r="B262" s="49" t="s">
        <v>584</v>
      </c>
      <c r="C262">
        <v>6300</v>
      </c>
      <c r="D262" s="49" t="s">
        <v>585</v>
      </c>
      <c r="E262" s="49" t="s">
        <v>586</v>
      </c>
      <c r="F262">
        <v>2.0369999999999999</v>
      </c>
      <c r="G262" s="49" t="s">
        <v>625</v>
      </c>
    </row>
    <row r="263" spans="1:7">
      <c r="A263">
        <v>202606</v>
      </c>
      <c r="B263" s="49" t="s">
        <v>588</v>
      </c>
      <c r="C263">
        <v>6300</v>
      </c>
      <c r="D263" s="49" t="s">
        <v>585</v>
      </c>
      <c r="E263" s="49" t="s">
        <v>586</v>
      </c>
      <c r="F263">
        <v>1.746</v>
      </c>
      <c r="G263" s="49" t="s">
        <v>625</v>
      </c>
    </row>
    <row r="264" spans="1:7">
      <c r="A264">
        <v>202606</v>
      </c>
      <c r="B264" s="49" t="s">
        <v>589</v>
      </c>
      <c r="C264">
        <v>6300</v>
      </c>
      <c r="D264" s="49" t="s">
        <v>585</v>
      </c>
      <c r="E264" s="49" t="s">
        <v>586</v>
      </c>
      <c r="F264">
        <v>2.0369999999999999</v>
      </c>
      <c r="G264" s="49" t="s">
        <v>625</v>
      </c>
    </row>
    <row r="265" spans="1:7">
      <c r="A265">
        <v>202606</v>
      </c>
      <c r="B265" s="49" t="s">
        <v>590</v>
      </c>
      <c r="C265">
        <v>6300</v>
      </c>
      <c r="D265" s="49" t="s">
        <v>585</v>
      </c>
      <c r="E265" s="49" t="s">
        <v>586</v>
      </c>
      <c r="F265">
        <v>0.44600000000000001</v>
      </c>
      <c r="G265" s="49" t="s">
        <v>625</v>
      </c>
    </row>
    <row r="266" spans="1:7">
      <c r="A266">
        <v>202606</v>
      </c>
      <c r="B266" s="49" t="s">
        <v>591</v>
      </c>
      <c r="C266">
        <v>6300</v>
      </c>
      <c r="D266" s="49" t="s">
        <v>585</v>
      </c>
      <c r="E266" s="49" t="s">
        <v>586</v>
      </c>
      <c r="F266">
        <v>8.9049999999999994</v>
      </c>
      <c r="G266" s="49" t="s">
        <v>625</v>
      </c>
    </row>
    <row r="267" spans="1:7">
      <c r="A267">
        <v>202606</v>
      </c>
      <c r="B267" s="49" t="s">
        <v>592</v>
      </c>
      <c r="C267">
        <v>6300</v>
      </c>
      <c r="D267" s="49" t="s">
        <v>585</v>
      </c>
      <c r="E267" s="49" t="s">
        <v>586</v>
      </c>
      <c r="F267">
        <v>7.585</v>
      </c>
      <c r="G267" s="49" t="s">
        <v>625</v>
      </c>
    </row>
    <row r="268" spans="1:7">
      <c r="A268">
        <v>202606</v>
      </c>
      <c r="B268" s="49" t="s">
        <v>593</v>
      </c>
      <c r="C268">
        <v>6300</v>
      </c>
      <c r="D268" s="49" t="s">
        <v>585</v>
      </c>
      <c r="E268" s="49" t="s">
        <v>586</v>
      </c>
      <c r="F268">
        <v>4.2869999999999999</v>
      </c>
      <c r="G268" s="49" t="s">
        <v>625</v>
      </c>
    </row>
    <row r="269" spans="1:7">
      <c r="A269">
        <v>202606</v>
      </c>
      <c r="B269" s="49" t="s">
        <v>594</v>
      </c>
      <c r="C269">
        <v>6300</v>
      </c>
      <c r="D269" s="49" t="s">
        <v>585</v>
      </c>
      <c r="E269" s="49" t="s">
        <v>586</v>
      </c>
      <c r="F269">
        <v>3.298</v>
      </c>
      <c r="G269" s="49" t="s">
        <v>625</v>
      </c>
    </row>
    <row r="270" spans="1:7">
      <c r="A270">
        <v>202606</v>
      </c>
      <c r="B270" s="49" t="s">
        <v>595</v>
      </c>
      <c r="C270">
        <v>6300</v>
      </c>
      <c r="D270" s="49" t="s">
        <v>585</v>
      </c>
      <c r="E270" s="49" t="s">
        <v>586</v>
      </c>
      <c r="F270">
        <v>2.6379999999999999</v>
      </c>
      <c r="G270" s="49" t="s">
        <v>625</v>
      </c>
    </row>
    <row r="271" spans="1:7">
      <c r="A271">
        <v>202607</v>
      </c>
      <c r="B271" s="49" t="s">
        <v>584</v>
      </c>
      <c r="C271">
        <v>6300</v>
      </c>
      <c r="D271" s="49" t="s">
        <v>585</v>
      </c>
      <c r="E271" s="49" t="s">
        <v>586</v>
      </c>
      <c r="F271">
        <v>1.2390000000000001</v>
      </c>
      <c r="G271" s="49" t="s">
        <v>626</v>
      </c>
    </row>
    <row r="272" spans="1:7">
      <c r="A272">
        <v>202607</v>
      </c>
      <c r="B272" s="49" t="s">
        <v>588</v>
      </c>
      <c r="C272">
        <v>6300</v>
      </c>
      <c r="D272" s="49" t="s">
        <v>585</v>
      </c>
      <c r="E272" s="49" t="s">
        <v>586</v>
      </c>
      <c r="F272">
        <v>1.0620000000000001</v>
      </c>
      <c r="G272" s="49" t="s">
        <v>626</v>
      </c>
    </row>
    <row r="273" spans="1:7">
      <c r="A273">
        <v>202607</v>
      </c>
      <c r="B273" s="49" t="s">
        <v>589</v>
      </c>
      <c r="C273">
        <v>6300</v>
      </c>
      <c r="D273" s="49" t="s">
        <v>585</v>
      </c>
      <c r="E273" s="49" t="s">
        <v>586</v>
      </c>
      <c r="F273">
        <v>1.2390000000000001</v>
      </c>
      <c r="G273" s="49" t="s">
        <v>626</v>
      </c>
    </row>
    <row r="274" spans="1:7">
      <c r="A274">
        <v>202607</v>
      </c>
      <c r="B274" s="49" t="s">
        <v>590</v>
      </c>
      <c r="C274">
        <v>6300</v>
      </c>
      <c r="D274" s="49" t="s">
        <v>585</v>
      </c>
      <c r="E274" s="49" t="s">
        <v>586</v>
      </c>
      <c r="F274">
        <v>0.27100000000000002</v>
      </c>
      <c r="G274" s="49" t="s">
        <v>626</v>
      </c>
    </row>
    <row r="275" spans="1:7">
      <c r="A275">
        <v>202607</v>
      </c>
      <c r="B275" s="49" t="s">
        <v>591</v>
      </c>
      <c r="C275">
        <v>6300</v>
      </c>
      <c r="D275" s="49" t="s">
        <v>585</v>
      </c>
      <c r="E275" s="49" t="s">
        <v>586</v>
      </c>
      <c r="F275">
        <v>5.4160000000000004</v>
      </c>
      <c r="G275" s="49" t="s">
        <v>626</v>
      </c>
    </row>
    <row r="276" spans="1:7">
      <c r="A276">
        <v>202607</v>
      </c>
      <c r="B276" s="49" t="s">
        <v>592</v>
      </c>
      <c r="C276">
        <v>6300</v>
      </c>
      <c r="D276" s="49" t="s">
        <v>585</v>
      </c>
      <c r="E276" s="49" t="s">
        <v>586</v>
      </c>
      <c r="F276">
        <v>4.6139999999999999</v>
      </c>
      <c r="G276" s="49" t="s">
        <v>626</v>
      </c>
    </row>
    <row r="277" spans="1:7">
      <c r="A277">
        <v>202607</v>
      </c>
      <c r="B277" s="49" t="s">
        <v>593</v>
      </c>
      <c r="C277">
        <v>6300</v>
      </c>
      <c r="D277" s="49" t="s">
        <v>585</v>
      </c>
      <c r="E277" s="49" t="s">
        <v>586</v>
      </c>
      <c r="F277">
        <v>2.6080000000000001</v>
      </c>
      <c r="G277" s="49" t="s">
        <v>626</v>
      </c>
    </row>
    <row r="278" spans="1:7">
      <c r="A278">
        <v>202607</v>
      </c>
      <c r="B278" s="49" t="s">
        <v>594</v>
      </c>
      <c r="C278">
        <v>6300</v>
      </c>
      <c r="D278" s="49" t="s">
        <v>585</v>
      </c>
      <c r="E278" s="49" t="s">
        <v>586</v>
      </c>
      <c r="F278">
        <v>2.0059999999999998</v>
      </c>
      <c r="G278" s="49" t="s">
        <v>626</v>
      </c>
    </row>
    <row r="279" spans="1:7">
      <c r="A279">
        <v>202607</v>
      </c>
      <c r="B279" s="49" t="s">
        <v>595</v>
      </c>
      <c r="C279">
        <v>6300</v>
      </c>
      <c r="D279" s="49" t="s">
        <v>585</v>
      </c>
      <c r="E279" s="49" t="s">
        <v>586</v>
      </c>
      <c r="F279">
        <v>1.605</v>
      </c>
      <c r="G279" s="49" t="s">
        <v>626</v>
      </c>
    </row>
    <row r="280" spans="1:7">
      <c r="A280">
        <v>202608</v>
      </c>
      <c r="B280" s="49" t="s">
        <v>584</v>
      </c>
      <c r="C280">
        <v>6300</v>
      </c>
      <c r="D280" s="49" t="s">
        <v>585</v>
      </c>
      <c r="E280" s="49" t="s">
        <v>586</v>
      </c>
      <c r="F280">
        <v>1.772</v>
      </c>
      <c r="G280" s="49" t="s">
        <v>627</v>
      </c>
    </row>
    <row r="281" spans="1:7">
      <c r="A281">
        <v>202608</v>
      </c>
      <c r="B281" s="49" t="s">
        <v>588</v>
      </c>
      <c r="C281">
        <v>6300</v>
      </c>
      <c r="D281" s="49" t="s">
        <v>585</v>
      </c>
      <c r="E281" s="49" t="s">
        <v>586</v>
      </c>
      <c r="F281">
        <v>1.5189999999999999</v>
      </c>
      <c r="G281" s="49" t="s">
        <v>627</v>
      </c>
    </row>
    <row r="282" spans="1:7">
      <c r="A282">
        <v>202608</v>
      </c>
      <c r="B282" s="49" t="s">
        <v>589</v>
      </c>
      <c r="C282">
        <v>6300</v>
      </c>
      <c r="D282" s="49" t="s">
        <v>585</v>
      </c>
      <c r="E282" s="49" t="s">
        <v>586</v>
      </c>
      <c r="F282">
        <v>1.772</v>
      </c>
      <c r="G282" s="49" t="s">
        <v>627</v>
      </c>
    </row>
    <row r="283" spans="1:7">
      <c r="A283">
        <v>202608</v>
      </c>
      <c r="B283" s="49" t="s">
        <v>590</v>
      </c>
      <c r="C283">
        <v>6300</v>
      </c>
      <c r="D283" s="49" t="s">
        <v>585</v>
      </c>
      <c r="E283" s="49" t="s">
        <v>586</v>
      </c>
      <c r="F283">
        <v>0.38800000000000001</v>
      </c>
      <c r="G283" s="49" t="s">
        <v>627</v>
      </c>
    </row>
    <row r="284" spans="1:7">
      <c r="A284">
        <v>202608</v>
      </c>
      <c r="B284" s="49" t="s">
        <v>591</v>
      </c>
      <c r="C284">
        <v>6300</v>
      </c>
      <c r="D284" s="49" t="s">
        <v>585</v>
      </c>
      <c r="E284" s="49" t="s">
        <v>586</v>
      </c>
      <c r="F284">
        <v>7.7480000000000002</v>
      </c>
      <c r="G284" s="49" t="s">
        <v>627</v>
      </c>
    </row>
    <row r="285" spans="1:7">
      <c r="A285">
        <v>202608</v>
      </c>
      <c r="B285" s="49" t="s">
        <v>592</v>
      </c>
      <c r="C285">
        <v>6300</v>
      </c>
      <c r="D285" s="49" t="s">
        <v>585</v>
      </c>
      <c r="E285" s="49" t="s">
        <v>586</v>
      </c>
      <c r="F285">
        <v>6.6</v>
      </c>
      <c r="G285" s="49" t="s">
        <v>627</v>
      </c>
    </row>
    <row r="286" spans="1:7">
      <c r="A286">
        <v>202608</v>
      </c>
      <c r="B286" s="49" t="s">
        <v>593</v>
      </c>
      <c r="C286">
        <v>6300</v>
      </c>
      <c r="D286" s="49" t="s">
        <v>585</v>
      </c>
      <c r="E286" s="49" t="s">
        <v>586</v>
      </c>
      <c r="F286">
        <v>3.73</v>
      </c>
      <c r="G286" s="49" t="s">
        <v>627</v>
      </c>
    </row>
    <row r="287" spans="1:7">
      <c r="A287">
        <v>202608</v>
      </c>
      <c r="B287" s="49" t="s">
        <v>594</v>
      </c>
      <c r="C287">
        <v>6300</v>
      </c>
      <c r="D287" s="49" t="s">
        <v>585</v>
      </c>
      <c r="E287" s="49" t="s">
        <v>586</v>
      </c>
      <c r="F287">
        <v>2.87</v>
      </c>
      <c r="G287" s="49" t="s">
        <v>627</v>
      </c>
    </row>
    <row r="288" spans="1:7">
      <c r="A288">
        <v>202608</v>
      </c>
      <c r="B288" s="49" t="s">
        <v>595</v>
      </c>
      <c r="C288">
        <v>6300</v>
      </c>
      <c r="D288" s="49" t="s">
        <v>585</v>
      </c>
      <c r="E288" s="49" t="s">
        <v>586</v>
      </c>
      <c r="F288">
        <v>2.2959999999999998</v>
      </c>
      <c r="G288" s="49" t="s">
        <v>627</v>
      </c>
    </row>
    <row r="289" spans="1:7">
      <c r="A289">
        <v>202609</v>
      </c>
      <c r="B289" s="49" t="s">
        <v>584</v>
      </c>
      <c r="C289">
        <v>6300</v>
      </c>
      <c r="D289" s="49" t="s">
        <v>585</v>
      </c>
      <c r="E289" s="49" t="s">
        <v>586</v>
      </c>
      <c r="F289">
        <v>1.772</v>
      </c>
      <c r="G289" s="49" t="s">
        <v>628</v>
      </c>
    </row>
    <row r="290" spans="1:7">
      <c r="A290">
        <v>202609</v>
      </c>
      <c r="B290" s="49" t="s">
        <v>588</v>
      </c>
      <c r="C290">
        <v>6300</v>
      </c>
      <c r="D290" s="49" t="s">
        <v>585</v>
      </c>
      <c r="E290" s="49" t="s">
        <v>586</v>
      </c>
      <c r="F290">
        <v>1.5189999999999999</v>
      </c>
      <c r="G290" s="49" t="s">
        <v>628</v>
      </c>
    </row>
    <row r="291" spans="1:7">
      <c r="A291">
        <v>202609</v>
      </c>
      <c r="B291" s="49" t="s">
        <v>589</v>
      </c>
      <c r="C291">
        <v>6300</v>
      </c>
      <c r="D291" s="49" t="s">
        <v>585</v>
      </c>
      <c r="E291" s="49" t="s">
        <v>586</v>
      </c>
      <c r="F291">
        <v>1.772</v>
      </c>
      <c r="G291" s="49" t="s">
        <v>628</v>
      </c>
    </row>
    <row r="292" spans="1:7">
      <c r="A292">
        <v>202609</v>
      </c>
      <c r="B292" s="49" t="s">
        <v>591</v>
      </c>
      <c r="C292">
        <v>6300</v>
      </c>
      <c r="D292" s="49" t="s">
        <v>585</v>
      </c>
      <c r="E292" s="49" t="s">
        <v>586</v>
      </c>
      <c r="F292">
        <v>7.7480000000000002</v>
      </c>
      <c r="G292" s="49" t="s">
        <v>628</v>
      </c>
    </row>
    <row r="293" spans="1:7">
      <c r="A293">
        <v>202609</v>
      </c>
      <c r="B293" s="49" t="s">
        <v>592</v>
      </c>
      <c r="C293">
        <v>6300</v>
      </c>
      <c r="D293" s="49" t="s">
        <v>585</v>
      </c>
      <c r="E293" s="49" t="s">
        <v>586</v>
      </c>
      <c r="F293">
        <v>6.6</v>
      </c>
      <c r="G293" s="49" t="s">
        <v>628</v>
      </c>
    </row>
    <row r="294" spans="1:7">
      <c r="A294">
        <v>202609</v>
      </c>
      <c r="B294" s="49" t="s">
        <v>593</v>
      </c>
      <c r="C294">
        <v>6300</v>
      </c>
      <c r="D294" s="49" t="s">
        <v>585</v>
      </c>
      <c r="E294" s="49" t="s">
        <v>586</v>
      </c>
      <c r="F294">
        <v>3.73</v>
      </c>
      <c r="G294" s="49" t="s">
        <v>628</v>
      </c>
    </row>
    <row r="295" spans="1:7">
      <c r="A295">
        <v>202609</v>
      </c>
      <c r="B295" s="49" t="s">
        <v>594</v>
      </c>
      <c r="C295">
        <v>6300</v>
      </c>
      <c r="D295" s="49" t="s">
        <v>585</v>
      </c>
      <c r="E295" s="49" t="s">
        <v>586</v>
      </c>
      <c r="F295">
        <v>2.87</v>
      </c>
      <c r="G295" s="49" t="s">
        <v>628</v>
      </c>
    </row>
    <row r="296" spans="1:7">
      <c r="A296">
        <v>202609</v>
      </c>
      <c r="B296" s="49" t="s">
        <v>595</v>
      </c>
      <c r="C296">
        <v>6300</v>
      </c>
      <c r="D296" s="49" t="s">
        <v>585</v>
      </c>
      <c r="E296" s="49" t="s">
        <v>586</v>
      </c>
      <c r="F296">
        <v>2.2959999999999998</v>
      </c>
      <c r="G296" s="49" t="s">
        <v>628</v>
      </c>
    </row>
    <row r="297" spans="1:7">
      <c r="A297">
        <v>202610</v>
      </c>
      <c r="B297" s="49" t="s">
        <v>584</v>
      </c>
      <c r="C297">
        <v>6300</v>
      </c>
      <c r="D297" s="49" t="s">
        <v>585</v>
      </c>
      <c r="E297" s="49" t="s">
        <v>604</v>
      </c>
      <c r="F297">
        <v>1.772</v>
      </c>
      <c r="G297" s="49" t="s">
        <v>629</v>
      </c>
    </row>
    <row r="298" spans="1:7">
      <c r="A298">
        <v>202610</v>
      </c>
      <c r="B298" s="49" t="s">
        <v>588</v>
      </c>
      <c r="C298">
        <v>6300</v>
      </c>
      <c r="D298" s="49" t="s">
        <v>585</v>
      </c>
      <c r="E298" s="49" t="s">
        <v>604</v>
      </c>
      <c r="F298">
        <v>1.5189999999999999</v>
      </c>
      <c r="G298" s="49" t="s">
        <v>629</v>
      </c>
    </row>
    <row r="299" spans="1:7">
      <c r="A299">
        <v>202610</v>
      </c>
      <c r="B299" s="49" t="s">
        <v>589</v>
      </c>
      <c r="C299">
        <v>6300</v>
      </c>
      <c r="D299" s="49" t="s">
        <v>585</v>
      </c>
      <c r="E299" s="49" t="s">
        <v>604</v>
      </c>
      <c r="F299">
        <v>1.772</v>
      </c>
      <c r="G299" s="49" t="s">
        <v>629</v>
      </c>
    </row>
    <row r="300" spans="1:7">
      <c r="A300">
        <v>202610</v>
      </c>
      <c r="B300" s="49" t="s">
        <v>590</v>
      </c>
      <c r="C300">
        <v>6300</v>
      </c>
      <c r="D300" s="49" t="s">
        <v>585</v>
      </c>
      <c r="E300" s="49" t="s">
        <v>604</v>
      </c>
      <c r="F300">
        <v>0.38800000000000001</v>
      </c>
      <c r="G300" s="49" t="s">
        <v>629</v>
      </c>
    </row>
    <row r="301" spans="1:7">
      <c r="A301">
        <v>202610</v>
      </c>
      <c r="B301" s="49" t="s">
        <v>591</v>
      </c>
      <c r="C301">
        <v>6300</v>
      </c>
      <c r="D301" s="49" t="s">
        <v>585</v>
      </c>
      <c r="E301" s="49" t="s">
        <v>604</v>
      </c>
      <c r="F301">
        <v>7.7480000000000002</v>
      </c>
      <c r="G301" s="49" t="s">
        <v>629</v>
      </c>
    </row>
    <row r="302" spans="1:7">
      <c r="A302">
        <v>202610</v>
      </c>
      <c r="B302" s="49" t="s">
        <v>592</v>
      </c>
      <c r="C302">
        <v>6300</v>
      </c>
      <c r="D302" s="49" t="s">
        <v>585</v>
      </c>
      <c r="E302" s="49" t="s">
        <v>604</v>
      </c>
      <c r="F302">
        <v>6.6</v>
      </c>
      <c r="G302" s="49" t="s">
        <v>629</v>
      </c>
    </row>
    <row r="303" spans="1:7">
      <c r="A303">
        <v>202610</v>
      </c>
      <c r="B303" s="49" t="s">
        <v>593</v>
      </c>
      <c r="C303">
        <v>6300</v>
      </c>
      <c r="D303" s="49" t="s">
        <v>585</v>
      </c>
      <c r="E303" s="49" t="s">
        <v>604</v>
      </c>
      <c r="F303">
        <v>3.73</v>
      </c>
      <c r="G303" s="49" t="s">
        <v>629</v>
      </c>
    </row>
    <row r="304" spans="1:7">
      <c r="A304">
        <v>202610</v>
      </c>
      <c r="B304" s="49" t="s">
        <v>594</v>
      </c>
      <c r="C304">
        <v>6300</v>
      </c>
      <c r="D304" s="49" t="s">
        <v>585</v>
      </c>
      <c r="E304" s="49" t="s">
        <v>604</v>
      </c>
      <c r="F304">
        <v>2.87</v>
      </c>
      <c r="G304" s="49" t="s">
        <v>629</v>
      </c>
    </row>
    <row r="305" spans="1:7">
      <c r="A305">
        <v>202610</v>
      </c>
      <c r="B305" s="49" t="s">
        <v>595</v>
      </c>
      <c r="C305">
        <v>6300</v>
      </c>
      <c r="D305" s="49" t="s">
        <v>585</v>
      </c>
      <c r="E305" s="49" t="s">
        <v>604</v>
      </c>
      <c r="F305">
        <v>2.2959999999999998</v>
      </c>
      <c r="G305" s="49" t="s">
        <v>629</v>
      </c>
    </row>
    <row r="306" spans="1:7">
      <c r="A306">
        <v>202611</v>
      </c>
      <c r="B306" s="49" t="s">
        <v>584</v>
      </c>
      <c r="C306">
        <v>6300</v>
      </c>
      <c r="D306" s="49" t="s">
        <v>585</v>
      </c>
      <c r="E306" s="49" t="s">
        <v>604</v>
      </c>
      <c r="F306">
        <v>1.772</v>
      </c>
      <c r="G306" s="49" t="s">
        <v>630</v>
      </c>
    </row>
    <row r="307" spans="1:7">
      <c r="A307">
        <v>202611</v>
      </c>
      <c r="B307" s="49" t="s">
        <v>588</v>
      </c>
      <c r="C307">
        <v>6300</v>
      </c>
      <c r="D307" s="49" t="s">
        <v>585</v>
      </c>
      <c r="E307" s="49" t="s">
        <v>604</v>
      </c>
      <c r="F307">
        <v>1.5189999999999999</v>
      </c>
      <c r="G307" s="49" t="s">
        <v>630</v>
      </c>
    </row>
    <row r="308" spans="1:7">
      <c r="A308">
        <v>202611</v>
      </c>
      <c r="B308" s="49" t="s">
        <v>589</v>
      </c>
      <c r="C308">
        <v>6300</v>
      </c>
      <c r="D308" s="49" t="s">
        <v>585</v>
      </c>
      <c r="E308" s="49" t="s">
        <v>604</v>
      </c>
      <c r="F308">
        <v>1.772</v>
      </c>
      <c r="G308" s="49" t="s">
        <v>630</v>
      </c>
    </row>
    <row r="309" spans="1:7">
      <c r="A309">
        <v>202611</v>
      </c>
      <c r="B309" s="49" t="s">
        <v>590</v>
      </c>
      <c r="C309">
        <v>6300</v>
      </c>
      <c r="D309" s="49" t="s">
        <v>585</v>
      </c>
      <c r="E309" s="49" t="s">
        <v>604</v>
      </c>
      <c r="F309">
        <v>0.38800000000000001</v>
      </c>
      <c r="G309" s="49" t="s">
        <v>630</v>
      </c>
    </row>
    <row r="310" spans="1:7">
      <c r="A310">
        <v>202611</v>
      </c>
      <c r="B310" s="49" t="s">
        <v>591</v>
      </c>
      <c r="C310">
        <v>6300</v>
      </c>
      <c r="D310" s="49" t="s">
        <v>585</v>
      </c>
      <c r="E310" s="49" t="s">
        <v>604</v>
      </c>
      <c r="F310">
        <v>7.7480000000000002</v>
      </c>
      <c r="G310" s="49" t="s">
        <v>630</v>
      </c>
    </row>
    <row r="311" spans="1:7">
      <c r="A311">
        <v>202611</v>
      </c>
      <c r="B311" s="49" t="s">
        <v>592</v>
      </c>
      <c r="C311">
        <v>6300</v>
      </c>
      <c r="D311" s="49" t="s">
        <v>585</v>
      </c>
      <c r="E311" s="49" t="s">
        <v>604</v>
      </c>
      <c r="F311">
        <v>6.6</v>
      </c>
      <c r="G311" s="49" t="s">
        <v>630</v>
      </c>
    </row>
    <row r="312" spans="1:7">
      <c r="A312">
        <v>202611</v>
      </c>
      <c r="B312" s="49" t="s">
        <v>593</v>
      </c>
      <c r="C312">
        <v>6300</v>
      </c>
      <c r="D312" s="49" t="s">
        <v>585</v>
      </c>
      <c r="E312" s="49" t="s">
        <v>604</v>
      </c>
      <c r="F312">
        <v>3.73</v>
      </c>
      <c r="G312" s="49" t="s">
        <v>630</v>
      </c>
    </row>
    <row r="313" spans="1:7">
      <c r="A313">
        <v>202611</v>
      </c>
      <c r="B313" s="49" t="s">
        <v>594</v>
      </c>
      <c r="C313">
        <v>6300</v>
      </c>
      <c r="D313" s="49" t="s">
        <v>585</v>
      </c>
      <c r="E313" s="49" t="s">
        <v>604</v>
      </c>
      <c r="F313">
        <v>2.87</v>
      </c>
      <c r="G313" s="49" t="s">
        <v>630</v>
      </c>
    </row>
    <row r="314" spans="1:7">
      <c r="A314">
        <v>202611</v>
      </c>
      <c r="B314" s="49" t="s">
        <v>595</v>
      </c>
      <c r="C314">
        <v>6300</v>
      </c>
      <c r="D314" s="49" t="s">
        <v>585</v>
      </c>
      <c r="E314" s="49" t="s">
        <v>604</v>
      </c>
      <c r="F314">
        <v>2.2959999999999998</v>
      </c>
      <c r="G314" s="49" t="s">
        <v>630</v>
      </c>
    </row>
    <row r="315" spans="1:7">
      <c r="A315">
        <v>202612</v>
      </c>
      <c r="B315" s="49" t="s">
        <v>584</v>
      </c>
      <c r="C315">
        <v>6300</v>
      </c>
      <c r="D315" s="49" t="s">
        <v>585</v>
      </c>
      <c r="E315" s="49" t="s">
        <v>604</v>
      </c>
      <c r="F315">
        <v>1.772</v>
      </c>
      <c r="G315" s="49" t="s">
        <v>631</v>
      </c>
    </row>
    <row r="316" spans="1:7">
      <c r="A316">
        <v>202612</v>
      </c>
      <c r="B316" s="49" t="s">
        <v>588</v>
      </c>
      <c r="C316">
        <v>6300</v>
      </c>
      <c r="D316" s="49" t="s">
        <v>585</v>
      </c>
      <c r="E316" s="49" t="s">
        <v>604</v>
      </c>
      <c r="F316">
        <v>1.5189999999999999</v>
      </c>
      <c r="G316" s="49" t="s">
        <v>631</v>
      </c>
    </row>
    <row r="317" spans="1:7">
      <c r="A317">
        <v>202612</v>
      </c>
      <c r="B317" s="49" t="s">
        <v>589</v>
      </c>
      <c r="C317">
        <v>6300</v>
      </c>
      <c r="D317" s="49" t="s">
        <v>585</v>
      </c>
      <c r="E317" s="49" t="s">
        <v>604</v>
      </c>
      <c r="F317">
        <v>1.772</v>
      </c>
      <c r="G317" s="49" t="s">
        <v>631</v>
      </c>
    </row>
    <row r="318" spans="1:7">
      <c r="A318">
        <v>202612</v>
      </c>
      <c r="B318" s="49" t="s">
        <v>590</v>
      </c>
      <c r="C318">
        <v>6300</v>
      </c>
      <c r="D318" s="49" t="s">
        <v>585</v>
      </c>
      <c r="E318" s="49" t="s">
        <v>604</v>
      </c>
      <c r="F318">
        <v>0.38800000000000001</v>
      </c>
      <c r="G318" s="49" t="s">
        <v>631</v>
      </c>
    </row>
    <row r="319" spans="1:7">
      <c r="A319">
        <v>202612</v>
      </c>
      <c r="B319" s="49" t="s">
        <v>591</v>
      </c>
      <c r="C319">
        <v>6300</v>
      </c>
      <c r="D319" s="49" t="s">
        <v>585</v>
      </c>
      <c r="E319" s="49" t="s">
        <v>604</v>
      </c>
      <c r="F319">
        <v>7.7480000000000002</v>
      </c>
      <c r="G319" s="49" t="s">
        <v>631</v>
      </c>
    </row>
    <row r="320" spans="1:7">
      <c r="A320">
        <v>202612</v>
      </c>
      <c r="B320" s="49" t="s">
        <v>592</v>
      </c>
      <c r="C320">
        <v>6300</v>
      </c>
      <c r="D320" s="49" t="s">
        <v>585</v>
      </c>
      <c r="E320" s="49" t="s">
        <v>604</v>
      </c>
      <c r="F320">
        <v>6.6</v>
      </c>
      <c r="G320" s="49" t="s">
        <v>631</v>
      </c>
    </row>
    <row r="321" spans="1:7">
      <c r="A321">
        <v>202612</v>
      </c>
      <c r="B321" s="49" t="s">
        <v>593</v>
      </c>
      <c r="C321">
        <v>6300</v>
      </c>
      <c r="D321" s="49" t="s">
        <v>585</v>
      </c>
      <c r="E321" s="49" t="s">
        <v>604</v>
      </c>
      <c r="F321">
        <v>3.73</v>
      </c>
      <c r="G321" s="49" t="s">
        <v>631</v>
      </c>
    </row>
    <row r="322" spans="1:7">
      <c r="A322">
        <v>202612</v>
      </c>
      <c r="B322" s="49" t="s">
        <v>594</v>
      </c>
      <c r="C322">
        <v>6300</v>
      </c>
      <c r="D322" s="49" t="s">
        <v>585</v>
      </c>
      <c r="E322" s="49" t="s">
        <v>604</v>
      </c>
      <c r="F322">
        <v>2.87</v>
      </c>
      <c r="G322" s="49" t="s">
        <v>631</v>
      </c>
    </row>
    <row r="323" spans="1:7">
      <c r="A323">
        <v>202612</v>
      </c>
      <c r="B323" s="49" t="s">
        <v>595</v>
      </c>
      <c r="C323">
        <v>6300</v>
      </c>
      <c r="D323" s="49" t="s">
        <v>585</v>
      </c>
      <c r="E323" s="49" t="s">
        <v>604</v>
      </c>
      <c r="F323">
        <v>2.2959999999999998</v>
      </c>
      <c r="G323" s="49" t="s">
        <v>631</v>
      </c>
    </row>
    <row r="324" spans="1:7">
      <c r="A324">
        <v>202601</v>
      </c>
      <c r="B324" s="49" t="s">
        <v>584</v>
      </c>
      <c r="C324">
        <v>3600</v>
      </c>
      <c r="D324" s="49" t="s">
        <v>585</v>
      </c>
      <c r="E324" s="49" t="s">
        <v>586</v>
      </c>
      <c r="F324">
        <v>0.16700000000000001</v>
      </c>
      <c r="G324" s="49" t="s">
        <v>632</v>
      </c>
    </row>
    <row r="325" spans="1:7">
      <c r="A325">
        <v>202601</v>
      </c>
      <c r="B325" s="49" t="s">
        <v>588</v>
      </c>
      <c r="C325">
        <v>3600</v>
      </c>
      <c r="D325" s="49" t="s">
        <v>585</v>
      </c>
      <c r="E325" s="49" t="s">
        <v>586</v>
      </c>
      <c r="F325">
        <v>0.151</v>
      </c>
      <c r="G325" s="49" t="s">
        <v>632</v>
      </c>
    </row>
    <row r="326" spans="1:7">
      <c r="A326">
        <v>202601</v>
      </c>
      <c r="B326" s="49" t="s">
        <v>590</v>
      </c>
      <c r="C326">
        <v>3600</v>
      </c>
      <c r="D326" s="49" t="s">
        <v>585</v>
      </c>
      <c r="E326" s="49" t="s">
        <v>586</v>
      </c>
      <c r="F326">
        <v>1.7000000000000001E-2</v>
      </c>
      <c r="G326" s="49" t="s">
        <v>632</v>
      </c>
    </row>
    <row r="327" spans="1:7">
      <c r="A327">
        <v>202601</v>
      </c>
      <c r="B327" s="49" t="s">
        <v>591</v>
      </c>
      <c r="C327">
        <v>3030</v>
      </c>
      <c r="D327" s="49" t="s">
        <v>585</v>
      </c>
      <c r="E327" s="49" t="s">
        <v>586</v>
      </c>
      <c r="F327">
        <v>1.4730000000000001</v>
      </c>
      <c r="G327" s="49" t="s">
        <v>632</v>
      </c>
    </row>
    <row r="328" spans="1:7">
      <c r="A328">
        <v>202601</v>
      </c>
      <c r="B328" s="49" t="s">
        <v>592</v>
      </c>
      <c r="C328">
        <v>3030</v>
      </c>
      <c r="D328" s="49" t="s">
        <v>585</v>
      </c>
      <c r="E328" s="49" t="s">
        <v>586</v>
      </c>
      <c r="F328">
        <v>0.82</v>
      </c>
      <c r="G328" s="49" t="s">
        <v>632</v>
      </c>
    </row>
    <row r="329" spans="1:7">
      <c r="A329">
        <v>202601</v>
      </c>
      <c r="B329" s="49" t="s">
        <v>593</v>
      </c>
      <c r="C329">
        <v>3030</v>
      </c>
      <c r="D329" s="49" t="s">
        <v>585</v>
      </c>
      <c r="E329" s="49" t="s">
        <v>586</v>
      </c>
      <c r="F329">
        <v>0.49399999999999999</v>
      </c>
      <c r="G329" s="49" t="s">
        <v>632</v>
      </c>
    </row>
    <row r="330" spans="1:7">
      <c r="A330">
        <v>202601</v>
      </c>
      <c r="B330" s="49" t="s">
        <v>594</v>
      </c>
      <c r="C330">
        <v>3030</v>
      </c>
      <c r="D330" s="49" t="s">
        <v>585</v>
      </c>
      <c r="E330" s="49" t="s">
        <v>586</v>
      </c>
      <c r="F330">
        <v>0.32600000000000001</v>
      </c>
      <c r="G330" s="49" t="s">
        <v>632</v>
      </c>
    </row>
    <row r="331" spans="1:7">
      <c r="A331">
        <v>202601</v>
      </c>
      <c r="B331" s="49" t="s">
        <v>595</v>
      </c>
      <c r="C331">
        <v>3030</v>
      </c>
      <c r="D331" s="49" t="s">
        <v>585</v>
      </c>
      <c r="E331" s="49" t="s">
        <v>586</v>
      </c>
      <c r="F331">
        <v>0.58599999999999997</v>
      </c>
      <c r="G331" s="49" t="s">
        <v>632</v>
      </c>
    </row>
    <row r="332" spans="1:7">
      <c r="A332">
        <v>202602</v>
      </c>
      <c r="B332" s="49" t="s">
        <v>584</v>
      </c>
      <c r="C332">
        <v>3600</v>
      </c>
      <c r="D332" s="49" t="s">
        <v>585</v>
      </c>
      <c r="E332" s="49" t="s">
        <v>586</v>
      </c>
      <c r="F332">
        <v>0.16700000000000001</v>
      </c>
      <c r="G332" s="49" t="s">
        <v>633</v>
      </c>
    </row>
    <row r="333" spans="1:7">
      <c r="A333">
        <v>202602</v>
      </c>
      <c r="B333" s="49" t="s">
        <v>588</v>
      </c>
      <c r="C333">
        <v>3600</v>
      </c>
      <c r="D333" s="49" t="s">
        <v>585</v>
      </c>
      <c r="E333" s="49" t="s">
        <v>586</v>
      </c>
      <c r="F333">
        <v>0.151</v>
      </c>
      <c r="G333" s="49" t="s">
        <v>633</v>
      </c>
    </row>
    <row r="334" spans="1:7">
      <c r="A334">
        <v>202602</v>
      </c>
      <c r="B334" s="49" t="s">
        <v>590</v>
      </c>
      <c r="C334">
        <v>3600</v>
      </c>
      <c r="D334" s="49" t="s">
        <v>585</v>
      </c>
      <c r="E334" s="49" t="s">
        <v>586</v>
      </c>
      <c r="F334">
        <v>1.7000000000000001E-2</v>
      </c>
      <c r="G334" s="49" t="s">
        <v>633</v>
      </c>
    </row>
    <row r="335" spans="1:7">
      <c r="A335">
        <v>202602</v>
      </c>
      <c r="B335" s="49" t="s">
        <v>591</v>
      </c>
      <c r="C335">
        <v>3030</v>
      </c>
      <c r="D335" s="49" t="s">
        <v>585</v>
      </c>
      <c r="E335" s="49" t="s">
        <v>586</v>
      </c>
      <c r="F335">
        <v>1.4730000000000001</v>
      </c>
      <c r="G335" s="49" t="s">
        <v>633</v>
      </c>
    </row>
    <row r="336" spans="1:7">
      <c r="A336">
        <v>202602</v>
      </c>
      <c r="B336" s="49" t="s">
        <v>592</v>
      </c>
      <c r="C336">
        <v>3030</v>
      </c>
      <c r="D336" s="49" t="s">
        <v>585</v>
      </c>
      <c r="E336" s="49" t="s">
        <v>586</v>
      </c>
      <c r="F336">
        <v>0.82</v>
      </c>
      <c r="G336" s="49" t="s">
        <v>633</v>
      </c>
    </row>
    <row r="337" spans="1:7">
      <c r="A337">
        <v>202602</v>
      </c>
      <c r="B337" s="49" t="s">
        <v>593</v>
      </c>
      <c r="C337">
        <v>3030</v>
      </c>
      <c r="D337" s="49" t="s">
        <v>585</v>
      </c>
      <c r="E337" s="49" t="s">
        <v>586</v>
      </c>
      <c r="F337">
        <v>0.49399999999999999</v>
      </c>
      <c r="G337" s="49" t="s">
        <v>633</v>
      </c>
    </row>
    <row r="338" spans="1:7">
      <c r="A338">
        <v>202602</v>
      </c>
      <c r="B338" s="49" t="s">
        <v>594</v>
      </c>
      <c r="C338">
        <v>3030</v>
      </c>
      <c r="D338" s="49" t="s">
        <v>585</v>
      </c>
      <c r="E338" s="49" t="s">
        <v>586</v>
      </c>
      <c r="F338">
        <v>0.32600000000000001</v>
      </c>
      <c r="G338" s="49" t="s">
        <v>633</v>
      </c>
    </row>
    <row r="339" spans="1:7">
      <c r="A339">
        <v>202602</v>
      </c>
      <c r="B339" s="49" t="s">
        <v>595</v>
      </c>
      <c r="C339">
        <v>3030</v>
      </c>
      <c r="D339" s="49" t="s">
        <v>585</v>
      </c>
      <c r="E339" s="49" t="s">
        <v>586</v>
      </c>
      <c r="F339">
        <v>0.58599999999999997</v>
      </c>
      <c r="G339" s="49" t="s">
        <v>633</v>
      </c>
    </row>
    <row r="340" spans="1:7">
      <c r="A340">
        <v>202603</v>
      </c>
      <c r="B340" s="49" t="s">
        <v>584</v>
      </c>
      <c r="C340">
        <v>3600</v>
      </c>
      <c r="D340" s="49" t="s">
        <v>585</v>
      </c>
      <c r="E340" s="49" t="s">
        <v>586</v>
      </c>
      <c r="F340">
        <v>0.16700000000000001</v>
      </c>
      <c r="G340" s="49" t="s">
        <v>634</v>
      </c>
    </row>
    <row r="341" spans="1:7">
      <c r="A341">
        <v>202603</v>
      </c>
      <c r="B341" s="49" t="s">
        <v>588</v>
      </c>
      <c r="C341">
        <v>3600</v>
      </c>
      <c r="D341" s="49" t="s">
        <v>585</v>
      </c>
      <c r="E341" s="49" t="s">
        <v>586</v>
      </c>
      <c r="F341">
        <v>0.151</v>
      </c>
      <c r="G341" s="49" t="s">
        <v>634</v>
      </c>
    </row>
    <row r="342" spans="1:7">
      <c r="A342">
        <v>202603</v>
      </c>
      <c r="B342" s="49" t="s">
        <v>590</v>
      </c>
      <c r="C342">
        <v>3600</v>
      </c>
      <c r="D342" s="49" t="s">
        <v>585</v>
      </c>
      <c r="E342" s="49" t="s">
        <v>586</v>
      </c>
      <c r="F342">
        <v>1.7000000000000001E-2</v>
      </c>
      <c r="G342" s="49" t="s">
        <v>634</v>
      </c>
    </row>
    <row r="343" spans="1:7">
      <c r="A343">
        <v>202603</v>
      </c>
      <c r="B343" s="49" t="s">
        <v>591</v>
      </c>
      <c r="C343">
        <v>3030</v>
      </c>
      <c r="D343" s="49" t="s">
        <v>585</v>
      </c>
      <c r="E343" s="49" t="s">
        <v>586</v>
      </c>
      <c r="F343">
        <v>1.4730000000000001</v>
      </c>
      <c r="G343" s="49" t="s">
        <v>634</v>
      </c>
    </row>
    <row r="344" spans="1:7">
      <c r="A344">
        <v>202603</v>
      </c>
      <c r="B344" s="49" t="s">
        <v>592</v>
      </c>
      <c r="C344">
        <v>3030</v>
      </c>
      <c r="D344" s="49" t="s">
        <v>585</v>
      </c>
      <c r="E344" s="49" t="s">
        <v>586</v>
      </c>
      <c r="F344">
        <v>0.82</v>
      </c>
      <c r="G344" s="49" t="s">
        <v>634</v>
      </c>
    </row>
    <row r="345" spans="1:7">
      <c r="A345">
        <v>202603</v>
      </c>
      <c r="B345" s="49" t="s">
        <v>593</v>
      </c>
      <c r="C345">
        <v>3030</v>
      </c>
      <c r="D345" s="49" t="s">
        <v>585</v>
      </c>
      <c r="E345" s="49" t="s">
        <v>586</v>
      </c>
      <c r="F345">
        <v>0.49399999999999999</v>
      </c>
      <c r="G345" s="49" t="s">
        <v>634</v>
      </c>
    </row>
    <row r="346" spans="1:7">
      <c r="A346">
        <v>202603</v>
      </c>
      <c r="B346" s="49" t="s">
        <v>594</v>
      </c>
      <c r="C346">
        <v>3030</v>
      </c>
      <c r="D346" s="49" t="s">
        <v>585</v>
      </c>
      <c r="E346" s="49" t="s">
        <v>586</v>
      </c>
      <c r="F346">
        <v>0.32600000000000001</v>
      </c>
      <c r="G346" s="49" t="s">
        <v>634</v>
      </c>
    </row>
    <row r="347" spans="1:7">
      <c r="A347">
        <v>202603</v>
      </c>
      <c r="B347" s="49" t="s">
        <v>595</v>
      </c>
      <c r="C347">
        <v>3030</v>
      </c>
      <c r="D347" s="49" t="s">
        <v>585</v>
      </c>
      <c r="E347" s="49" t="s">
        <v>586</v>
      </c>
      <c r="F347">
        <v>0.58599999999999997</v>
      </c>
      <c r="G347" s="49" t="s">
        <v>634</v>
      </c>
    </row>
    <row r="348" spans="1:7">
      <c r="A348">
        <v>202604</v>
      </c>
      <c r="B348" s="49" t="s">
        <v>584</v>
      </c>
      <c r="C348">
        <v>3600</v>
      </c>
      <c r="D348" s="49" t="s">
        <v>585</v>
      </c>
      <c r="E348" s="49" t="s">
        <v>586</v>
      </c>
      <c r="F348">
        <v>0.16700000000000001</v>
      </c>
      <c r="G348" s="49" t="s">
        <v>635</v>
      </c>
    </row>
    <row r="349" spans="1:7">
      <c r="A349">
        <v>202604</v>
      </c>
      <c r="B349" s="49" t="s">
        <v>588</v>
      </c>
      <c r="C349">
        <v>3600</v>
      </c>
      <c r="D349" s="49" t="s">
        <v>585</v>
      </c>
      <c r="E349" s="49" t="s">
        <v>586</v>
      </c>
      <c r="F349">
        <v>0.151</v>
      </c>
      <c r="G349" s="49" t="s">
        <v>635</v>
      </c>
    </row>
    <row r="350" spans="1:7">
      <c r="A350">
        <v>202604</v>
      </c>
      <c r="B350" s="49" t="s">
        <v>590</v>
      </c>
      <c r="C350">
        <v>3600</v>
      </c>
      <c r="D350" s="49" t="s">
        <v>585</v>
      </c>
      <c r="E350" s="49" t="s">
        <v>586</v>
      </c>
      <c r="F350">
        <v>1.7000000000000001E-2</v>
      </c>
      <c r="G350" s="49" t="s">
        <v>635</v>
      </c>
    </row>
    <row r="351" spans="1:7">
      <c r="A351">
        <v>202604</v>
      </c>
      <c r="B351" s="49" t="s">
        <v>591</v>
      </c>
      <c r="C351">
        <v>3030</v>
      </c>
      <c r="D351" s="49" t="s">
        <v>585</v>
      </c>
      <c r="E351" s="49" t="s">
        <v>586</v>
      </c>
      <c r="F351">
        <v>1.4730000000000001</v>
      </c>
      <c r="G351" s="49" t="s">
        <v>635</v>
      </c>
    </row>
    <row r="352" spans="1:7">
      <c r="A352">
        <v>202604</v>
      </c>
      <c r="B352" s="49" t="s">
        <v>592</v>
      </c>
      <c r="C352">
        <v>3030</v>
      </c>
      <c r="D352" s="49" t="s">
        <v>585</v>
      </c>
      <c r="E352" s="49" t="s">
        <v>586</v>
      </c>
      <c r="F352">
        <v>0.82</v>
      </c>
      <c r="G352" s="49" t="s">
        <v>635</v>
      </c>
    </row>
    <row r="353" spans="1:7">
      <c r="A353">
        <v>202604</v>
      </c>
      <c r="B353" s="49" t="s">
        <v>593</v>
      </c>
      <c r="C353">
        <v>3030</v>
      </c>
      <c r="D353" s="49" t="s">
        <v>585</v>
      </c>
      <c r="E353" s="49" t="s">
        <v>586</v>
      </c>
      <c r="F353">
        <v>0.49399999999999999</v>
      </c>
      <c r="G353" s="49" t="s">
        <v>635</v>
      </c>
    </row>
    <row r="354" spans="1:7">
      <c r="A354">
        <v>202604</v>
      </c>
      <c r="B354" s="49" t="s">
        <v>594</v>
      </c>
      <c r="C354">
        <v>3030</v>
      </c>
      <c r="D354" s="49" t="s">
        <v>585</v>
      </c>
      <c r="E354" s="49" t="s">
        <v>586</v>
      </c>
      <c r="F354">
        <v>0.32600000000000001</v>
      </c>
      <c r="G354" s="49" t="s">
        <v>635</v>
      </c>
    </row>
    <row r="355" spans="1:7">
      <c r="A355">
        <v>202604</v>
      </c>
      <c r="B355" s="49" t="s">
        <v>595</v>
      </c>
      <c r="C355">
        <v>3030</v>
      </c>
      <c r="D355" s="49" t="s">
        <v>585</v>
      </c>
      <c r="E355" s="49" t="s">
        <v>586</v>
      </c>
      <c r="F355">
        <v>0.58599999999999997</v>
      </c>
      <c r="G355" s="49" t="s">
        <v>635</v>
      </c>
    </row>
    <row r="356" spans="1:7">
      <c r="A356">
        <v>202605</v>
      </c>
      <c r="B356" s="49" t="s">
        <v>584</v>
      </c>
      <c r="C356">
        <v>3600</v>
      </c>
      <c r="D356" s="49" t="s">
        <v>585</v>
      </c>
      <c r="E356" s="49" t="s">
        <v>586</v>
      </c>
      <c r="F356">
        <v>0.16700000000000001</v>
      </c>
      <c r="G356" s="49" t="s">
        <v>636</v>
      </c>
    </row>
    <row r="357" spans="1:7">
      <c r="A357">
        <v>202605</v>
      </c>
      <c r="B357" s="49" t="s">
        <v>588</v>
      </c>
      <c r="C357">
        <v>3600</v>
      </c>
      <c r="D357" s="49" t="s">
        <v>585</v>
      </c>
      <c r="E357" s="49" t="s">
        <v>586</v>
      </c>
      <c r="F357">
        <v>0.151</v>
      </c>
      <c r="G357" s="49" t="s">
        <v>636</v>
      </c>
    </row>
    <row r="358" spans="1:7">
      <c r="A358">
        <v>202605</v>
      </c>
      <c r="B358" s="49" t="s">
        <v>590</v>
      </c>
      <c r="C358">
        <v>3600</v>
      </c>
      <c r="D358" s="49" t="s">
        <v>585</v>
      </c>
      <c r="E358" s="49" t="s">
        <v>586</v>
      </c>
      <c r="F358">
        <v>1.7000000000000001E-2</v>
      </c>
      <c r="G358" s="49" t="s">
        <v>636</v>
      </c>
    </row>
    <row r="359" spans="1:7">
      <c r="A359">
        <v>202605</v>
      </c>
      <c r="B359" s="49" t="s">
        <v>591</v>
      </c>
      <c r="C359">
        <v>3030</v>
      </c>
      <c r="D359" s="49" t="s">
        <v>585</v>
      </c>
      <c r="E359" s="49" t="s">
        <v>586</v>
      </c>
      <c r="F359">
        <v>1.4730000000000001</v>
      </c>
      <c r="G359" s="49" t="s">
        <v>636</v>
      </c>
    </row>
    <row r="360" spans="1:7">
      <c r="A360">
        <v>202605</v>
      </c>
      <c r="B360" s="49" t="s">
        <v>592</v>
      </c>
      <c r="C360">
        <v>3030</v>
      </c>
      <c r="D360" s="49" t="s">
        <v>585</v>
      </c>
      <c r="E360" s="49" t="s">
        <v>586</v>
      </c>
      <c r="F360">
        <v>0.82</v>
      </c>
      <c r="G360" s="49" t="s">
        <v>636</v>
      </c>
    </row>
    <row r="361" spans="1:7">
      <c r="A361">
        <v>202605</v>
      </c>
      <c r="B361" s="49" t="s">
        <v>593</v>
      </c>
      <c r="C361">
        <v>3030</v>
      </c>
      <c r="D361" s="49" t="s">
        <v>585</v>
      </c>
      <c r="E361" s="49" t="s">
        <v>586</v>
      </c>
      <c r="F361">
        <v>0.49399999999999999</v>
      </c>
      <c r="G361" s="49" t="s">
        <v>636</v>
      </c>
    </row>
    <row r="362" spans="1:7">
      <c r="A362">
        <v>202605</v>
      </c>
      <c r="B362" s="49" t="s">
        <v>594</v>
      </c>
      <c r="C362">
        <v>3030</v>
      </c>
      <c r="D362" s="49" t="s">
        <v>585</v>
      </c>
      <c r="E362" s="49" t="s">
        <v>586</v>
      </c>
      <c r="F362">
        <v>0.32600000000000001</v>
      </c>
      <c r="G362" s="49" t="s">
        <v>636</v>
      </c>
    </row>
    <row r="363" spans="1:7">
      <c r="A363">
        <v>202605</v>
      </c>
      <c r="B363" s="49" t="s">
        <v>595</v>
      </c>
      <c r="C363">
        <v>3030</v>
      </c>
      <c r="D363" s="49" t="s">
        <v>585</v>
      </c>
      <c r="E363" s="49" t="s">
        <v>586</v>
      </c>
      <c r="F363">
        <v>0.58599999999999997</v>
      </c>
      <c r="G363" s="49" t="s">
        <v>636</v>
      </c>
    </row>
    <row r="364" spans="1:7">
      <c r="A364">
        <v>202606</v>
      </c>
      <c r="B364" s="49" t="s">
        <v>584</v>
      </c>
      <c r="C364">
        <v>3600</v>
      </c>
      <c r="D364" s="49" t="s">
        <v>585</v>
      </c>
      <c r="E364" s="49" t="s">
        <v>586</v>
      </c>
      <c r="F364">
        <v>0.16800000000000001</v>
      </c>
      <c r="G364" s="49" t="s">
        <v>637</v>
      </c>
    </row>
    <row r="365" spans="1:7">
      <c r="A365">
        <v>202606</v>
      </c>
      <c r="B365" s="49" t="s">
        <v>588</v>
      </c>
      <c r="C365">
        <v>3600</v>
      </c>
      <c r="D365" s="49" t="s">
        <v>585</v>
      </c>
      <c r="E365" s="49" t="s">
        <v>586</v>
      </c>
      <c r="F365">
        <v>0.151</v>
      </c>
      <c r="G365" s="49" t="s">
        <v>637</v>
      </c>
    </row>
    <row r="366" spans="1:7">
      <c r="A366">
        <v>202606</v>
      </c>
      <c r="B366" s="49" t="s">
        <v>590</v>
      </c>
      <c r="C366">
        <v>3600</v>
      </c>
      <c r="D366" s="49" t="s">
        <v>585</v>
      </c>
      <c r="E366" s="49" t="s">
        <v>586</v>
      </c>
      <c r="F366">
        <v>1.7000000000000001E-2</v>
      </c>
      <c r="G366" s="49" t="s">
        <v>637</v>
      </c>
    </row>
    <row r="367" spans="1:7">
      <c r="A367">
        <v>202606</v>
      </c>
      <c r="B367" s="49" t="s">
        <v>591</v>
      </c>
      <c r="C367">
        <v>3030</v>
      </c>
      <c r="D367" s="49" t="s">
        <v>585</v>
      </c>
      <c r="E367" s="49" t="s">
        <v>586</v>
      </c>
      <c r="F367">
        <v>1.478</v>
      </c>
      <c r="G367" s="49" t="s">
        <v>637</v>
      </c>
    </row>
    <row r="368" spans="1:7">
      <c r="A368">
        <v>202606</v>
      </c>
      <c r="B368" s="49" t="s">
        <v>592</v>
      </c>
      <c r="C368">
        <v>3030</v>
      </c>
      <c r="D368" s="49" t="s">
        <v>585</v>
      </c>
      <c r="E368" s="49" t="s">
        <v>586</v>
      </c>
      <c r="F368">
        <v>0.82299999999999995</v>
      </c>
      <c r="G368" s="49" t="s">
        <v>637</v>
      </c>
    </row>
    <row r="369" spans="1:7">
      <c r="A369">
        <v>202606</v>
      </c>
      <c r="B369" s="49" t="s">
        <v>593</v>
      </c>
      <c r="C369">
        <v>3030</v>
      </c>
      <c r="D369" s="49" t="s">
        <v>585</v>
      </c>
      <c r="E369" s="49" t="s">
        <v>586</v>
      </c>
      <c r="F369">
        <v>0.496</v>
      </c>
      <c r="G369" s="49" t="s">
        <v>637</v>
      </c>
    </row>
    <row r="370" spans="1:7">
      <c r="A370">
        <v>202606</v>
      </c>
      <c r="B370" s="49" t="s">
        <v>594</v>
      </c>
      <c r="C370">
        <v>3030</v>
      </c>
      <c r="D370" s="49" t="s">
        <v>585</v>
      </c>
      <c r="E370" s="49" t="s">
        <v>586</v>
      </c>
      <c r="F370">
        <v>0.32800000000000001</v>
      </c>
      <c r="G370" s="49" t="s">
        <v>637</v>
      </c>
    </row>
    <row r="371" spans="1:7">
      <c r="A371">
        <v>202606</v>
      </c>
      <c r="B371" s="49" t="s">
        <v>595</v>
      </c>
      <c r="C371">
        <v>3030</v>
      </c>
      <c r="D371" s="49" t="s">
        <v>585</v>
      </c>
      <c r="E371" s="49" t="s">
        <v>586</v>
      </c>
      <c r="F371">
        <v>0.58799999999999997</v>
      </c>
      <c r="G371" s="49" t="s">
        <v>637</v>
      </c>
    </row>
    <row r="372" spans="1:7">
      <c r="A372">
        <v>202607</v>
      </c>
      <c r="B372" s="49" t="s">
        <v>584</v>
      </c>
      <c r="C372">
        <v>3600</v>
      </c>
      <c r="D372" s="49" t="s">
        <v>585</v>
      </c>
      <c r="E372" s="49" t="s">
        <v>586</v>
      </c>
      <c r="F372">
        <v>0.158</v>
      </c>
      <c r="G372" s="49" t="s">
        <v>638</v>
      </c>
    </row>
    <row r="373" spans="1:7">
      <c r="A373">
        <v>202607</v>
      </c>
      <c r="B373" s="49" t="s">
        <v>588</v>
      </c>
      <c r="C373">
        <v>3600</v>
      </c>
      <c r="D373" s="49" t="s">
        <v>585</v>
      </c>
      <c r="E373" s="49" t="s">
        <v>586</v>
      </c>
      <c r="F373">
        <v>0.14199999999999999</v>
      </c>
      <c r="G373" s="49" t="s">
        <v>638</v>
      </c>
    </row>
    <row r="374" spans="1:7">
      <c r="A374">
        <v>202607</v>
      </c>
      <c r="B374" s="49" t="s">
        <v>590</v>
      </c>
      <c r="C374">
        <v>3600</v>
      </c>
      <c r="D374" s="49" t="s">
        <v>585</v>
      </c>
      <c r="E374" s="49" t="s">
        <v>586</v>
      </c>
      <c r="F374">
        <v>1.6E-2</v>
      </c>
      <c r="G374" s="49" t="s">
        <v>638</v>
      </c>
    </row>
    <row r="375" spans="1:7">
      <c r="A375">
        <v>202607</v>
      </c>
      <c r="B375" s="49" t="s">
        <v>591</v>
      </c>
      <c r="C375">
        <v>3030</v>
      </c>
      <c r="D375" s="49" t="s">
        <v>585</v>
      </c>
      <c r="E375" s="49" t="s">
        <v>586</v>
      </c>
      <c r="F375">
        <v>1.39</v>
      </c>
      <c r="G375" s="49" t="s">
        <v>638</v>
      </c>
    </row>
    <row r="376" spans="1:7">
      <c r="A376">
        <v>202607</v>
      </c>
      <c r="B376" s="49" t="s">
        <v>592</v>
      </c>
      <c r="C376">
        <v>3030</v>
      </c>
      <c r="D376" s="49" t="s">
        <v>585</v>
      </c>
      <c r="E376" s="49" t="s">
        <v>586</v>
      </c>
      <c r="F376">
        <v>0.77400000000000002</v>
      </c>
      <c r="G376" s="49" t="s">
        <v>638</v>
      </c>
    </row>
    <row r="377" spans="1:7">
      <c r="A377">
        <v>202607</v>
      </c>
      <c r="B377" s="49" t="s">
        <v>593</v>
      </c>
      <c r="C377">
        <v>3030</v>
      </c>
      <c r="D377" s="49" t="s">
        <v>585</v>
      </c>
      <c r="E377" s="49" t="s">
        <v>586</v>
      </c>
      <c r="F377">
        <v>0.46600000000000003</v>
      </c>
      <c r="G377" s="49" t="s">
        <v>638</v>
      </c>
    </row>
    <row r="378" spans="1:7">
      <c r="A378">
        <v>202607</v>
      </c>
      <c r="B378" s="49" t="s">
        <v>594</v>
      </c>
      <c r="C378">
        <v>3030</v>
      </c>
      <c r="D378" s="49" t="s">
        <v>585</v>
      </c>
      <c r="E378" s="49" t="s">
        <v>586</v>
      </c>
      <c r="F378">
        <v>0.308</v>
      </c>
      <c r="G378" s="49" t="s">
        <v>638</v>
      </c>
    </row>
    <row r="379" spans="1:7">
      <c r="A379">
        <v>202607</v>
      </c>
      <c r="B379" s="49" t="s">
        <v>595</v>
      </c>
      <c r="C379">
        <v>3030</v>
      </c>
      <c r="D379" s="49" t="s">
        <v>585</v>
      </c>
      <c r="E379" s="49" t="s">
        <v>586</v>
      </c>
      <c r="F379">
        <v>0.55300000000000005</v>
      </c>
      <c r="G379" s="49" t="s">
        <v>638</v>
      </c>
    </row>
    <row r="380" spans="1:7">
      <c r="A380">
        <v>202608</v>
      </c>
      <c r="B380" s="49" t="s">
        <v>584</v>
      </c>
      <c r="C380">
        <v>3600</v>
      </c>
      <c r="D380" s="49" t="s">
        <v>585</v>
      </c>
      <c r="E380" s="49" t="s">
        <v>586</v>
      </c>
      <c r="F380">
        <v>0.16700000000000001</v>
      </c>
      <c r="G380" s="49" t="s">
        <v>639</v>
      </c>
    </row>
    <row r="381" spans="1:7">
      <c r="A381">
        <v>202608</v>
      </c>
      <c r="B381" s="49" t="s">
        <v>588</v>
      </c>
      <c r="C381">
        <v>3600</v>
      </c>
      <c r="D381" s="49" t="s">
        <v>585</v>
      </c>
      <c r="E381" s="49" t="s">
        <v>586</v>
      </c>
      <c r="F381">
        <v>0.151</v>
      </c>
      <c r="G381" s="49" t="s">
        <v>639</v>
      </c>
    </row>
    <row r="382" spans="1:7">
      <c r="A382">
        <v>202608</v>
      </c>
      <c r="B382" s="49" t="s">
        <v>590</v>
      </c>
      <c r="C382">
        <v>3600</v>
      </c>
      <c r="D382" s="49" t="s">
        <v>585</v>
      </c>
      <c r="E382" s="49" t="s">
        <v>586</v>
      </c>
      <c r="F382">
        <v>1.7000000000000001E-2</v>
      </c>
      <c r="G382" s="49" t="s">
        <v>639</v>
      </c>
    </row>
    <row r="383" spans="1:7">
      <c r="A383">
        <v>202608</v>
      </c>
      <c r="B383" s="49" t="s">
        <v>591</v>
      </c>
      <c r="C383">
        <v>3030</v>
      </c>
      <c r="D383" s="49" t="s">
        <v>585</v>
      </c>
      <c r="E383" s="49" t="s">
        <v>586</v>
      </c>
      <c r="F383">
        <v>1.4730000000000001</v>
      </c>
      <c r="G383" s="49" t="s">
        <v>639</v>
      </c>
    </row>
    <row r="384" spans="1:7">
      <c r="A384">
        <v>202608</v>
      </c>
      <c r="B384" s="49" t="s">
        <v>592</v>
      </c>
      <c r="C384">
        <v>3030</v>
      </c>
      <c r="D384" s="49" t="s">
        <v>585</v>
      </c>
      <c r="E384" s="49" t="s">
        <v>586</v>
      </c>
      <c r="F384">
        <v>0.82</v>
      </c>
      <c r="G384" s="49" t="s">
        <v>639</v>
      </c>
    </row>
    <row r="385" spans="1:7">
      <c r="A385">
        <v>202608</v>
      </c>
      <c r="B385" s="49" t="s">
        <v>593</v>
      </c>
      <c r="C385">
        <v>3030</v>
      </c>
      <c r="D385" s="49" t="s">
        <v>585</v>
      </c>
      <c r="E385" s="49" t="s">
        <v>586</v>
      </c>
      <c r="F385">
        <v>0.49399999999999999</v>
      </c>
      <c r="G385" s="49" t="s">
        <v>639</v>
      </c>
    </row>
    <row r="386" spans="1:7">
      <c r="A386">
        <v>202608</v>
      </c>
      <c r="B386" s="49" t="s">
        <v>594</v>
      </c>
      <c r="C386">
        <v>3030</v>
      </c>
      <c r="D386" s="49" t="s">
        <v>585</v>
      </c>
      <c r="E386" s="49" t="s">
        <v>586</v>
      </c>
      <c r="F386">
        <v>0.32600000000000001</v>
      </c>
      <c r="G386" s="49" t="s">
        <v>639</v>
      </c>
    </row>
    <row r="387" spans="1:7">
      <c r="A387">
        <v>202608</v>
      </c>
      <c r="B387" s="49" t="s">
        <v>595</v>
      </c>
      <c r="C387">
        <v>3030</v>
      </c>
      <c r="D387" s="49" t="s">
        <v>585</v>
      </c>
      <c r="E387" s="49" t="s">
        <v>586</v>
      </c>
      <c r="F387">
        <v>0.58599999999999997</v>
      </c>
      <c r="G387" s="49" t="s">
        <v>639</v>
      </c>
    </row>
    <row r="388" spans="1:7">
      <c r="A388">
        <v>202609</v>
      </c>
      <c r="B388" s="49" t="s">
        <v>584</v>
      </c>
      <c r="C388">
        <v>3600</v>
      </c>
      <c r="D388" s="49" t="s">
        <v>585</v>
      </c>
      <c r="E388" s="49" t="s">
        <v>586</v>
      </c>
      <c r="F388">
        <v>0.16700000000000001</v>
      </c>
      <c r="G388" s="49" t="s">
        <v>640</v>
      </c>
    </row>
    <row r="389" spans="1:7">
      <c r="A389">
        <v>202609</v>
      </c>
      <c r="B389" s="49" t="s">
        <v>588</v>
      </c>
      <c r="C389">
        <v>3600</v>
      </c>
      <c r="D389" s="49" t="s">
        <v>585</v>
      </c>
      <c r="E389" s="49" t="s">
        <v>586</v>
      </c>
      <c r="F389">
        <v>0.151</v>
      </c>
      <c r="G389" s="49" t="s">
        <v>640</v>
      </c>
    </row>
    <row r="390" spans="1:7">
      <c r="A390">
        <v>202609</v>
      </c>
      <c r="B390" s="49" t="s">
        <v>590</v>
      </c>
      <c r="C390">
        <v>3600</v>
      </c>
      <c r="D390" s="49" t="s">
        <v>585</v>
      </c>
      <c r="E390" s="49" t="s">
        <v>586</v>
      </c>
      <c r="F390">
        <v>1.7000000000000001E-2</v>
      </c>
      <c r="G390" s="49" t="s">
        <v>640</v>
      </c>
    </row>
    <row r="391" spans="1:7">
      <c r="A391">
        <v>202609</v>
      </c>
      <c r="B391" s="49" t="s">
        <v>591</v>
      </c>
      <c r="C391">
        <v>3030</v>
      </c>
      <c r="D391" s="49" t="s">
        <v>585</v>
      </c>
      <c r="E391" s="49" t="s">
        <v>586</v>
      </c>
      <c r="F391">
        <v>1.4730000000000001</v>
      </c>
      <c r="G391" s="49" t="s">
        <v>640</v>
      </c>
    </row>
    <row r="392" spans="1:7">
      <c r="A392">
        <v>202609</v>
      </c>
      <c r="B392" s="49" t="s">
        <v>592</v>
      </c>
      <c r="C392">
        <v>3030</v>
      </c>
      <c r="D392" s="49" t="s">
        <v>585</v>
      </c>
      <c r="E392" s="49" t="s">
        <v>586</v>
      </c>
      <c r="F392">
        <v>0.82</v>
      </c>
      <c r="G392" s="49" t="s">
        <v>640</v>
      </c>
    </row>
    <row r="393" spans="1:7">
      <c r="A393">
        <v>202609</v>
      </c>
      <c r="B393" s="49" t="s">
        <v>593</v>
      </c>
      <c r="C393">
        <v>3030</v>
      </c>
      <c r="D393" s="49" t="s">
        <v>585</v>
      </c>
      <c r="E393" s="49" t="s">
        <v>586</v>
      </c>
      <c r="F393">
        <v>0.49399999999999999</v>
      </c>
      <c r="G393" s="49" t="s">
        <v>640</v>
      </c>
    </row>
    <row r="394" spans="1:7">
      <c r="A394">
        <v>202609</v>
      </c>
      <c r="B394" s="49" t="s">
        <v>594</v>
      </c>
      <c r="C394">
        <v>3030</v>
      </c>
      <c r="D394" s="49" t="s">
        <v>585</v>
      </c>
      <c r="E394" s="49" t="s">
        <v>586</v>
      </c>
      <c r="F394">
        <v>0.32600000000000001</v>
      </c>
      <c r="G394" s="49" t="s">
        <v>640</v>
      </c>
    </row>
    <row r="395" spans="1:7">
      <c r="A395">
        <v>202609</v>
      </c>
      <c r="B395" s="49" t="s">
        <v>595</v>
      </c>
      <c r="C395">
        <v>3030</v>
      </c>
      <c r="D395" s="49" t="s">
        <v>585</v>
      </c>
      <c r="E395" s="49" t="s">
        <v>586</v>
      </c>
      <c r="F395">
        <v>0.58599999999999997</v>
      </c>
      <c r="G395" s="49" t="s">
        <v>640</v>
      </c>
    </row>
    <row r="396" spans="1:7">
      <c r="A396">
        <v>202610</v>
      </c>
      <c r="B396" s="49" t="s">
        <v>584</v>
      </c>
      <c r="C396">
        <v>3600</v>
      </c>
      <c r="D396" s="49" t="s">
        <v>585</v>
      </c>
      <c r="E396" s="49" t="s">
        <v>604</v>
      </c>
      <c r="F396">
        <v>0.16700000000000001</v>
      </c>
      <c r="G396" s="49" t="s">
        <v>641</v>
      </c>
    </row>
    <row r="397" spans="1:7">
      <c r="A397">
        <v>202610</v>
      </c>
      <c r="B397" s="49" t="s">
        <v>588</v>
      </c>
      <c r="C397">
        <v>3600</v>
      </c>
      <c r="D397" s="49" t="s">
        <v>585</v>
      </c>
      <c r="E397" s="49" t="s">
        <v>604</v>
      </c>
      <c r="F397">
        <v>0.151</v>
      </c>
      <c r="G397" s="49" t="s">
        <v>641</v>
      </c>
    </row>
    <row r="398" spans="1:7">
      <c r="A398">
        <v>202610</v>
      </c>
      <c r="B398" s="49" t="s">
        <v>590</v>
      </c>
      <c r="C398">
        <v>3600</v>
      </c>
      <c r="D398" s="49" t="s">
        <v>585</v>
      </c>
      <c r="E398" s="49" t="s">
        <v>604</v>
      </c>
      <c r="F398">
        <v>1.7000000000000001E-2</v>
      </c>
      <c r="G398" s="49" t="s">
        <v>641</v>
      </c>
    </row>
    <row r="399" spans="1:7">
      <c r="A399">
        <v>202610</v>
      </c>
      <c r="B399" s="49" t="s">
        <v>591</v>
      </c>
      <c r="C399">
        <v>3030</v>
      </c>
      <c r="D399" s="49" t="s">
        <v>585</v>
      </c>
      <c r="E399" s="49" t="s">
        <v>604</v>
      </c>
      <c r="F399">
        <v>1.4730000000000001</v>
      </c>
      <c r="G399" s="49" t="s">
        <v>641</v>
      </c>
    </row>
    <row r="400" spans="1:7">
      <c r="A400">
        <v>202610</v>
      </c>
      <c r="B400" s="49" t="s">
        <v>592</v>
      </c>
      <c r="C400">
        <v>3030</v>
      </c>
      <c r="D400" s="49" t="s">
        <v>585</v>
      </c>
      <c r="E400" s="49" t="s">
        <v>604</v>
      </c>
      <c r="F400">
        <v>0.82</v>
      </c>
      <c r="G400" s="49" t="s">
        <v>641</v>
      </c>
    </row>
    <row r="401" spans="1:7">
      <c r="A401">
        <v>202610</v>
      </c>
      <c r="B401" s="49" t="s">
        <v>593</v>
      </c>
      <c r="C401">
        <v>3030</v>
      </c>
      <c r="D401" s="49" t="s">
        <v>585</v>
      </c>
      <c r="E401" s="49" t="s">
        <v>604</v>
      </c>
      <c r="F401">
        <v>0.49399999999999999</v>
      </c>
      <c r="G401" s="49" t="s">
        <v>641</v>
      </c>
    </row>
    <row r="402" spans="1:7">
      <c r="A402">
        <v>202610</v>
      </c>
      <c r="B402" s="49" t="s">
        <v>594</v>
      </c>
      <c r="C402">
        <v>3030</v>
      </c>
      <c r="D402" s="49" t="s">
        <v>585</v>
      </c>
      <c r="E402" s="49" t="s">
        <v>604</v>
      </c>
      <c r="F402">
        <v>0.32600000000000001</v>
      </c>
      <c r="G402" s="49" t="s">
        <v>641</v>
      </c>
    </row>
    <row r="403" spans="1:7">
      <c r="A403">
        <v>202610</v>
      </c>
      <c r="B403" s="49" t="s">
        <v>595</v>
      </c>
      <c r="C403">
        <v>3030</v>
      </c>
      <c r="D403" s="49" t="s">
        <v>585</v>
      </c>
      <c r="E403" s="49" t="s">
        <v>604</v>
      </c>
      <c r="F403">
        <v>0.58599999999999997</v>
      </c>
      <c r="G403" s="49" t="s">
        <v>641</v>
      </c>
    </row>
    <row r="404" spans="1:7">
      <c r="A404">
        <v>202611</v>
      </c>
      <c r="B404" s="49" t="s">
        <v>584</v>
      </c>
      <c r="C404">
        <v>3600</v>
      </c>
      <c r="D404" s="49" t="s">
        <v>585</v>
      </c>
      <c r="E404" s="49" t="s">
        <v>604</v>
      </c>
      <c r="F404">
        <v>0.16700000000000001</v>
      </c>
      <c r="G404" s="49" t="s">
        <v>642</v>
      </c>
    </row>
    <row r="405" spans="1:7">
      <c r="A405">
        <v>202611</v>
      </c>
      <c r="B405" s="49" t="s">
        <v>588</v>
      </c>
      <c r="C405">
        <v>3600</v>
      </c>
      <c r="D405" s="49" t="s">
        <v>585</v>
      </c>
      <c r="E405" s="49" t="s">
        <v>604</v>
      </c>
      <c r="F405">
        <v>0.151</v>
      </c>
      <c r="G405" s="49" t="s">
        <v>642</v>
      </c>
    </row>
    <row r="406" spans="1:7">
      <c r="A406">
        <v>202611</v>
      </c>
      <c r="B406" s="49" t="s">
        <v>590</v>
      </c>
      <c r="C406">
        <v>3600</v>
      </c>
      <c r="D406" s="49" t="s">
        <v>585</v>
      </c>
      <c r="E406" s="49" t="s">
        <v>604</v>
      </c>
      <c r="F406">
        <v>1.7000000000000001E-2</v>
      </c>
      <c r="G406" s="49" t="s">
        <v>642</v>
      </c>
    </row>
    <row r="407" spans="1:7">
      <c r="A407">
        <v>202611</v>
      </c>
      <c r="B407" s="49" t="s">
        <v>591</v>
      </c>
      <c r="C407">
        <v>3030</v>
      </c>
      <c r="D407" s="49" t="s">
        <v>585</v>
      </c>
      <c r="E407" s="49" t="s">
        <v>604</v>
      </c>
      <c r="F407">
        <v>1.4730000000000001</v>
      </c>
      <c r="G407" s="49" t="s">
        <v>642</v>
      </c>
    </row>
    <row r="408" spans="1:7">
      <c r="A408">
        <v>202611</v>
      </c>
      <c r="B408" s="49" t="s">
        <v>592</v>
      </c>
      <c r="C408">
        <v>3030</v>
      </c>
      <c r="D408" s="49" t="s">
        <v>585</v>
      </c>
      <c r="E408" s="49" t="s">
        <v>604</v>
      </c>
      <c r="F408">
        <v>0.82</v>
      </c>
      <c r="G408" s="49" t="s">
        <v>642</v>
      </c>
    </row>
    <row r="409" spans="1:7">
      <c r="A409">
        <v>202611</v>
      </c>
      <c r="B409" s="49" t="s">
        <v>593</v>
      </c>
      <c r="C409">
        <v>3030</v>
      </c>
      <c r="D409" s="49" t="s">
        <v>585</v>
      </c>
      <c r="E409" s="49" t="s">
        <v>604</v>
      </c>
      <c r="F409">
        <v>0.49399999999999999</v>
      </c>
      <c r="G409" s="49" t="s">
        <v>642</v>
      </c>
    </row>
    <row r="410" spans="1:7">
      <c r="A410">
        <v>202611</v>
      </c>
      <c r="B410" s="49" t="s">
        <v>594</v>
      </c>
      <c r="C410">
        <v>3030</v>
      </c>
      <c r="D410" s="49" t="s">
        <v>585</v>
      </c>
      <c r="E410" s="49" t="s">
        <v>604</v>
      </c>
      <c r="F410">
        <v>0.32600000000000001</v>
      </c>
      <c r="G410" s="49" t="s">
        <v>642</v>
      </c>
    </row>
    <row r="411" spans="1:7">
      <c r="A411">
        <v>202611</v>
      </c>
      <c r="B411" s="49" t="s">
        <v>595</v>
      </c>
      <c r="C411">
        <v>3030</v>
      </c>
      <c r="D411" s="49" t="s">
        <v>585</v>
      </c>
      <c r="E411" s="49" t="s">
        <v>604</v>
      </c>
      <c r="F411">
        <v>0.58599999999999997</v>
      </c>
      <c r="G411" s="49" t="s">
        <v>642</v>
      </c>
    </row>
    <row r="412" spans="1:7">
      <c r="A412">
        <v>202612</v>
      </c>
      <c r="B412" s="49" t="s">
        <v>584</v>
      </c>
      <c r="C412">
        <v>3600</v>
      </c>
      <c r="D412" s="49" t="s">
        <v>585</v>
      </c>
      <c r="E412" s="49" t="s">
        <v>604</v>
      </c>
      <c r="F412">
        <v>0.16700000000000001</v>
      </c>
      <c r="G412" s="49" t="s">
        <v>643</v>
      </c>
    </row>
    <row r="413" spans="1:7">
      <c r="A413">
        <v>202612</v>
      </c>
      <c r="B413" s="49" t="s">
        <v>588</v>
      </c>
      <c r="C413">
        <v>3600</v>
      </c>
      <c r="D413" s="49" t="s">
        <v>585</v>
      </c>
      <c r="E413" s="49" t="s">
        <v>604</v>
      </c>
      <c r="F413">
        <v>0.151</v>
      </c>
      <c r="G413" s="49" t="s">
        <v>643</v>
      </c>
    </row>
    <row r="414" spans="1:7">
      <c r="A414">
        <v>202612</v>
      </c>
      <c r="B414" s="49" t="s">
        <v>590</v>
      </c>
      <c r="C414">
        <v>3600</v>
      </c>
      <c r="D414" s="49" t="s">
        <v>585</v>
      </c>
      <c r="E414" s="49" t="s">
        <v>604</v>
      </c>
      <c r="F414">
        <v>1.7000000000000001E-2</v>
      </c>
      <c r="G414" s="49" t="s">
        <v>643</v>
      </c>
    </row>
    <row r="415" spans="1:7">
      <c r="A415">
        <v>202612</v>
      </c>
      <c r="B415" s="49" t="s">
        <v>591</v>
      </c>
      <c r="C415">
        <v>3030</v>
      </c>
      <c r="D415" s="49" t="s">
        <v>585</v>
      </c>
      <c r="E415" s="49" t="s">
        <v>604</v>
      </c>
      <c r="F415">
        <v>1.4730000000000001</v>
      </c>
      <c r="G415" s="49" t="s">
        <v>643</v>
      </c>
    </row>
    <row r="416" spans="1:7">
      <c r="A416">
        <v>202612</v>
      </c>
      <c r="B416" s="49" t="s">
        <v>592</v>
      </c>
      <c r="C416">
        <v>3030</v>
      </c>
      <c r="D416" s="49" t="s">
        <v>585</v>
      </c>
      <c r="E416" s="49" t="s">
        <v>604</v>
      </c>
      <c r="F416">
        <v>0.82</v>
      </c>
      <c r="G416" s="49" t="s">
        <v>643</v>
      </c>
    </row>
    <row r="417" spans="1:7">
      <c r="A417">
        <v>202612</v>
      </c>
      <c r="B417" s="49" t="s">
        <v>593</v>
      </c>
      <c r="C417">
        <v>3030</v>
      </c>
      <c r="D417" s="49" t="s">
        <v>585</v>
      </c>
      <c r="E417" s="49" t="s">
        <v>604</v>
      </c>
      <c r="F417">
        <v>0.49399999999999999</v>
      </c>
      <c r="G417" s="49" t="s">
        <v>643</v>
      </c>
    </row>
    <row r="418" spans="1:7">
      <c r="A418">
        <v>202612</v>
      </c>
      <c r="B418" s="49" t="s">
        <v>594</v>
      </c>
      <c r="C418">
        <v>3030</v>
      </c>
      <c r="D418" s="49" t="s">
        <v>585</v>
      </c>
      <c r="E418" s="49" t="s">
        <v>604</v>
      </c>
      <c r="F418">
        <v>0.32600000000000001</v>
      </c>
      <c r="G418" s="49" t="s">
        <v>643</v>
      </c>
    </row>
    <row r="419" spans="1:7">
      <c r="A419">
        <v>202612</v>
      </c>
      <c r="B419" s="49" t="s">
        <v>595</v>
      </c>
      <c r="C419">
        <v>3030</v>
      </c>
      <c r="D419" s="49" t="s">
        <v>585</v>
      </c>
      <c r="E419" s="49" t="s">
        <v>604</v>
      </c>
      <c r="F419">
        <v>0.58599999999999997</v>
      </c>
      <c r="G419" s="49" t="s">
        <v>643</v>
      </c>
    </row>
    <row r="420" spans="1:7">
      <c r="A420">
        <v>202601</v>
      </c>
      <c r="B420" s="49" t="s">
        <v>584</v>
      </c>
      <c r="C420">
        <v>3400</v>
      </c>
      <c r="D420" s="49" t="s">
        <v>644</v>
      </c>
      <c r="E420" s="49" t="s">
        <v>586</v>
      </c>
      <c r="F420">
        <v>0.83699999999999997</v>
      </c>
      <c r="G420" s="49" t="s">
        <v>645</v>
      </c>
    </row>
    <row r="421" spans="1:7">
      <c r="A421">
        <v>202601</v>
      </c>
      <c r="B421" s="49" t="s">
        <v>588</v>
      </c>
      <c r="C421">
        <v>3400</v>
      </c>
      <c r="D421" s="49" t="s">
        <v>644</v>
      </c>
      <c r="E421" s="49" t="s">
        <v>586</v>
      </c>
      <c r="F421">
        <v>0.67</v>
      </c>
      <c r="G421" s="49" t="s">
        <v>645</v>
      </c>
    </row>
    <row r="422" spans="1:7">
      <c r="A422">
        <v>202601</v>
      </c>
      <c r="B422" s="49" t="s">
        <v>589</v>
      </c>
      <c r="C422">
        <v>3400</v>
      </c>
      <c r="D422" s="49" t="s">
        <v>644</v>
      </c>
      <c r="E422" s="49" t="s">
        <v>586</v>
      </c>
      <c r="F422">
        <v>0.83699999999999997</v>
      </c>
      <c r="G422" s="49" t="s">
        <v>645</v>
      </c>
    </row>
    <row r="423" spans="1:7">
      <c r="A423">
        <v>202601</v>
      </c>
      <c r="B423" s="49" t="s">
        <v>589</v>
      </c>
      <c r="C423">
        <v>3600</v>
      </c>
      <c r="D423" s="49" t="s">
        <v>646</v>
      </c>
      <c r="E423" s="49" t="s">
        <v>586</v>
      </c>
      <c r="F423">
        <v>0.16700000000000001</v>
      </c>
      <c r="G423" s="49" t="s">
        <v>632</v>
      </c>
    </row>
    <row r="424" spans="1:7">
      <c r="A424">
        <v>202601</v>
      </c>
      <c r="B424" s="49" t="s">
        <v>590</v>
      </c>
      <c r="C424">
        <v>3400</v>
      </c>
      <c r="D424" s="49" t="s">
        <v>644</v>
      </c>
      <c r="E424" s="49" t="s">
        <v>586</v>
      </c>
      <c r="F424">
        <v>0.151</v>
      </c>
      <c r="G424" s="49" t="s">
        <v>645</v>
      </c>
    </row>
    <row r="425" spans="1:7">
      <c r="A425">
        <v>202601</v>
      </c>
      <c r="B425" s="49" t="s">
        <v>591</v>
      </c>
      <c r="C425">
        <v>3420</v>
      </c>
      <c r="D425" s="49" t="s">
        <v>647</v>
      </c>
      <c r="E425" s="49" t="s">
        <v>586</v>
      </c>
      <c r="F425">
        <v>4.1849999999999996</v>
      </c>
      <c r="G425" s="49" t="s">
        <v>645</v>
      </c>
    </row>
    <row r="426" spans="1:7">
      <c r="A426">
        <v>202601</v>
      </c>
      <c r="B426" s="49" t="s">
        <v>592</v>
      </c>
      <c r="C426">
        <v>3420</v>
      </c>
      <c r="D426" s="49" t="s">
        <v>647</v>
      </c>
      <c r="E426" s="49" t="s">
        <v>586</v>
      </c>
      <c r="F426">
        <v>2.5110000000000001</v>
      </c>
      <c r="G426" s="49" t="s">
        <v>645</v>
      </c>
    </row>
    <row r="427" spans="1:7">
      <c r="A427">
        <v>202601</v>
      </c>
      <c r="B427" s="49" t="s">
        <v>593</v>
      </c>
      <c r="C427">
        <v>3420</v>
      </c>
      <c r="D427" s="49" t="s">
        <v>647</v>
      </c>
      <c r="E427" s="49" t="s">
        <v>586</v>
      </c>
      <c r="F427">
        <v>1.5069999999999999</v>
      </c>
      <c r="G427" s="49" t="s">
        <v>645</v>
      </c>
    </row>
    <row r="428" spans="1:7">
      <c r="A428">
        <v>202601</v>
      </c>
      <c r="B428" s="49" t="s">
        <v>594</v>
      </c>
      <c r="C428">
        <v>3420</v>
      </c>
      <c r="D428" s="49" t="s">
        <v>647</v>
      </c>
      <c r="E428" s="49" t="s">
        <v>586</v>
      </c>
      <c r="F428">
        <v>1.004</v>
      </c>
      <c r="G428" s="49" t="s">
        <v>645</v>
      </c>
    </row>
    <row r="429" spans="1:7">
      <c r="A429">
        <v>202601</v>
      </c>
      <c r="B429" s="49" t="s">
        <v>595</v>
      </c>
      <c r="C429">
        <v>3420</v>
      </c>
      <c r="D429" s="49" t="s">
        <v>647</v>
      </c>
      <c r="E429" s="49" t="s">
        <v>586</v>
      </c>
      <c r="F429">
        <v>1.256</v>
      </c>
      <c r="G429" s="49" t="s">
        <v>645</v>
      </c>
    </row>
    <row r="430" spans="1:7">
      <c r="A430">
        <v>202602</v>
      </c>
      <c r="B430" s="49" t="s">
        <v>584</v>
      </c>
      <c r="C430">
        <v>3400</v>
      </c>
      <c r="D430" s="49" t="s">
        <v>644</v>
      </c>
      <c r="E430" s="49" t="s">
        <v>586</v>
      </c>
      <c r="F430">
        <v>0.83699999999999997</v>
      </c>
      <c r="G430" s="49" t="s">
        <v>648</v>
      </c>
    </row>
    <row r="431" spans="1:7">
      <c r="A431">
        <v>202602</v>
      </c>
      <c r="B431" s="49" t="s">
        <v>588</v>
      </c>
      <c r="C431">
        <v>3400</v>
      </c>
      <c r="D431" s="49" t="s">
        <v>644</v>
      </c>
      <c r="E431" s="49" t="s">
        <v>586</v>
      </c>
      <c r="F431">
        <v>0.67</v>
      </c>
      <c r="G431" s="49" t="s">
        <v>648</v>
      </c>
    </row>
    <row r="432" spans="1:7">
      <c r="A432">
        <v>202602</v>
      </c>
      <c r="B432" s="49" t="s">
        <v>589</v>
      </c>
      <c r="C432">
        <v>3400</v>
      </c>
      <c r="D432" s="49" t="s">
        <v>644</v>
      </c>
      <c r="E432" s="49" t="s">
        <v>586</v>
      </c>
      <c r="F432">
        <v>0.83699999999999997</v>
      </c>
      <c r="G432" s="49" t="s">
        <v>648</v>
      </c>
    </row>
    <row r="433" spans="1:7">
      <c r="A433">
        <v>202602</v>
      </c>
      <c r="B433" s="49" t="s">
        <v>589</v>
      </c>
      <c r="C433">
        <v>3600</v>
      </c>
      <c r="D433" s="49" t="s">
        <v>646</v>
      </c>
      <c r="E433" s="49" t="s">
        <v>586</v>
      </c>
      <c r="F433">
        <v>0.16700000000000001</v>
      </c>
      <c r="G433" s="49" t="s">
        <v>633</v>
      </c>
    </row>
    <row r="434" spans="1:7">
      <c r="A434">
        <v>202602</v>
      </c>
      <c r="B434" s="49" t="s">
        <v>590</v>
      </c>
      <c r="C434">
        <v>3400</v>
      </c>
      <c r="D434" s="49" t="s">
        <v>644</v>
      </c>
      <c r="E434" s="49" t="s">
        <v>586</v>
      </c>
      <c r="F434">
        <v>0.151</v>
      </c>
      <c r="G434" s="49" t="s">
        <v>648</v>
      </c>
    </row>
    <row r="435" spans="1:7">
      <c r="A435">
        <v>202602</v>
      </c>
      <c r="B435" s="49" t="s">
        <v>591</v>
      </c>
      <c r="C435">
        <v>3420</v>
      </c>
      <c r="D435" s="49" t="s">
        <v>647</v>
      </c>
      <c r="E435" s="49" t="s">
        <v>586</v>
      </c>
      <c r="F435">
        <v>4.1849999999999996</v>
      </c>
      <c r="G435" s="49" t="s">
        <v>648</v>
      </c>
    </row>
    <row r="436" spans="1:7">
      <c r="A436">
        <v>202602</v>
      </c>
      <c r="B436" s="49" t="s">
        <v>592</v>
      </c>
      <c r="C436">
        <v>3420</v>
      </c>
      <c r="D436" s="49" t="s">
        <v>647</v>
      </c>
      <c r="E436" s="49" t="s">
        <v>586</v>
      </c>
      <c r="F436">
        <v>2.5110000000000001</v>
      </c>
      <c r="G436" s="49" t="s">
        <v>648</v>
      </c>
    </row>
    <row r="437" spans="1:7">
      <c r="A437">
        <v>202602</v>
      </c>
      <c r="B437" s="49" t="s">
        <v>593</v>
      </c>
      <c r="C437">
        <v>3420</v>
      </c>
      <c r="D437" s="49" t="s">
        <v>647</v>
      </c>
      <c r="E437" s="49" t="s">
        <v>586</v>
      </c>
      <c r="F437">
        <v>1.5069999999999999</v>
      </c>
      <c r="G437" s="49" t="s">
        <v>648</v>
      </c>
    </row>
    <row r="438" spans="1:7">
      <c r="A438">
        <v>202602</v>
      </c>
      <c r="B438" s="49" t="s">
        <v>594</v>
      </c>
      <c r="C438">
        <v>3420</v>
      </c>
      <c r="D438" s="49" t="s">
        <v>647</v>
      </c>
      <c r="E438" s="49" t="s">
        <v>586</v>
      </c>
      <c r="F438">
        <v>1.004</v>
      </c>
      <c r="G438" s="49" t="s">
        <v>648</v>
      </c>
    </row>
    <row r="439" spans="1:7">
      <c r="A439">
        <v>202602</v>
      </c>
      <c r="B439" s="49" t="s">
        <v>595</v>
      </c>
      <c r="C439">
        <v>3420</v>
      </c>
      <c r="D439" s="49" t="s">
        <v>647</v>
      </c>
      <c r="E439" s="49" t="s">
        <v>586</v>
      </c>
      <c r="F439">
        <v>1.256</v>
      </c>
      <c r="G439" s="49" t="s">
        <v>648</v>
      </c>
    </row>
    <row r="440" spans="1:7">
      <c r="A440">
        <v>202603</v>
      </c>
      <c r="B440" s="49" t="s">
        <v>584</v>
      </c>
      <c r="C440">
        <v>3400</v>
      </c>
      <c r="D440" s="49" t="s">
        <v>644</v>
      </c>
      <c r="E440" s="49" t="s">
        <v>586</v>
      </c>
      <c r="F440">
        <v>0.83699999999999997</v>
      </c>
      <c r="G440" s="49" t="s">
        <v>649</v>
      </c>
    </row>
    <row r="441" spans="1:7">
      <c r="A441">
        <v>202603</v>
      </c>
      <c r="B441" s="49" t="s">
        <v>588</v>
      </c>
      <c r="C441">
        <v>3400</v>
      </c>
      <c r="D441" s="49" t="s">
        <v>644</v>
      </c>
      <c r="E441" s="49" t="s">
        <v>586</v>
      </c>
      <c r="F441">
        <v>0.67</v>
      </c>
      <c r="G441" s="49" t="s">
        <v>649</v>
      </c>
    </row>
    <row r="442" spans="1:7">
      <c r="A442">
        <v>202603</v>
      </c>
      <c r="B442" s="49" t="s">
        <v>589</v>
      </c>
      <c r="C442">
        <v>3400</v>
      </c>
      <c r="D442" s="49" t="s">
        <v>644</v>
      </c>
      <c r="E442" s="49" t="s">
        <v>586</v>
      </c>
      <c r="F442">
        <v>0.83699999999999997</v>
      </c>
      <c r="G442" s="49" t="s">
        <v>649</v>
      </c>
    </row>
    <row r="443" spans="1:7">
      <c r="A443">
        <v>202603</v>
      </c>
      <c r="B443" s="49" t="s">
        <v>589</v>
      </c>
      <c r="C443">
        <v>3600</v>
      </c>
      <c r="D443" s="49" t="s">
        <v>646</v>
      </c>
      <c r="E443" s="49" t="s">
        <v>586</v>
      </c>
      <c r="F443">
        <v>0.16700000000000001</v>
      </c>
      <c r="G443" s="49" t="s">
        <v>634</v>
      </c>
    </row>
    <row r="444" spans="1:7">
      <c r="A444">
        <v>202603</v>
      </c>
      <c r="B444" s="49" t="s">
        <v>590</v>
      </c>
      <c r="C444">
        <v>3400</v>
      </c>
      <c r="D444" s="49" t="s">
        <v>644</v>
      </c>
      <c r="E444" s="49" t="s">
        <v>586</v>
      </c>
      <c r="F444">
        <v>0.151</v>
      </c>
      <c r="G444" s="49" t="s">
        <v>649</v>
      </c>
    </row>
    <row r="445" spans="1:7">
      <c r="A445">
        <v>202603</v>
      </c>
      <c r="B445" s="49" t="s">
        <v>590</v>
      </c>
      <c r="C445">
        <v>6700</v>
      </c>
      <c r="D445" s="49" t="s">
        <v>650</v>
      </c>
      <c r="E445" s="49" t="s">
        <v>586</v>
      </c>
      <c r="F445">
        <v>0.38800000000000001</v>
      </c>
      <c r="G445" s="49" t="s">
        <v>622</v>
      </c>
    </row>
    <row r="446" spans="1:7">
      <c r="A446">
        <v>202603</v>
      </c>
      <c r="B446" s="49" t="s">
        <v>591</v>
      </c>
      <c r="C446">
        <v>3420</v>
      </c>
      <c r="D446" s="49" t="s">
        <v>647</v>
      </c>
      <c r="E446" s="49" t="s">
        <v>586</v>
      </c>
      <c r="F446">
        <v>4.1849999999999996</v>
      </c>
      <c r="G446" s="49" t="s">
        <v>649</v>
      </c>
    </row>
    <row r="447" spans="1:7">
      <c r="A447">
        <v>202603</v>
      </c>
      <c r="B447" s="49" t="s">
        <v>592</v>
      </c>
      <c r="C447">
        <v>3420</v>
      </c>
      <c r="D447" s="49" t="s">
        <v>647</v>
      </c>
      <c r="E447" s="49" t="s">
        <v>586</v>
      </c>
      <c r="F447">
        <v>2.5110000000000001</v>
      </c>
      <c r="G447" s="49" t="s">
        <v>649</v>
      </c>
    </row>
    <row r="448" spans="1:7">
      <c r="A448">
        <v>202603</v>
      </c>
      <c r="B448" s="49" t="s">
        <v>593</v>
      </c>
      <c r="C448">
        <v>3420</v>
      </c>
      <c r="D448" s="49" t="s">
        <v>647</v>
      </c>
      <c r="E448" s="49" t="s">
        <v>586</v>
      </c>
      <c r="F448">
        <v>1.5069999999999999</v>
      </c>
      <c r="G448" s="49" t="s">
        <v>649</v>
      </c>
    </row>
    <row r="449" spans="1:7">
      <c r="A449">
        <v>202603</v>
      </c>
      <c r="B449" s="49" t="s">
        <v>594</v>
      </c>
      <c r="C449">
        <v>3420</v>
      </c>
      <c r="D449" s="49" t="s">
        <v>647</v>
      </c>
      <c r="E449" s="49" t="s">
        <v>586</v>
      </c>
      <c r="F449">
        <v>1.004</v>
      </c>
      <c r="G449" s="49" t="s">
        <v>649</v>
      </c>
    </row>
    <row r="450" spans="1:7">
      <c r="A450">
        <v>202603</v>
      </c>
      <c r="B450" s="49" t="s">
        <v>595</v>
      </c>
      <c r="C450">
        <v>3420</v>
      </c>
      <c r="D450" s="49" t="s">
        <v>647</v>
      </c>
      <c r="E450" s="49" t="s">
        <v>586</v>
      </c>
      <c r="F450">
        <v>1.256</v>
      </c>
      <c r="G450" s="49" t="s">
        <v>649</v>
      </c>
    </row>
    <row r="451" spans="1:7">
      <c r="A451">
        <v>202604</v>
      </c>
      <c r="B451" s="49" t="s">
        <v>584</v>
      </c>
      <c r="C451">
        <v>3400</v>
      </c>
      <c r="D451" s="49" t="s">
        <v>644</v>
      </c>
      <c r="E451" s="49" t="s">
        <v>586</v>
      </c>
      <c r="F451">
        <v>0.83699999999999997</v>
      </c>
      <c r="G451" s="49" t="s">
        <v>651</v>
      </c>
    </row>
    <row r="452" spans="1:7">
      <c r="A452">
        <v>202604</v>
      </c>
      <c r="B452" s="49" t="s">
        <v>588</v>
      </c>
      <c r="C452">
        <v>3400</v>
      </c>
      <c r="D452" s="49" t="s">
        <v>644</v>
      </c>
      <c r="E452" s="49" t="s">
        <v>586</v>
      </c>
      <c r="F452">
        <v>0.67</v>
      </c>
      <c r="G452" s="49" t="s">
        <v>651</v>
      </c>
    </row>
    <row r="453" spans="1:7">
      <c r="A453">
        <v>202604</v>
      </c>
      <c r="B453" s="49" t="s">
        <v>589</v>
      </c>
      <c r="C453">
        <v>3400</v>
      </c>
      <c r="D453" s="49" t="s">
        <v>644</v>
      </c>
      <c r="E453" s="49" t="s">
        <v>586</v>
      </c>
      <c r="F453">
        <v>0.83699999999999997</v>
      </c>
      <c r="G453" s="49" t="s">
        <v>651</v>
      </c>
    </row>
    <row r="454" spans="1:7">
      <c r="A454">
        <v>202604</v>
      </c>
      <c r="B454" s="49" t="s">
        <v>589</v>
      </c>
      <c r="C454">
        <v>3600</v>
      </c>
      <c r="D454" s="49" t="s">
        <v>646</v>
      </c>
      <c r="E454" s="49" t="s">
        <v>586</v>
      </c>
      <c r="F454">
        <v>0.16700000000000001</v>
      </c>
      <c r="G454" s="49" t="s">
        <v>635</v>
      </c>
    </row>
    <row r="455" spans="1:7">
      <c r="A455">
        <v>202604</v>
      </c>
      <c r="B455" s="49" t="s">
        <v>590</v>
      </c>
      <c r="C455">
        <v>3400</v>
      </c>
      <c r="D455" s="49" t="s">
        <v>644</v>
      </c>
      <c r="E455" s="49" t="s">
        <v>586</v>
      </c>
      <c r="F455">
        <v>0.151</v>
      </c>
      <c r="G455" s="49" t="s">
        <v>651</v>
      </c>
    </row>
    <row r="456" spans="1:7">
      <c r="A456">
        <v>202604</v>
      </c>
      <c r="B456" s="49" t="s">
        <v>591</v>
      </c>
      <c r="C456">
        <v>3420</v>
      </c>
      <c r="D456" s="49" t="s">
        <v>647</v>
      </c>
      <c r="E456" s="49" t="s">
        <v>586</v>
      </c>
      <c r="F456">
        <v>4.1849999999999996</v>
      </c>
      <c r="G456" s="49" t="s">
        <v>651</v>
      </c>
    </row>
    <row r="457" spans="1:7">
      <c r="A457">
        <v>202604</v>
      </c>
      <c r="B457" s="49" t="s">
        <v>592</v>
      </c>
      <c r="C457">
        <v>3420</v>
      </c>
      <c r="D457" s="49" t="s">
        <v>647</v>
      </c>
      <c r="E457" s="49" t="s">
        <v>586</v>
      </c>
      <c r="F457">
        <v>2.5110000000000001</v>
      </c>
      <c r="G457" s="49" t="s">
        <v>651</v>
      </c>
    </row>
    <row r="458" spans="1:7">
      <c r="A458">
        <v>202604</v>
      </c>
      <c r="B458" s="49" t="s">
        <v>593</v>
      </c>
      <c r="C458">
        <v>3420</v>
      </c>
      <c r="D458" s="49" t="s">
        <v>647</v>
      </c>
      <c r="E458" s="49" t="s">
        <v>586</v>
      </c>
      <c r="F458">
        <v>1.5069999999999999</v>
      </c>
      <c r="G458" s="49" t="s">
        <v>651</v>
      </c>
    </row>
    <row r="459" spans="1:7">
      <c r="A459">
        <v>202604</v>
      </c>
      <c r="B459" s="49" t="s">
        <v>594</v>
      </c>
      <c r="C459">
        <v>3420</v>
      </c>
      <c r="D459" s="49" t="s">
        <v>647</v>
      </c>
      <c r="E459" s="49" t="s">
        <v>586</v>
      </c>
      <c r="F459">
        <v>1.004</v>
      </c>
      <c r="G459" s="49" t="s">
        <v>651</v>
      </c>
    </row>
    <row r="460" spans="1:7">
      <c r="A460">
        <v>202604</v>
      </c>
      <c r="B460" s="49" t="s">
        <v>595</v>
      </c>
      <c r="C460">
        <v>3420</v>
      </c>
      <c r="D460" s="49" t="s">
        <v>647</v>
      </c>
      <c r="E460" s="49" t="s">
        <v>586</v>
      </c>
      <c r="F460">
        <v>1.256</v>
      </c>
      <c r="G460" s="49" t="s">
        <v>651</v>
      </c>
    </row>
    <row r="461" spans="1:7">
      <c r="A461">
        <v>202605</v>
      </c>
      <c r="B461" s="49" t="s">
        <v>584</v>
      </c>
      <c r="C461">
        <v>3400</v>
      </c>
      <c r="D461" s="49" t="s">
        <v>644</v>
      </c>
      <c r="E461" s="49" t="s">
        <v>586</v>
      </c>
      <c r="F461">
        <v>0.83699999999999997</v>
      </c>
      <c r="G461" s="49" t="s">
        <v>652</v>
      </c>
    </row>
    <row r="462" spans="1:7">
      <c r="A462">
        <v>202605</v>
      </c>
      <c r="B462" s="49" t="s">
        <v>588</v>
      </c>
      <c r="C462">
        <v>3400</v>
      </c>
      <c r="D462" s="49" t="s">
        <v>644</v>
      </c>
      <c r="E462" s="49" t="s">
        <v>586</v>
      </c>
      <c r="F462">
        <v>0.67</v>
      </c>
      <c r="G462" s="49" t="s">
        <v>652</v>
      </c>
    </row>
    <row r="463" spans="1:7">
      <c r="A463">
        <v>202605</v>
      </c>
      <c r="B463" s="49" t="s">
        <v>589</v>
      </c>
      <c r="C463">
        <v>3400</v>
      </c>
      <c r="D463" s="49" t="s">
        <v>644</v>
      </c>
      <c r="E463" s="49" t="s">
        <v>586</v>
      </c>
      <c r="F463">
        <v>0.83699999999999997</v>
      </c>
      <c r="G463" s="49" t="s">
        <v>652</v>
      </c>
    </row>
    <row r="464" spans="1:7">
      <c r="A464">
        <v>202605</v>
      </c>
      <c r="B464" s="49" t="s">
        <v>589</v>
      </c>
      <c r="C464">
        <v>3600</v>
      </c>
      <c r="D464" s="49" t="s">
        <v>646</v>
      </c>
      <c r="E464" s="49" t="s">
        <v>586</v>
      </c>
      <c r="F464">
        <v>0.16700000000000001</v>
      </c>
      <c r="G464" s="49" t="s">
        <v>636</v>
      </c>
    </row>
    <row r="465" spans="1:7">
      <c r="A465">
        <v>202605</v>
      </c>
      <c r="B465" s="49" t="s">
        <v>590</v>
      </c>
      <c r="C465">
        <v>3400</v>
      </c>
      <c r="D465" s="49" t="s">
        <v>644</v>
      </c>
      <c r="E465" s="49" t="s">
        <v>586</v>
      </c>
      <c r="F465">
        <v>0.151</v>
      </c>
      <c r="G465" s="49" t="s">
        <v>652</v>
      </c>
    </row>
    <row r="466" spans="1:7">
      <c r="A466">
        <v>202605</v>
      </c>
      <c r="B466" s="49" t="s">
        <v>591</v>
      </c>
      <c r="C466">
        <v>3420</v>
      </c>
      <c r="D466" s="49" t="s">
        <v>647</v>
      </c>
      <c r="E466" s="49" t="s">
        <v>586</v>
      </c>
      <c r="F466">
        <v>4.1849999999999996</v>
      </c>
      <c r="G466" s="49" t="s">
        <v>652</v>
      </c>
    </row>
    <row r="467" spans="1:7">
      <c r="A467">
        <v>202605</v>
      </c>
      <c r="B467" s="49" t="s">
        <v>592</v>
      </c>
      <c r="C467">
        <v>3420</v>
      </c>
      <c r="D467" s="49" t="s">
        <v>647</v>
      </c>
      <c r="E467" s="49" t="s">
        <v>586</v>
      </c>
      <c r="F467">
        <v>2.5110000000000001</v>
      </c>
      <c r="G467" s="49" t="s">
        <v>652</v>
      </c>
    </row>
    <row r="468" spans="1:7">
      <c r="A468">
        <v>202605</v>
      </c>
      <c r="B468" s="49" t="s">
        <v>593</v>
      </c>
      <c r="C468">
        <v>3420</v>
      </c>
      <c r="D468" s="49" t="s">
        <v>647</v>
      </c>
      <c r="E468" s="49" t="s">
        <v>586</v>
      </c>
      <c r="F468">
        <v>1.5069999999999999</v>
      </c>
      <c r="G468" s="49" t="s">
        <v>652</v>
      </c>
    </row>
    <row r="469" spans="1:7">
      <c r="A469">
        <v>202605</v>
      </c>
      <c r="B469" s="49" t="s">
        <v>594</v>
      </c>
      <c r="C469">
        <v>3420</v>
      </c>
      <c r="D469" s="49" t="s">
        <v>647</v>
      </c>
      <c r="E469" s="49" t="s">
        <v>586</v>
      </c>
      <c r="F469">
        <v>1.004</v>
      </c>
      <c r="G469" s="49" t="s">
        <v>652</v>
      </c>
    </row>
    <row r="470" spans="1:7">
      <c r="A470">
        <v>202605</v>
      </c>
      <c r="B470" s="49" t="s">
        <v>595</v>
      </c>
      <c r="C470">
        <v>3420</v>
      </c>
      <c r="D470" s="49" t="s">
        <v>647</v>
      </c>
      <c r="E470" s="49" t="s">
        <v>586</v>
      </c>
      <c r="F470">
        <v>1.256</v>
      </c>
      <c r="G470" s="49" t="s">
        <v>652</v>
      </c>
    </row>
    <row r="471" spans="1:7">
      <c r="A471">
        <v>202606</v>
      </c>
      <c r="B471" s="49" t="s">
        <v>584</v>
      </c>
      <c r="C471">
        <v>3400</v>
      </c>
      <c r="D471" s="49" t="s">
        <v>644</v>
      </c>
      <c r="E471" s="49" t="s">
        <v>586</v>
      </c>
      <c r="F471">
        <v>0.84</v>
      </c>
      <c r="G471" s="49" t="s">
        <v>653</v>
      </c>
    </row>
    <row r="472" spans="1:7">
      <c r="A472">
        <v>202606</v>
      </c>
      <c r="B472" s="49" t="s">
        <v>588</v>
      </c>
      <c r="C472">
        <v>3400</v>
      </c>
      <c r="D472" s="49" t="s">
        <v>644</v>
      </c>
      <c r="E472" s="49" t="s">
        <v>586</v>
      </c>
      <c r="F472">
        <v>0.67200000000000004</v>
      </c>
      <c r="G472" s="49" t="s">
        <v>653</v>
      </c>
    </row>
    <row r="473" spans="1:7">
      <c r="A473">
        <v>202606</v>
      </c>
      <c r="B473" s="49" t="s">
        <v>589</v>
      </c>
      <c r="C473">
        <v>3400</v>
      </c>
      <c r="D473" s="49" t="s">
        <v>644</v>
      </c>
      <c r="E473" s="49" t="s">
        <v>586</v>
      </c>
      <c r="F473">
        <v>0.84</v>
      </c>
      <c r="G473" s="49" t="s">
        <v>653</v>
      </c>
    </row>
    <row r="474" spans="1:7">
      <c r="A474">
        <v>202606</v>
      </c>
      <c r="B474" s="49" t="s">
        <v>589</v>
      </c>
      <c r="C474">
        <v>3600</v>
      </c>
      <c r="D474" s="49" t="s">
        <v>646</v>
      </c>
      <c r="E474" s="49" t="s">
        <v>586</v>
      </c>
      <c r="F474">
        <v>0.16800000000000001</v>
      </c>
      <c r="G474" s="49" t="s">
        <v>637</v>
      </c>
    </row>
    <row r="475" spans="1:7">
      <c r="A475">
        <v>202606</v>
      </c>
      <c r="B475" s="49" t="s">
        <v>590</v>
      </c>
      <c r="C475">
        <v>3400</v>
      </c>
      <c r="D475" s="49" t="s">
        <v>644</v>
      </c>
      <c r="E475" s="49" t="s">
        <v>586</v>
      </c>
      <c r="F475">
        <v>0.151</v>
      </c>
      <c r="G475" s="49" t="s">
        <v>653</v>
      </c>
    </row>
    <row r="476" spans="1:7">
      <c r="A476">
        <v>202606</v>
      </c>
      <c r="B476" s="49" t="s">
        <v>591</v>
      </c>
      <c r="C476">
        <v>3420</v>
      </c>
      <c r="D476" s="49" t="s">
        <v>647</v>
      </c>
      <c r="E476" s="49" t="s">
        <v>586</v>
      </c>
      <c r="F476">
        <v>4.2</v>
      </c>
      <c r="G476" s="49" t="s">
        <v>653</v>
      </c>
    </row>
    <row r="477" spans="1:7">
      <c r="A477">
        <v>202606</v>
      </c>
      <c r="B477" s="49" t="s">
        <v>592</v>
      </c>
      <c r="C477">
        <v>3420</v>
      </c>
      <c r="D477" s="49" t="s">
        <v>647</v>
      </c>
      <c r="E477" s="49" t="s">
        <v>586</v>
      </c>
      <c r="F477">
        <v>2.52</v>
      </c>
      <c r="G477" s="49" t="s">
        <v>653</v>
      </c>
    </row>
    <row r="478" spans="1:7">
      <c r="A478">
        <v>202606</v>
      </c>
      <c r="B478" s="49" t="s">
        <v>593</v>
      </c>
      <c r="C478">
        <v>3420</v>
      </c>
      <c r="D478" s="49" t="s">
        <v>647</v>
      </c>
      <c r="E478" s="49" t="s">
        <v>586</v>
      </c>
      <c r="F478">
        <v>1.512</v>
      </c>
      <c r="G478" s="49" t="s">
        <v>653</v>
      </c>
    </row>
    <row r="479" spans="1:7">
      <c r="A479">
        <v>202606</v>
      </c>
      <c r="B479" s="49" t="s">
        <v>594</v>
      </c>
      <c r="C479">
        <v>3420</v>
      </c>
      <c r="D479" s="49" t="s">
        <v>647</v>
      </c>
      <c r="E479" s="49" t="s">
        <v>586</v>
      </c>
      <c r="F479">
        <v>1.008</v>
      </c>
      <c r="G479" s="49" t="s">
        <v>653</v>
      </c>
    </row>
    <row r="480" spans="1:7">
      <c r="A480">
        <v>202606</v>
      </c>
      <c r="B480" s="49" t="s">
        <v>595</v>
      </c>
      <c r="C480">
        <v>3420</v>
      </c>
      <c r="D480" s="49" t="s">
        <v>647</v>
      </c>
      <c r="E480" s="49" t="s">
        <v>586</v>
      </c>
      <c r="F480">
        <v>1.26</v>
      </c>
      <c r="G480" s="49" t="s">
        <v>653</v>
      </c>
    </row>
    <row r="481" spans="1:7">
      <c r="A481">
        <v>202607</v>
      </c>
      <c r="B481" s="49" t="s">
        <v>584</v>
      </c>
      <c r="C481">
        <v>3400</v>
      </c>
      <c r="D481" s="49" t="s">
        <v>644</v>
      </c>
      <c r="E481" s="49" t="s">
        <v>586</v>
      </c>
      <c r="F481">
        <v>0.79</v>
      </c>
      <c r="G481" s="49" t="s">
        <v>654</v>
      </c>
    </row>
    <row r="482" spans="1:7">
      <c r="A482">
        <v>202607</v>
      </c>
      <c r="B482" s="49" t="s">
        <v>588</v>
      </c>
      <c r="C482">
        <v>3400</v>
      </c>
      <c r="D482" s="49" t="s">
        <v>644</v>
      </c>
      <c r="E482" s="49" t="s">
        <v>586</v>
      </c>
      <c r="F482">
        <v>0.63200000000000001</v>
      </c>
      <c r="G482" s="49" t="s">
        <v>654</v>
      </c>
    </row>
    <row r="483" spans="1:7">
      <c r="A483">
        <v>202607</v>
      </c>
      <c r="B483" s="49" t="s">
        <v>589</v>
      </c>
      <c r="C483">
        <v>3400</v>
      </c>
      <c r="D483" s="49" t="s">
        <v>644</v>
      </c>
      <c r="E483" s="49" t="s">
        <v>586</v>
      </c>
      <c r="F483">
        <v>0.79</v>
      </c>
      <c r="G483" s="49" t="s">
        <v>654</v>
      </c>
    </row>
    <row r="484" spans="1:7">
      <c r="A484">
        <v>202607</v>
      </c>
      <c r="B484" s="49" t="s">
        <v>589</v>
      </c>
      <c r="C484">
        <v>3600</v>
      </c>
      <c r="D484" s="49" t="s">
        <v>646</v>
      </c>
      <c r="E484" s="49" t="s">
        <v>586</v>
      </c>
      <c r="F484">
        <v>0.158</v>
      </c>
      <c r="G484" s="49" t="s">
        <v>638</v>
      </c>
    </row>
    <row r="485" spans="1:7">
      <c r="A485">
        <v>202607</v>
      </c>
      <c r="B485" s="49" t="s">
        <v>590</v>
      </c>
      <c r="C485">
        <v>3400</v>
      </c>
      <c r="D485" s="49" t="s">
        <v>644</v>
      </c>
      <c r="E485" s="49" t="s">
        <v>586</v>
      </c>
      <c r="F485">
        <v>0.14199999999999999</v>
      </c>
      <c r="G485" s="49" t="s">
        <v>654</v>
      </c>
    </row>
    <row r="486" spans="1:7">
      <c r="A486">
        <v>202607</v>
      </c>
      <c r="B486" s="49" t="s">
        <v>591</v>
      </c>
      <c r="C486">
        <v>3420</v>
      </c>
      <c r="D486" s="49" t="s">
        <v>647</v>
      </c>
      <c r="E486" s="49" t="s">
        <v>586</v>
      </c>
      <c r="F486">
        <v>3.95</v>
      </c>
      <c r="G486" s="49" t="s">
        <v>654</v>
      </c>
    </row>
    <row r="487" spans="1:7">
      <c r="A487">
        <v>202607</v>
      </c>
      <c r="B487" s="49" t="s">
        <v>592</v>
      </c>
      <c r="C487">
        <v>3420</v>
      </c>
      <c r="D487" s="49" t="s">
        <v>647</v>
      </c>
      <c r="E487" s="49" t="s">
        <v>586</v>
      </c>
      <c r="F487">
        <v>2.37</v>
      </c>
      <c r="G487" s="49" t="s">
        <v>654</v>
      </c>
    </row>
    <row r="488" spans="1:7">
      <c r="A488">
        <v>202607</v>
      </c>
      <c r="B488" s="49" t="s">
        <v>593</v>
      </c>
      <c r="C488">
        <v>3420</v>
      </c>
      <c r="D488" s="49" t="s">
        <v>647</v>
      </c>
      <c r="E488" s="49" t="s">
        <v>586</v>
      </c>
      <c r="F488">
        <v>1.4219999999999999</v>
      </c>
      <c r="G488" s="49" t="s">
        <v>654</v>
      </c>
    </row>
    <row r="489" spans="1:7">
      <c r="A489">
        <v>202607</v>
      </c>
      <c r="B489" s="49" t="s">
        <v>594</v>
      </c>
      <c r="C489">
        <v>3420</v>
      </c>
      <c r="D489" s="49" t="s">
        <v>647</v>
      </c>
      <c r="E489" s="49" t="s">
        <v>586</v>
      </c>
      <c r="F489">
        <v>0.94799999999999995</v>
      </c>
      <c r="G489" s="49" t="s">
        <v>654</v>
      </c>
    </row>
    <row r="490" spans="1:7">
      <c r="A490">
        <v>202607</v>
      </c>
      <c r="B490" s="49" t="s">
        <v>595</v>
      </c>
      <c r="C490">
        <v>3420</v>
      </c>
      <c r="D490" s="49" t="s">
        <v>647</v>
      </c>
      <c r="E490" s="49" t="s">
        <v>586</v>
      </c>
      <c r="F490">
        <v>1.1850000000000001</v>
      </c>
      <c r="G490" s="49" t="s">
        <v>654</v>
      </c>
    </row>
    <row r="491" spans="1:7">
      <c r="A491">
        <v>202608</v>
      </c>
      <c r="B491" s="49" t="s">
        <v>584</v>
      </c>
      <c r="C491">
        <v>3400</v>
      </c>
      <c r="D491" s="49" t="s">
        <v>644</v>
      </c>
      <c r="E491" s="49" t="s">
        <v>586</v>
      </c>
      <c r="F491">
        <v>0.83699999999999997</v>
      </c>
      <c r="G491" s="49" t="s">
        <v>655</v>
      </c>
    </row>
    <row r="492" spans="1:7">
      <c r="A492">
        <v>202608</v>
      </c>
      <c r="B492" s="49" t="s">
        <v>588</v>
      </c>
      <c r="C492">
        <v>3400</v>
      </c>
      <c r="D492" s="49" t="s">
        <v>644</v>
      </c>
      <c r="E492" s="49" t="s">
        <v>586</v>
      </c>
      <c r="F492">
        <v>0.67</v>
      </c>
      <c r="G492" s="49" t="s">
        <v>655</v>
      </c>
    </row>
    <row r="493" spans="1:7">
      <c r="A493">
        <v>202608</v>
      </c>
      <c r="B493" s="49" t="s">
        <v>589</v>
      </c>
      <c r="C493">
        <v>3400</v>
      </c>
      <c r="D493" s="49" t="s">
        <v>644</v>
      </c>
      <c r="E493" s="49" t="s">
        <v>586</v>
      </c>
      <c r="F493">
        <v>0.83699999999999997</v>
      </c>
      <c r="G493" s="49" t="s">
        <v>655</v>
      </c>
    </row>
    <row r="494" spans="1:7">
      <c r="A494">
        <v>202608</v>
      </c>
      <c r="B494" s="49" t="s">
        <v>589</v>
      </c>
      <c r="C494">
        <v>3600</v>
      </c>
      <c r="D494" s="49" t="s">
        <v>646</v>
      </c>
      <c r="E494" s="49" t="s">
        <v>586</v>
      </c>
      <c r="F494">
        <v>0.16700000000000001</v>
      </c>
      <c r="G494" s="49" t="s">
        <v>639</v>
      </c>
    </row>
    <row r="495" spans="1:7">
      <c r="A495">
        <v>202608</v>
      </c>
      <c r="B495" s="49" t="s">
        <v>590</v>
      </c>
      <c r="C495">
        <v>3400</v>
      </c>
      <c r="D495" s="49" t="s">
        <v>644</v>
      </c>
      <c r="E495" s="49" t="s">
        <v>586</v>
      </c>
      <c r="F495">
        <v>0.151</v>
      </c>
      <c r="G495" s="49" t="s">
        <v>655</v>
      </c>
    </row>
    <row r="496" spans="1:7">
      <c r="A496">
        <v>202608</v>
      </c>
      <c r="B496" s="49" t="s">
        <v>591</v>
      </c>
      <c r="C496">
        <v>3420</v>
      </c>
      <c r="D496" s="49" t="s">
        <v>647</v>
      </c>
      <c r="E496" s="49" t="s">
        <v>586</v>
      </c>
      <c r="F496">
        <v>4.1849999999999996</v>
      </c>
      <c r="G496" s="49" t="s">
        <v>655</v>
      </c>
    </row>
    <row r="497" spans="1:7">
      <c r="A497">
        <v>202608</v>
      </c>
      <c r="B497" s="49" t="s">
        <v>592</v>
      </c>
      <c r="C497">
        <v>3420</v>
      </c>
      <c r="D497" s="49" t="s">
        <v>647</v>
      </c>
      <c r="E497" s="49" t="s">
        <v>586</v>
      </c>
      <c r="F497">
        <v>2.5110000000000001</v>
      </c>
      <c r="G497" s="49" t="s">
        <v>655</v>
      </c>
    </row>
    <row r="498" spans="1:7">
      <c r="A498">
        <v>202608</v>
      </c>
      <c r="B498" s="49" t="s">
        <v>593</v>
      </c>
      <c r="C498">
        <v>3420</v>
      </c>
      <c r="D498" s="49" t="s">
        <v>647</v>
      </c>
      <c r="E498" s="49" t="s">
        <v>586</v>
      </c>
      <c r="F498">
        <v>1.5069999999999999</v>
      </c>
      <c r="G498" s="49" t="s">
        <v>655</v>
      </c>
    </row>
    <row r="499" spans="1:7">
      <c r="A499">
        <v>202608</v>
      </c>
      <c r="B499" s="49" t="s">
        <v>594</v>
      </c>
      <c r="C499">
        <v>3420</v>
      </c>
      <c r="D499" s="49" t="s">
        <v>647</v>
      </c>
      <c r="E499" s="49" t="s">
        <v>586</v>
      </c>
      <c r="F499">
        <v>1.004</v>
      </c>
      <c r="G499" s="49" t="s">
        <v>655</v>
      </c>
    </row>
    <row r="500" spans="1:7">
      <c r="A500">
        <v>202608</v>
      </c>
      <c r="B500" s="49" t="s">
        <v>595</v>
      </c>
      <c r="C500">
        <v>3420</v>
      </c>
      <c r="D500" s="49" t="s">
        <v>647</v>
      </c>
      <c r="E500" s="49" t="s">
        <v>586</v>
      </c>
      <c r="F500">
        <v>1.256</v>
      </c>
      <c r="G500" s="49" t="s">
        <v>655</v>
      </c>
    </row>
    <row r="501" spans="1:7">
      <c r="A501">
        <v>202609</v>
      </c>
      <c r="B501" s="49" t="s">
        <v>584</v>
      </c>
      <c r="C501">
        <v>3400</v>
      </c>
      <c r="D501" s="49" t="s">
        <v>644</v>
      </c>
      <c r="E501" s="49" t="s">
        <v>586</v>
      </c>
      <c r="F501">
        <v>0.83699999999999997</v>
      </c>
      <c r="G501" s="49" t="s">
        <v>656</v>
      </c>
    </row>
    <row r="502" spans="1:7">
      <c r="A502">
        <v>202609</v>
      </c>
      <c r="B502" s="49" t="s">
        <v>588</v>
      </c>
      <c r="C502">
        <v>3400</v>
      </c>
      <c r="D502" s="49" t="s">
        <v>644</v>
      </c>
      <c r="E502" s="49" t="s">
        <v>586</v>
      </c>
      <c r="F502">
        <v>0.67</v>
      </c>
      <c r="G502" s="49" t="s">
        <v>656</v>
      </c>
    </row>
    <row r="503" spans="1:7">
      <c r="A503">
        <v>202609</v>
      </c>
      <c r="B503" s="49" t="s">
        <v>589</v>
      </c>
      <c r="C503">
        <v>3400</v>
      </c>
      <c r="D503" s="49" t="s">
        <v>644</v>
      </c>
      <c r="E503" s="49" t="s">
        <v>586</v>
      </c>
      <c r="F503">
        <v>0.83699999999999997</v>
      </c>
      <c r="G503" s="49" t="s">
        <v>656</v>
      </c>
    </row>
    <row r="504" spans="1:7">
      <c r="A504">
        <v>202609</v>
      </c>
      <c r="B504" s="49" t="s">
        <v>589</v>
      </c>
      <c r="C504">
        <v>3600</v>
      </c>
      <c r="D504" s="49" t="s">
        <v>646</v>
      </c>
      <c r="E504" s="49" t="s">
        <v>586</v>
      </c>
      <c r="F504">
        <v>0.16700000000000001</v>
      </c>
      <c r="G504" s="49" t="s">
        <v>640</v>
      </c>
    </row>
    <row r="505" spans="1:7">
      <c r="A505">
        <v>202609</v>
      </c>
      <c r="B505" s="49" t="s">
        <v>589</v>
      </c>
      <c r="C505">
        <v>7790</v>
      </c>
      <c r="D505" s="49" t="s">
        <v>646</v>
      </c>
      <c r="E505" s="49" t="s">
        <v>586</v>
      </c>
      <c r="F505">
        <v>0.35</v>
      </c>
      <c r="G505" s="49" t="s">
        <v>657</v>
      </c>
    </row>
    <row r="506" spans="1:7">
      <c r="A506">
        <v>202609</v>
      </c>
      <c r="B506" s="49" t="s">
        <v>590</v>
      </c>
      <c r="C506">
        <v>3400</v>
      </c>
      <c r="D506" s="49" t="s">
        <v>644</v>
      </c>
      <c r="E506" s="49" t="s">
        <v>586</v>
      </c>
      <c r="F506">
        <v>0.151</v>
      </c>
      <c r="G506" s="49" t="s">
        <v>656</v>
      </c>
    </row>
    <row r="507" spans="1:7">
      <c r="A507">
        <v>202609</v>
      </c>
      <c r="B507" s="49" t="s">
        <v>590</v>
      </c>
      <c r="C507">
        <v>6700</v>
      </c>
      <c r="D507" s="49" t="s">
        <v>650</v>
      </c>
      <c r="E507" s="49" t="s">
        <v>586</v>
      </c>
      <c r="F507">
        <v>0.38800000000000001</v>
      </c>
      <c r="G507" s="49" t="s">
        <v>628</v>
      </c>
    </row>
    <row r="508" spans="1:7">
      <c r="A508">
        <v>202609</v>
      </c>
      <c r="B508" s="49" t="s">
        <v>591</v>
      </c>
      <c r="C508">
        <v>3420</v>
      </c>
      <c r="D508" s="49" t="s">
        <v>647</v>
      </c>
      <c r="E508" s="49" t="s">
        <v>586</v>
      </c>
      <c r="F508">
        <v>4.1849999999999996</v>
      </c>
      <c r="G508" s="49" t="s">
        <v>656</v>
      </c>
    </row>
    <row r="509" spans="1:7">
      <c r="A509">
        <v>202609</v>
      </c>
      <c r="B509" s="49" t="s">
        <v>592</v>
      </c>
      <c r="C509">
        <v>3420</v>
      </c>
      <c r="D509" s="49" t="s">
        <v>647</v>
      </c>
      <c r="E509" s="49" t="s">
        <v>586</v>
      </c>
      <c r="F509">
        <v>2.5110000000000001</v>
      </c>
      <c r="G509" s="49" t="s">
        <v>656</v>
      </c>
    </row>
    <row r="510" spans="1:7">
      <c r="A510">
        <v>202609</v>
      </c>
      <c r="B510" s="49" t="s">
        <v>593</v>
      </c>
      <c r="C510">
        <v>3420</v>
      </c>
      <c r="D510" s="49" t="s">
        <v>647</v>
      </c>
      <c r="E510" s="49" t="s">
        <v>586</v>
      </c>
      <c r="F510">
        <v>1.5069999999999999</v>
      </c>
      <c r="G510" s="49" t="s">
        <v>656</v>
      </c>
    </row>
    <row r="511" spans="1:7">
      <c r="A511">
        <v>202609</v>
      </c>
      <c r="B511" s="49" t="s">
        <v>594</v>
      </c>
      <c r="C511">
        <v>3420</v>
      </c>
      <c r="D511" s="49" t="s">
        <v>647</v>
      </c>
      <c r="E511" s="49" t="s">
        <v>586</v>
      </c>
      <c r="F511">
        <v>1.004</v>
      </c>
      <c r="G511" s="49" t="s">
        <v>656</v>
      </c>
    </row>
    <row r="512" spans="1:7">
      <c r="A512">
        <v>202609</v>
      </c>
      <c r="B512" s="49" t="s">
        <v>595</v>
      </c>
      <c r="C512">
        <v>3420</v>
      </c>
      <c r="D512" s="49" t="s">
        <v>647</v>
      </c>
      <c r="E512" s="49" t="s">
        <v>586</v>
      </c>
      <c r="F512">
        <v>1.256</v>
      </c>
      <c r="G512" s="49" t="s">
        <v>656</v>
      </c>
    </row>
    <row r="513" spans="1:7">
      <c r="A513">
        <v>202610</v>
      </c>
      <c r="B513" s="49" t="s">
        <v>584</v>
      </c>
      <c r="C513">
        <v>3400</v>
      </c>
      <c r="D513" s="49" t="s">
        <v>644</v>
      </c>
      <c r="E513" s="49" t="s">
        <v>604</v>
      </c>
      <c r="F513">
        <v>0.83699999999999997</v>
      </c>
      <c r="G513" s="49" t="s">
        <v>658</v>
      </c>
    </row>
    <row r="514" spans="1:7">
      <c r="A514">
        <v>202610</v>
      </c>
      <c r="B514" s="49" t="s">
        <v>588</v>
      </c>
      <c r="C514">
        <v>3400</v>
      </c>
      <c r="D514" s="49" t="s">
        <v>644</v>
      </c>
      <c r="E514" s="49" t="s">
        <v>604</v>
      </c>
      <c r="F514">
        <v>0.67</v>
      </c>
      <c r="G514" s="49" t="s">
        <v>658</v>
      </c>
    </row>
    <row r="515" spans="1:7">
      <c r="A515">
        <v>202610</v>
      </c>
      <c r="B515" s="49" t="s">
        <v>589</v>
      </c>
      <c r="C515">
        <v>3400</v>
      </c>
      <c r="D515" s="49" t="s">
        <v>644</v>
      </c>
      <c r="E515" s="49" t="s">
        <v>604</v>
      </c>
      <c r="F515">
        <v>0.83699999999999997</v>
      </c>
      <c r="G515" s="49" t="s">
        <v>658</v>
      </c>
    </row>
    <row r="516" spans="1:7">
      <c r="A516">
        <v>202610</v>
      </c>
      <c r="B516" s="49" t="s">
        <v>589</v>
      </c>
      <c r="C516">
        <v>3600</v>
      </c>
      <c r="D516" s="49" t="s">
        <v>646</v>
      </c>
      <c r="E516" s="49" t="s">
        <v>604</v>
      </c>
      <c r="F516">
        <v>0.16700000000000001</v>
      </c>
      <c r="G516" s="49" t="s">
        <v>641</v>
      </c>
    </row>
    <row r="517" spans="1:7">
      <c r="A517">
        <v>202610</v>
      </c>
      <c r="B517" s="49" t="s">
        <v>590</v>
      </c>
      <c r="C517">
        <v>3400</v>
      </c>
      <c r="D517" s="49" t="s">
        <v>644</v>
      </c>
      <c r="E517" s="49" t="s">
        <v>604</v>
      </c>
      <c r="F517">
        <v>0.151</v>
      </c>
      <c r="G517" s="49" t="s">
        <v>658</v>
      </c>
    </row>
    <row r="518" spans="1:7">
      <c r="A518">
        <v>202610</v>
      </c>
      <c r="B518" s="49" t="s">
        <v>591</v>
      </c>
      <c r="C518">
        <v>3420</v>
      </c>
      <c r="D518" s="49" t="s">
        <v>647</v>
      </c>
      <c r="E518" s="49" t="s">
        <v>604</v>
      </c>
      <c r="F518">
        <v>4.1849999999999996</v>
      </c>
      <c r="G518" s="49" t="s">
        <v>658</v>
      </c>
    </row>
    <row r="519" spans="1:7">
      <c r="A519">
        <v>202610</v>
      </c>
      <c r="B519" s="49" t="s">
        <v>592</v>
      </c>
      <c r="C519">
        <v>3420</v>
      </c>
      <c r="D519" s="49" t="s">
        <v>647</v>
      </c>
      <c r="E519" s="49" t="s">
        <v>604</v>
      </c>
      <c r="F519">
        <v>2.5110000000000001</v>
      </c>
      <c r="G519" s="49" t="s">
        <v>658</v>
      </c>
    </row>
    <row r="520" spans="1:7">
      <c r="A520">
        <v>202610</v>
      </c>
      <c r="B520" s="49" t="s">
        <v>593</v>
      </c>
      <c r="C520">
        <v>3420</v>
      </c>
      <c r="D520" s="49" t="s">
        <v>647</v>
      </c>
      <c r="E520" s="49" t="s">
        <v>604</v>
      </c>
      <c r="F520">
        <v>1.5069999999999999</v>
      </c>
      <c r="G520" s="49" t="s">
        <v>658</v>
      </c>
    </row>
    <row r="521" spans="1:7">
      <c r="A521">
        <v>202610</v>
      </c>
      <c r="B521" s="49" t="s">
        <v>594</v>
      </c>
      <c r="C521">
        <v>3420</v>
      </c>
      <c r="D521" s="49" t="s">
        <v>647</v>
      </c>
      <c r="E521" s="49" t="s">
        <v>604</v>
      </c>
      <c r="F521">
        <v>1.004</v>
      </c>
      <c r="G521" s="49" t="s">
        <v>658</v>
      </c>
    </row>
    <row r="522" spans="1:7">
      <c r="A522">
        <v>202610</v>
      </c>
      <c r="B522" s="49" t="s">
        <v>595</v>
      </c>
      <c r="C522">
        <v>3420</v>
      </c>
      <c r="D522" s="49" t="s">
        <v>647</v>
      </c>
      <c r="E522" s="49" t="s">
        <v>604</v>
      </c>
      <c r="F522">
        <v>1.256</v>
      </c>
      <c r="G522" s="49" t="s">
        <v>658</v>
      </c>
    </row>
    <row r="523" spans="1:7">
      <c r="A523">
        <v>202611</v>
      </c>
      <c r="B523" s="49" t="s">
        <v>584</v>
      </c>
      <c r="C523">
        <v>3400</v>
      </c>
      <c r="D523" s="49" t="s">
        <v>644</v>
      </c>
      <c r="E523" s="49" t="s">
        <v>604</v>
      </c>
      <c r="F523">
        <v>0.83699999999999997</v>
      </c>
      <c r="G523" s="49" t="s">
        <v>659</v>
      </c>
    </row>
    <row r="524" spans="1:7">
      <c r="A524">
        <v>202611</v>
      </c>
      <c r="B524" s="49" t="s">
        <v>588</v>
      </c>
      <c r="C524">
        <v>3400</v>
      </c>
      <c r="D524" s="49" t="s">
        <v>644</v>
      </c>
      <c r="E524" s="49" t="s">
        <v>604</v>
      </c>
      <c r="F524">
        <v>0.67</v>
      </c>
      <c r="G524" s="49" t="s">
        <v>659</v>
      </c>
    </row>
    <row r="525" spans="1:7">
      <c r="A525">
        <v>202611</v>
      </c>
      <c r="B525" s="49" t="s">
        <v>589</v>
      </c>
      <c r="C525">
        <v>3400</v>
      </c>
      <c r="D525" s="49" t="s">
        <v>644</v>
      </c>
      <c r="E525" s="49" t="s">
        <v>604</v>
      </c>
      <c r="F525">
        <v>0.83699999999999997</v>
      </c>
      <c r="G525" s="49" t="s">
        <v>659</v>
      </c>
    </row>
    <row r="526" spans="1:7">
      <c r="A526">
        <v>202611</v>
      </c>
      <c r="B526" s="49" t="s">
        <v>589</v>
      </c>
      <c r="C526">
        <v>3600</v>
      </c>
      <c r="D526" s="49" t="s">
        <v>646</v>
      </c>
      <c r="E526" s="49" t="s">
        <v>604</v>
      </c>
      <c r="F526">
        <v>0.16700000000000001</v>
      </c>
      <c r="G526" s="49" t="s">
        <v>642</v>
      </c>
    </row>
    <row r="527" spans="1:7">
      <c r="A527">
        <v>202611</v>
      </c>
      <c r="B527" s="49" t="s">
        <v>590</v>
      </c>
      <c r="C527">
        <v>3400</v>
      </c>
      <c r="D527" s="49" t="s">
        <v>644</v>
      </c>
      <c r="E527" s="49" t="s">
        <v>604</v>
      </c>
      <c r="F527">
        <v>0.151</v>
      </c>
      <c r="G527" s="49" t="s">
        <v>659</v>
      </c>
    </row>
    <row r="528" spans="1:7">
      <c r="A528">
        <v>202611</v>
      </c>
      <c r="B528" s="49" t="s">
        <v>591</v>
      </c>
      <c r="C528">
        <v>3420</v>
      </c>
      <c r="D528" s="49" t="s">
        <v>647</v>
      </c>
      <c r="E528" s="49" t="s">
        <v>604</v>
      </c>
      <c r="F528">
        <v>4.1849999999999996</v>
      </c>
      <c r="G528" s="49" t="s">
        <v>659</v>
      </c>
    </row>
    <row r="529" spans="1:7">
      <c r="A529">
        <v>202611</v>
      </c>
      <c r="B529" s="49" t="s">
        <v>592</v>
      </c>
      <c r="C529">
        <v>3420</v>
      </c>
      <c r="D529" s="49" t="s">
        <v>647</v>
      </c>
      <c r="E529" s="49" t="s">
        <v>604</v>
      </c>
      <c r="F529">
        <v>2.5110000000000001</v>
      </c>
      <c r="G529" s="49" t="s">
        <v>659</v>
      </c>
    </row>
    <row r="530" spans="1:7">
      <c r="A530">
        <v>202611</v>
      </c>
      <c r="B530" s="49" t="s">
        <v>593</v>
      </c>
      <c r="C530">
        <v>3420</v>
      </c>
      <c r="D530" s="49" t="s">
        <v>647</v>
      </c>
      <c r="E530" s="49" t="s">
        <v>604</v>
      </c>
      <c r="F530">
        <v>1.5069999999999999</v>
      </c>
      <c r="G530" s="49" t="s">
        <v>659</v>
      </c>
    </row>
    <row r="531" spans="1:7">
      <c r="A531">
        <v>202611</v>
      </c>
      <c r="B531" s="49" t="s">
        <v>594</v>
      </c>
      <c r="C531">
        <v>3420</v>
      </c>
      <c r="D531" s="49" t="s">
        <v>647</v>
      </c>
      <c r="E531" s="49" t="s">
        <v>604</v>
      </c>
      <c r="F531">
        <v>1.004</v>
      </c>
      <c r="G531" s="49" t="s">
        <v>659</v>
      </c>
    </row>
    <row r="532" spans="1:7">
      <c r="A532">
        <v>202611</v>
      </c>
      <c r="B532" s="49" t="s">
        <v>595</v>
      </c>
      <c r="C532">
        <v>3420</v>
      </c>
      <c r="D532" s="49" t="s">
        <v>647</v>
      </c>
      <c r="E532" s="49" t="s">
        <v>604</v>
      </c>
      <c r="F532">
        <v>1.256</v>
      </c>
      <c r="G532" s="49" t="s">
        <v>659</v>
      </c>
    </row>
    <row r="533" spans="1:7">
      <c r="A533">
        <v>202612</v>
      </c>
      <c r="B533" s="49" t="s">
        <v>584</v>
      </c>
      <c r="C533">
        <v>3400</v>
      </c>
      <c r="D533" s="49" t="s">
        <v>644</v>
      </c>
      <c r="E533" s="49" t="s">
        <v>604</v>
      </c>
      <c r="F533">
        <v>0.83699999999999997</v>
      </c>
      <c r="G533" s="49" t="s">
        <v>660</v>
      </c>
    </row>
    <row r="534" spans="1:7">
      <c r="A534">
        <v>202612</v>
      </c>
      <c r="B534" s="49" t="s">
        <v>588</v>
      </c>
      <c r="C534">
        <v>3400</v>
      </c>
      <c r="D534" s="49" t="s">
        <v>644</v>
      </c>
      <c r="E534" s="49" t="s">
        <v>604</v>
      </c>
      <c r="F534">
        <v>0.67</v>
      </c>
      <c r="G534" s="49" t="s">
        <v>660</v>
      </c>
    </row>
    <row r="535" spans="1:7">
      <c r="A535">
        <v>202612</v>
      </c>
      <c r="B535" s="49" t="s">
        <v>589</v>
      </c>
      <c r="C535">
        <v>3400</v>
      </c>
      <c r="D535" s="49" t="s">
        <v>644</v>
      </c>
      <c r="E535" s="49" t="s">
        <v>604</v>
      </c>
      <c r="F535">
        <v>0.83699999999999997</v>
      </c>
      <c r="G535" s="49" t="s">
        <v>660</v>
      </c>
    </row>
    <row r="536" spans="1:7">
      <c r="A536">
        <v>202612</v>
      </c>
      <c r="B536" s="49" t="s">
        <v>589</v>
      </c>
      <c r="C536">
        <v>3600</v>
      </c>
      <c r="D536" s="49" t="s">
        <v>646</v>
      </c>
      <c r="E536" s="49" t="s">
        <v>604</v>
      </c>
      <c r="F536">
        <v>0.16700000000000001</v>
      </c>
      <c r="G536" s="49" t="s">
        <v>643</v>
      </c>
    </row>
    <row r="537" spans="1:7">
      <c r="A537">
        <v>202612</v>
      </c>
      <c r="B537" s="49" t="s">
        <v>590</v>
      </c>
      <c r="C537">
        <v>3400</v>
      </c>
      <c r="D537" s="49" t="s">
        <v>644</v>
      </c>
      <c r="E537" s="49" t="s">
        <v>604</v>
      </c>
      <c r="F537">
        <v>0.151</v>
      </c>
      <c r="G537" s="49" t="s">
        <v>660</v>
      </c>
    </row>
    <row r="538" spans="1:7">
      <c r="A538">
        <v>202612</v>
      </c>
      <c r="B538" s="49" t="s">
        <v>591</v>
      </c>
      <c r="C538">
        <v>3420</v>
      </c>
      <c r="D538" s="49" t="s">
        <v>647</v>
      </c>
      <c r="E538" s="49" t="s">
        <v>604</v>
      </c>
      <c r="F538">
        <v>4.1849999999999996</v>
      </c>
      <c r="G538" s="49" t="s">
        <v>660</v>
      </c>
    </row>
    <row r="539" spans="1:7">
      <c r="A539">
        <v>202612</v>
      </c>
      <c r="B539" s="49" t="s">
        <v>592</v>
      </c>
      <c r="C539">
        <v>3420</v>
      </c>
      <c r="D539" s="49" t="s">
        <v>647</v>
      </c>
      <c r="E539" s="49" t="s">
        <v>604</v>
      </c>
      <c r="F539">
        <v>2.5110000000000001</v>
      </c>
      <c r="G539" s="49" t="s">
        <v>660</v>
      </c>
    </row>
    <row r="540" spans="1:7">
      <c r="A540">
        <v>202612</v>
      </c>
      <c r="B540" s="49" t="s">
        <v>593</v>
      </c>
      <c r="C540">
        <v>3420</v>
      </c>
      <c r="D540" s="49" t="s">
        <v>647</v>
      </c>
      <c r="E540" s="49" t="s">
        <v>604</v>
      </c>
      <c r="F540">
        <v>1.5069999999999999</v>
      </c>
      <c r="G540" s="49" t="s">
        <v>660</v>
      </c>
    </row>
    <row r="541" spans="1:7">
      <c r="A541">
        <v>202612</v>
      </c>
      <c r="B541" s="49" t="s">
        <v>594</v>
      </c>
      <c r="C541">
        <v>3420</v>
      </c>
      <c r="D541" s="49" t="s">
        <v>647</v>
      </c>
      <c r="E541" s="49" t="s">
        <v>604</v>
      </c>
      <c r="F541">
        <v>1.004</v>
      </c>
      <c r="G541" s="49" t="s">
        <v>660</v>
      </c>
    </row>
    <row r="542" spans="1:7">
      <c r="A542">
        <v>202612</v>
      </c>
      <c r="B542" s="49" t="s">
        <v>595</v>
      </c>
      <c r="C542">
        <v>3420</v>
      </c>
      <c r="D542" s="49" t="s">
        <v>647</v>
      </c>
      <c r="E542" s="49" t="s">
        <v>604</v>
      </c>
      <c r="F542">
        <v>1.256</v>
      </c>
      <c r="G542" s="49" t="s">
        <v>660</v>
      </c>
    </row>
    <row r="543" spans="1:7">
      <c r="A543">
        <v>202601</v>
      </c>
      <c r="B543" s="49" t="s">
        <v>584</v>
      </c>
      <c r="C543">
        <v>1250</v>
      </c>
      <c r="D543" s="49" t="s">
        <v>661</v>
      </c>
      <c r="E543" s="49" t="s">
        <v>586</v>
      </c>
      <c r="F543">
        <v>0.84399999999999997</v>
      </c>
      <c r="G543" s="49" t="s">
        <v>662</v>
      </c>
    </row>
    <row r="544" spans="1:7">
      <c r="A544">
        <v>202601</v>
      </c>
      <c r="B544" s="49" t="s">
        <v>588</v>
      </c>
      <c r="C544">
        <v>1250</v>
      </c>
      <c r="D544" s="49" t="s">
        <v>661</v>
      </c>
      <c r="E544" s="49" t="s">
        <v>586</v>
      </c>
      <c r="F544">
        <v>0.67500000000000004</v>
      </c>
      <c r="G544" s="49" t="s">
        <v>662</v>
      </c>
    </row>
    <row r="545" spans="1:7">
      <c r="A545">
        <v>202601</v>
      </c>
      <c r="B545" s="49" t="s">
        <v>589</v>
      </c>
      <c r="C545">
        <v>1250</v>
      </c>
      <c r="D545" s="49" t="s">
        <v>661</v>
      </c>
      <c r="E545" s="49" t="s">
        <v>586</v>
      </c>
      <c r="F545">
        <v>0.84399999999999997</v>
      </c>
      <c r="G545" s="49" t="s">
        <v>662</v>
      </c>
    </row>
    <row r="546" spans="1:7">
      <c r="A546">
        <v>202601</v>
      </c>
      <c r="B546" s="49" t="s">
        <v>590</v>
      </c>
      <c r="C546">
        <v>1250</v>
      </c>
      <c r="D546" s="49" t="s">
        <v>661</v>
      </c>
      <c r="E546" s="49" t="s">
        <v>586</v>
      </c>
      <c r="F546">
        <v>0.20300000000000001</v>
      </c>
      <c r="G546" s="49" t="s">
        <v>662</v>
      </c>
    </row>
    <row r="547" spans="1:7">
      <c r="A547">
        <v>202601</v>
      </c>
      <c r="B547" s="49" t="s">
        <v>591</v>
      </c>
      <c r="C547">
        <v>1250</v>
      </c>
      <c r="D547" s="49" t="s">
        <v>661</v>
      </c>
      <c r="E547" s="49" t="s">
        <v>586</v>
      </c>
      <c r="F547">
        <v>4.726</v>
      </c>
      <c r="G547" s="49" t="s">
        <v>662</v>
      </c>
    </row>
    <row r="548" spans="1:7">
      <c r="A548">
        <v>202601</v>
      </c>
      <c r="B548" s="49" t="s">
        <v>592</v>
      </c>
      <c r="C548">
        <v>1250</v>
      </c>
      <c r="D548" s="49" t="s">
        <v>661</v>
      </c>
      <c r="E548" s="49" t="s">
        <v>586</v>
      </c>
      <c r="F548">
        <v>2.8359999999999999</v>
      </c>
      <c r="G548" s="49" t="s">
        <v>662</v>
      </c>
    </row>
    <row r="549" spans="1:7">
      <c r="A549">
        <v>202601</v>
      </c>
      <c r="B549" s="49" t="s">
        <v>593</v>
      </c>
      <c r="C549">
        <v>1250</v>
      </c>
      <c r="D549" s="49" t="s">
        <v>661</v>
      </c>
      <c r="E549" s="49" t="s">
        <v>586</v>
      </c>
      <c r="F549">
        <v>1.2150000000000001</v>
      </c>
      <c r="G549" s="49" t="s">
        <v>662</v>
      </c>
    </row>
    <row r="550" spans="1:7">
      <c r="A550">
        <v>202601</v>
      </c>
      <c r="B550" s="49" t="s">
        <v>594</v>
      </c>
      <c r="C550">
        <v>1250</v>
      </c>
      <c r="D550" s="49" t="s">
        <v>661</v>
      </c>
      <c r="E550" s="49" t="s">
        <v>586</v>
      </c>
      <c r="F550">
        <v>0.94499999999999995</v>
      </c>
      <c r="G550" s="49" t="s">
        <v>662</v>
      </c>
    </row>
    <row r="551" spans="1:7">
      <c r="A551">
        <v>202601</v>
      </c>
      <c r="B551" s="49" t="s">
        <v>595</v>
      </c>
      <c r="C551">
        <v>1250</v>
      </c>
      <c r="D551" s="49" t="s">
        <v>661</v>
      </c>
      <c r="E551" s="49" t="s">
        <v>586</v>
      </c>
      <c r="F551">
        <v>1.2150000000000001</v>
      </c>
      <c r="G551" s="49" t="s">
        <v>662</v>
      </c>
    </row>
    <row r="552" spans="1:7">
      <c r="A552">
        <v>202602</v>
      </c>
      <c r="B552" s="49" t="s">
        <v>584</v>
      </c>
      <c r="C552">
        <v>1250</v>
      </c>
      <c r="D552" s="49" t="s">
        <v>661</v>
      </c>
      <c r="E552" s="49" t="s">
        <v>586</v>
      </c>
      <c r="F552">
        <v>0.84399999999999997</v>
      </c>
      <c r="G552" s="49" t="s">
        <v>663</v>
      </c>
    </row>
    <row r="553" spans="1:7">
      <c r="A553">
        <v>202602</v>
      </c>
      <c r="B553" s="49" t="s">
        <v>588</v>
      </c>
      <c r="C553">
        <v>1250</v>
      </c>
      <c r="D553" s="49" t="s">
        <v>661</v>
      </c>
      <c r="E553" s="49" t="s">
        <v>586</v>
      </c>
      <c r="F553">
        <v>0.67500000000000004</v>
      </c>
      <c r="G553" s="49" t="s">
        <v>663</v>
      </c>
    </row>
    <row r="554" spans="1:7">
      <c r="A554">
        <v>202602</v>
      </c>
      <c r="B554" s="49" t="s">
        <v>589</v>
      </c>
      <c r="C554">
        <v>1250</v>
      </c>
      <c r="D554" s="49" t="s">
        <v>661</v>
      </c>
      <c r="E554" s="49" t="s">
        <v>586</v>
      </c>
      <c r="F554">
        <v>0.84399999999999997</v>
      </c>
      <c r="G554" s="49" t="s">
        <v>663</v>
      </c>
    </row>
    <row r="555" spans="1:7">
      <c r="A555">
        <v>202602</v>
      </c>
      <c r="B555" s="49" t="s">
        <v>590</v>
      </c>
      <c r="C555">
        <v>1250</v>
      </c>
      <c r="D555" s="49" t="s">
        <v>661</v>
      </c>
      <c r="E555" s="49" t="s">
        <v>586</v>
      </c>
      <c r="F555">
        <v>0.20300000000000001</v>
      </c>
      <c r="G555" s="49" t="s">
        <v>663</v>
      </c>
    </row>
    <row r="556" spans="1:7">
      <c r="A556">
        <v>202602</v>
      </c>
      <c r="B556" s="49" t="s">
        <v>591</v>
      </c>
      <c r="C556">
        <v>1250</v>
      </c>
      <c r="D556" s="49" t="s">
        <v>661</v>
      </c>
      <c r="E556" s="49" t="s">
        <v>586</v>
      </c>
      <c r="F556">
        <v>4.726</v>
      </c>
      <c r="G556" s="49" t="s">
        <v>663</v>
      </c>
    </row>
    <row r="557" spans="1:7">
      <c r="A557">
        <v>202602</v>
      </c>
      <c r="B557" s="49" t="s">
        <v>592</v>
      </c>
      <c r="C557">
        <v>1250</v>
      </c>
      <c r="D557" s="49" t="s">
        <v>661</v>
      </c>
      <c r="E557" s="49" t="s">
        <v>586</v>
      </c>
      <c r="F557">
        <v>2.8359999999999999</v>
      </c>
      <c r="G557" s="49" t="s">
        <v>663</v>
      </c>
    </row>
    <row r="558" spans="1:7">
      <c r="A558">
        <v>202602</v>
      </c>
      <c r="B558" s="49" t="s">
        <v>593</v>
      </c>
      <c r="C558">
        <v>1250</v>
      </c>
      <c r="D558" s="49" t="s">
        <v>661</v>
      </c>
      <c r="E558" s="49" t="s">
        <v>586</v>
      </c>
      <c r="F558">
        <v>1.2150000000000001</v>
      </c>
      <c r="G558" s="49" t="s">
        <v>663</v>
      </c>
    </row>
    <row r="559" spans="1:7">
      <c r="A559">
        <v>202602</v>
      </c>
      <c r="B559" s="49" t="s">
        <v>594</v>
      </c>
      <c r="C559">
        <v>1250</v>
      </c>
      <c r="D559" s="49" t="s">
        <v>661</v>
      </c>
      <c r="E559" s="49" t="s">
        <v>586</v>
      </c>
      <c r="F559">
        <v>0.94499999999999995</v>
      </c>
      <c r="G559" s="49" t="s">
        <v>663</v>
      </c>
    </row>
    <row r="560" spans="1:7">
      <c r="A560">
        <v>202602</v>
      </c>
      <c r="B560" s="49" t="s">
        <v>595</v>
      </c>
      <c r="C560">
        <v>1250</v>
      </c>
      <c r="D560" s="49" t="s">
        <v>661</v>
      </c>
      <c r="E560" s="49" t="s">
        <v>586</v>
      </c>
      <c r="F560">
        <v>1.2150000000000001</v>
      </c>
      <c r="G560" s="49" t="s">
        <v>663</v>
      </c>
    </row>
    <row r="561" spans="1:7">
      <c r="A561">
        <v>202603</v>
      </c>
      <c r="B561" s="49" t="s">
        <v>584</v>
      </c>
      <c r="C561">
        <v>1250</v>
      </c>
      <c r="D561" s="49" t="s">
        <v>661</v>
      </c>
      <c r="E561" s="49" t="s">
        <v>586</v>
      </c>
      <c r="F561">
        <v>0.84399999999999997</v>
      </c>
      <c r="G561" s="49" t="s">
        <v>664</v>
      </c>
    </row>
    <row r="562" spans="1:7">
      <c r="A562">
        <v>202603</v>
      </c>
      <c r="B562" s="49" t="s">
        <v>588</v>
      </c>
      <c r="C562">
        <v>1250</v>
      </c>
      <c r="D562" s="49" t="s">
        <v>661</v>
      </c>
      <c r="E562" s="49" t="s">
        <v>586</v>
      </c>
      <c r="F562">
        <v>0.67500000000000004</v>
      </c>
      <c r="G562" s="49" t="s">
        <v>664</v>
      </c>
    </row>
    <row r="563" spans="1:7">
      <c r="A563">
        <v>202603</v>
      </c>
      <c r="B563" s="49" t="s">
        <v>589</v>
      </c>
      <c r="C563">
        <v>1250</v>
      </c>
      <c r="D563" s="49" t="s">
        <v>661</v>
      </c>
      <c r="E563" s="49" t="s">
        <v>586</v>
      </c>
      <c r="F563">
        <v>0.84399999999999997</v>
      </c>
      <c r="G563" s="49" t="s">
        <v>664</v>
      </c>
    </row>
    <row r="564" spans="1:7">
      <c r="A564">
        <v>202603</v>
      </c>
      <c r="B564" s="49" t="s">
        <v>590</v>
      </c>
      <c r="C564">
        <v>1250</v>
      </c>
      <c r="D564" s="49" t="s">
        <v>661</v>
      </c>
      <c r="E564" s="49" t="s">
        <v>586</v>
      </c>
      <c r="F564">
        <v>0.20300000000000001</v>
      </c>
      <c r="G564" s="49" t="s">
        <v>664</v>
      </c>
    </row>
    <row r="565" spans="1:7">
      <c r="A565">
        <v>202603</v>
      </c>
      <c r="B565" s="49" t="s">
        <v>591</v>
      </c>
      <c r="C565">
        <v>1250</v>
      </c>
      <c r="D565" s="49" t="s">
        <v>661</v>
      </c>
      <c r="E565" s="49" t="s">
        <v>586</v>
      </c>
      <c r="F565">
        <v>4.726</v>
      </c>
      <c r="G565" s="49" t="s">
        <v>664</v>
      </c>
    </row>
    <row r="566" spans="1:7">
      <c r="A566">
        <v>202603</v>
      </c>
      <c r="B566" s="49" t="s">
        <v>592</v>
      </c>
      <c r="C566">
        <v>1250</v>
      </c>
      <c r="D566" s="49" t="s">
        <v>661</v>
      </c>
      <c r="E566" s="49" t="s">
        <v>586</v>
      </c>
      <c r="F566">
        <v>2.8359999999999999</v>
      </c>
      <c r="G566" s="49" t="s">
        <v>664</v>
      </c>
    </row>
    <row r="567" spans="1:7">
      <c r="A567">
        <v>202603</v>
      </c>
      <c r="B567" s="49" t="s">
        <v>593</v>
      </c>
      <c r="C567">
        <v>1250</v>
      </c>
      <c r="D567" s="49" t="s">
        <v>661</v>
      </c>
      <c r="E567" s="49" t="s">
        <v>586</v>
      </c>
      <c r="F567">
        <v>1.2150000000000001</v>
      </c>
      <c r="G567" s="49" t="s">
        <v>664</v>
      </c>
    </row>
    <row r="568" spans="1:7">
      <c r="A568">
        <v>202603</v>
      </c>
      <c r="B568" s="49" t="s">
        <v>594</v>
      </c>
      <c r="C568">
        <v>1250</v>
      </c>
      <c r="D568" s="49" t="s">
        <v>661</v>
      </c>
      <c r="E568" s="49" t="s">
        <v>586</v>
      </c>
      <c r="F568">
        <v>0.94499999999999995</v>
      </c>
      <c r="G568" s="49" t="s">
        <v>664</v>
      </c>
    </row>
    <row r="569" spans="1:7">
      <c r="A569">
        <v>202603</v>
      </c>
      <c r="B569" s="49" t="s">
        <v>595</v>
      </c>
      <c r="C569">
        <v>1250</v>
      </c>
      <c r="D569" s="49" t="s">
        <v>661</v>
      </c>
      <c r="E569" s="49" t="s">
        <v>586</v>
      </c>
      <c r="F569">
        <v>1.2150000000000001</v>
      </c>
      <c r="G569" s="49" t="s">
        <v>664</v>
      </c>
    </row>
    <row r="570" spans="1:7">
      <c r="A570">
        <v>202604</v>
      </c>
      <c r="B570" s="49" t="s">
        <v>584</v>
      </c>
      <c r="C570">
        <v>1250</v>
      </c>
      <c r="D570" s="49" t="s">
        <v>661</v>
      </c>
      <c r="E570" s="49" t="s">
        <v>586</v>
      </c>
      <c r="F570">
        <v>0.84399999999999997</v>
      </c>
      <c r="G570" s="49" t="s">
        <v>665</v>
      </c>
    </row>
    <row r="571" spans="1:7">
      <c r="A571">
        <v>202604</v>
      </c>
      <c r="B571" s="49" t="s">
        <v>588</v>
      </c>
      <c r="C571">
        <v>1250</v>
      </c>
      <c r="D571" s="49" t="s">
        <v>661</v>
      </c>
      <c r="E571" s="49" t="s">
        <v>586</v>
      </c>
      <c r="F571">
        <v>0.67500000000000004</v>
      </c>
      <c r="G571" s="49" t="s">
        <v>665</v>
      </c>
    </row>
    <row r="572" spans="1:7">
      <c r="A572">
        <v>202604</v>
      </c>
      <c r="B572" s="49" t="s">
        <v>589</v>
      </c>
      <c r="C572">
        <v>1250</v>
      </c>
      <c r="D572" s="49" t="s">
        <v>661</v>
      </c>
      <c r="E572" s="49" t="s">
        <v>586</v>
      </c>
      <c r="F572">
        <v>0.84399999999999997</v>
      </c>
      <c r="G572" s="49" t="s">
        <v>665</v>
      </c>
    </row>
    <row r="573" spans="1:7">
      <c r="A573">
        <v>202604</v>
      </c>
      <c r="B573" s="49" t="s">
        <v>590</v>
      </c>
      <c r="C573">
        <v>1250</v>
      </c>
      <c r="D573" s="49" t="s">
        <v>661</v>
      </c>
      <c r="E573" s="49" t="s">
        <v>586</v>
      </c>
      <c r="F573">
        <v>0.20300000000000001</v>
      </c>
      <c r="G573" s="49" t="s">
        <v>665</v>
      </c>
    </row>
    <row r="574" spans="1:7">
      <c r="A574">
        <v>202604</v>
      </c>
      <c r="B574" s="49" t="s">
        <v>591</v>
      </c>
      <c r="C574">
        <v>1250</v>
      </c>
      <c r="D574" s="49" t="s">
        <v>661</v>
      </c>
      <c r="E574" s="49" t="s">
        <v>586</v>
      </c>
      <c r="F574">
        <v>4.726</v>
      </c>
      <c r="G574" s="49" t="s">
        <v>665</v>
      </c>
    </row>
    <row r="575" spans="1:7">
      <c r="A575">
        <v>202604</v>
      </c>
      <c r="B575" s="49" t="s">
        <v>592</v>
      </c>
      <c r="C575">
        <v>1250</v>
      </c>
      <c r="D575" s="49" t="s">
        <v>661</v>
      </c>
      <c r="E575" s="49" t="s">
        <v>586</v>
      </c>
      <c r="F575">
        <v>2.8359999999999999</v>
      </c>
      <c r="G575" s="49" t="s">
        <v>665</v>
      </c>
    </row>
    <row r="576" spans="1:7">
      <c r="A576">
        <v>202604</v>
      </c>
      <c r="B576" s="49" t="s">
        <v>593</v>
      </c>
      <c r="C576">
        <v>1250</v>
      </c>
      <c r="D576" s="49" t="s">
        <v>661</v>
      </c>
      <c r="E576" s="49" t="s">
        <v>586</v>
      </c>
      <c r="F576">
        <v>1.2150000000000001</v>
      </c>
      <c r="G576" s="49" t="s">
        <v>665</v>
      </c>
    </row>
    <row r="577" spans="1:7">
      <c r="A577">
        <v>202604</v>
      </c>
      <c r="B577" s="49" t="s">
        <v>594</v>
      </c>
      <c r="C577">
        <v>1250</v>
      </c>
      <c r="D577" s="49" t="s">
        <v>661</v>
      </c>
      <c r="E577" s="49" t="s">
        <v>586</v>
      </c>
      <c r="F577">
        <v>0.94499999999999995</v>
      </c>
      <c r="G577" s="49" t="s">
        <v>665</v>
      </c>
    </row>
    <row r="578" spans="1:7">
      <c r="A578">
        <v>202604</v>
      </c>
      <c r="B578" s="49" t="s">
        <v>595</v>
      </c>
      <c r="C578">
        <v>1250</v>
      </c>
      <c r="D578" s="49" t="s">
        <v>661</v>
      </c>
      <c r="E578" s="49" t="s">
        <v>586</v>
      </c>
      <c r="F578">
        <v>1.2150000000000001</v>
      </c>
      <c r="G578" s="49" t="s">
        <v>665</v>
      </c>
    </row>
    <row r="579" spans="1:7">
      <c r="A579">
        <v>202605</v>
      </c>
      <c r="B579" s="49" t="s">
        <v>584</v>
      </c>
      <c r="C579">
        <v>1250</v>
      </c>
      <c r="D579" s="49" t="s">
        <v>661</v>
      </c>
      <c r="E579" s="49" t="s">
        <v>586</v>
      </c>
      <c r="F579">
        <v>0.84399999999999997</v>
      </c>
      <c r="G579" s="49" t="s">
        <v>666</v>
      </c>
    </row>
    <row r="580" spans="1:7">
      <c r="A580">
        <v>202605</v>
      </c>
      <c r="B580" s="49" t="s">
        <v>588</v>
      </c>
      <c r="C580">
        <v>1250</v>
      </c>
      <c r="D580" s="49" t="s">
        <v>661</v>
      </c>
      <c r="E580" s="49" t="s">
        <v>586</v>
      </c>
      <c r="F580">
        <v>0.67500000000000004</v>
      </c>
      <c r="G580" s="49" t="s">
        <v>666</v>
      </c>
    </row>
    <row r="581" spans="1:7">
      <c r="A581">
        <v>202605</v>
      </c>
      <c r="B581" s="49" t="s">
        <v>589</v>
      </c>
      <c r="C581">
        <v>1250</v>
      </c>
      <c r="D581" s="49" t="s">
        <v>661</v>
      </c>
      <c r="E581" s="49" t="s">
        <v>586</v>
      </c>
      <c r="F581">
        <v>0.84399999999999997</v>
      </c>
      <c r="G581" s="49" t="s">
        <v>666</v>
      </c>
    </row>
    <row r="582" spans="1:7">
      <c r="A582">
        <v>202605</v>
      </c>
      <c r="B582" s="49" t="s">
        <v>590</v>
      </c>
      <c r="C582">
        <v>1250</v>
      </c>
      <c r="D582" s="49" t="s">
        <v>661</v>
      </c>
      <c r="E582" s="49" t="s">
        <v>586</v>
      </c>
      <c r="F582">
        <v>0.20300000000000001</v>
      </c>
      <c r="G582" s="49" t="s">
        <v>666</v>
      </c>
    </row>
    <row r="583" spans="1:7">
      <c r="A583">
        <v>202605</v>
      </c>
      <c r="B583" s="49" t="s">
        <v>591</v>
      </c>
      <c r="C583">
        <v>1250</v>
      </c>
      <c r="D583" s="49" t="s">
        <v>661</v>
      </c>
      <c r="E583" s="49" t="s">
        <v>586</v>
      </c>
      <c r="F583">
        <v>4.726</v>
      </c>
      <c r="G583" s="49" t="s">
        <v>666</v>
      </c>
    </row>
    <row r="584" spans="1:7">
      <c r="A584">
        <v>202605</v>
      </c>
      <c r="B584" s="49" t="s">
        <v>592</v>
      </c>
      <c r="C584">
        <v>1250</v>
      </c>
      <c r="D584" s="49" t="s">
        <v>661</v>
      </c>
      <c r="E584" s="49" t="s">
        <v>586</v>
      </c>
      <c r="F584">
        <v>2.8359999999999999</v>
      </c>
      <c r="G584" s="49" t="s">
        <v>666</v>
      </c>
    </row>
    <row r="585" spans="1:7">
      <c r="A585">
        <v>202605</v>
      </c>
      <c r="B585" s="49" t="s">
        <v>593</v>
      </c>
      <c r="C585">
        <v>1250</v>
      </c>
      <c r="D585" s="49" t="s">
        <v>661</v>
      </c>
      <c r="E585" s="49" t="s">
        <v>586</v>
      </c>
      <c r="F585">
        <v>1.2150000000000001</v>
      </c>
      <c r="G585" s="49" t="s">
        <v>666</v>
      </c>
    </row>
    <row r="586" spans="1:7">
      <c r="A586">
        <v>202605</v>
      </c>
      <c r="B586" s="49" t="s">
        <v>594</v>
      </c>
      <c r="C586">
        <v>1250</v>
      </c>
      <c r="D586" s="49" t="s">
        <v>661</v>
      </c>
      <c r="E586" s="49" t="s">
        <v>586</v>
      </c>
      <c r="F586">
        <v>0.94499999999999995</v>
      </c>
      <c r="G586" s="49" t="s">
        <v>666</v>
      </c>
    </row>
    <row r="587" spans="1:7">
      <c r="A587">
        <v>202605</v>
      </c>
      <c r="B587" s="49" t="s">
        <v>595</v>
      </c>
      <c r="C587">
        <v>1250</v>
      </c>
      <c r="D587" s="49" t="s">
        <v>661</v>
      </c>
      <c r="E587" s="49" t="s">
        <v>586</v>
      </c>
      <c r="F587">
        <v>1.2150000000000001</v>
      </c>
      <c r="G587" s="49" t="s">
        <v>666</v>
      </c>
    </row>
    <row r="588" spans="1:7">
      <c r="A588">
        <v>202606</v>
      </c>
      <c r="B588" s="49" t="s">
        <v>584</v>
      </c>
      <c r="C588">
        <v>1250</v>
      </c>
      <c r="D588" s="49" t="s">
        <v>661</v>
      </c>
      <c r="E588" s="49" t="s">
        <v>586</v>
      </c>
      <c r="F588">
        <v>0.97</v>
      </c>
      <c r="G588" s="49" t="s">
        <v>667</v>
      </c>
    </row>
    <row r="589" spans="1:7">
      <c r="A589">
        <v>202606</v>
      </c>
      <c r="B589" s="49" t="s">
        <v>588</v>
      </c>
      <c r="C589">
        <v>1250</v>
      </c>
      <c r="D589" s="49" t="s">
        <v>661</v>
      </c>
      <c r="E589" s="49" t="s">
        <v>586</v>
      </c>
      <c r="F589">
        <v>0.77600000000000002</v>
      </c>
      <c r="G589" s="49" t="s">
        <v>667</v>
      </c>
    </row>
    <row r="590" spans="1:7">
      <c r="A590">
        <v>202606</v>
      </c>
      <c r="B590" s="49" t="s">
        <v>589</v>
      </c>
      <c r="C590">
        <v>1250</v>
      </c>
      <c r="D590" s="49" t="s">
        <v>661</v>
      </c>
      <c r="E590" s="49" t="s">
        <v>586</v>
      </c>
      <c r="F590">
        <v>0.97</v>
      </c>
      <c r="G590" s="49" t="s">
        <v>667</v>
      </c>
    </row>
    <row r="591" spans="1:7">
      <c r="A591">
        <v>202606</v>
      </c>
      <c r="B591" s="49" t="s">
        <v>590</v>
      </c>
      <c r="C591">
        <v>1250</v>
      </c>
      <c r="D591" s="49" t="s">
        <v>661</v>
      </c>
      <c r="E591" s="49" t="s">
        <v>586</v>
      </c>
      <c r="F591">
        <v>0.23300000000000001</v>
      </c>
      <c r="G591" s="49" t="s">
        <v>667</v>
      </c>
    </row>
    <row r="592" spans="1:7">
      <c r="A592">
        <v>202606</v>
      </c>
      <c r="B592" s="49" t="s">
        <v>591</v>
      </c>
      <c r="C592">
        <v>1250</v>
      </c>
      <c r="D592" s="49" t="s">
        <v>661</v>
      </c>
      <c r="E592" s="49" t="s">
        <v>586</v>
      </c>
      <c r="F592">
        <v>5.4320000000000004</v>
      </c>
      <c r="G592" s="49" t="s">
        <v>667</v>
      </c>
    </row>
    <row r="593" spans="1:7">
      <c r="A593">
        <v>202606</v>
      </c>
      <c r="B593" s="49" t="s">
        <v>592</v>
      </c>
      <c r="C593">
        <v>1250</v>
      </c>
      <c r="D593" s="49" t="s">
        <v>661</v>
      </c>
      <c r="E593" s="49" t="s">
        <v>586</v>
      </c>
      <c r="F593">
        <v>3.2589999999999999</v>
      </c>
      <c r="G593" s="49" t="s">
        <v>667</v>
      </c>
    </row>
    <row r="594" spans="1:7">
      <c r="A594">
        <v>202606</v>
      </c>
      <c r="B594" s="49" t="s">
        <v>593</v>
      </c>
      <c r="C594">
        <v>1250</v>
      </c>
      <c r="D594" s="49" t="s">
        <v>661</v>
      </c>
      <c r="E594" s="49" t="s">
        <v>586</v>
      </c>
      <c r="F594">
        <v>1.397</v>
      </c>
      <c r="G594" s="49" t="s">
        <v>667</v>
      </c>
    </row>
    <row r="595" spans="1:7">
      <c r="A595">
        <v>202606</v>
      </c>
      <c r="B595" s="49" t="s">
        <v>594</v>
      </c>
      <c r="C595">
        <v>1250</v>
      </c>
      <c r="D595" s="49" t="s">
        <v>661</v>
      </c>
      <c r="E595" s="49" t="s">
        <v>586</v>
      </c>
      <c r="F595">
        <v>1.0860000000000001</v>
      </c>
      <c r="G595" s="49" t="s">
        <v>667</v>
      </c>
    </row>
    <row r="596" spans="1:7">
      <c r="A596">
        <v>202606</v>
      </c>
      <c r="B596" s="49" t="s">
        <v>595</v>
      </c>
      <c r="C596">
        <v>1250</v>
      </c>
      <c r="D596" s="49" t="s">
        <v>661</v>
      </c>
      <c r="E596" s="49" t="s">
        <v>586</v>
      </c>
      <c r="F596">
        <v>1.397</v>
      </c>
      <c r="G596" s="49" t="s">
        <v>667</v>
      </c>
    </row>
    <row r="597" spans="1:7">
      <c r="A597">
        <v>202607</v>
      </c>
      <c r="B597" s="49" t="s">
        <v>584</v>
      </c>
      <c r="C597">
        <v>1250</v>
      </c>
      <c r="D597" s="49" t="s">
        <v>661</v>
      </c>
      <c r="E597" s="49" t="s">
        <v>586</v>
      </c>
      <c r="F597">
        <v>0.59</v>
      </c>
      <c r="G597" s="49" t="s">
        <v>668</v>
      </c>
    </row>
    <row r="598" spans="1:7">
      <c r="A598">
        <v>202607</v>
      </c>
      <c r="B598" s="49" t="s">
        <v>588</v>
      </c>
      <c r="C598">
        <v>1250</v>
      </c>
      <c r="D598" s="49" t="s">
        <v>661</v>
      </c>
      <c r="E598" s="49" t="s">
        <v>586</v>
      </c>
      <c r="F598">
        <v>0.47199999999999998</v>
      </c>
      <c r="G598" s="49" t="s">
        <v>668</v>
      </c>
    </row>
    <row r="599" spans="1:7">
      <c r="A599">
        <v>202607</v>
      </c>
      <c r="B599" s="49" t="s">
        <v>589</v>
      </c>
      <c r="C599">
        <v>1250</v>
      </c>
      <c r="D599" s="49" t="s">
        <v>661</v>
      </c>
      <c r="E599" s="49" t="s">
        <v>586</v>
      </c>
      <c r="F599">
        <v>0.59</v>
      </c>
      <c r="G599" s="49" t="s">
        <v>668</v>
      </c>
    </row>
    <row r="600" spans="1:7">
      <c r="A600">
        <v>202607</v>
      </c>
      <c r="B600" s="49" t="s">
        <v>590</v>
      </c>
      <c r="C600">
        <v>1250</v>
      </c>
      <c r="D600" s="49" t="s">
        <v>661</v>
      </c>
      <c r="E600" s="49" t="s">
        <v>586</v>
      </c>
      <c r="F600">
        <v>0.14199999999999999</v>
      </c>
      <c r="G600" s="49" t="s">
        <v>668</v>
      </c>
    </row>
    <row r="601" spans="1:7">
      <c r="A601">
        <v>202607</v>
      </c>
      <c r="B601" s="49" t="s">
        <v>591</v>
      </c>
      <c r="C601">
        <v>1250</v>
      </c>
      <c r="D601" s="49" t="s">
        <v>661</v>
      </c>
      <c r="E601" s="49" t="s">
        <v>586</v>
      </c>
      <c r="F601">
        <v>3.3039999999999998</v>
      </c>
      <c r="G601" s="49" t="s">
        <v>668</v>
      </c>
    </row>
    <row r="602" spans="1:7">
      <c r="A602">
        <v>202607</v>
      </c>
      <c r="B602" s="49" t="s">
        <v>592</v>
      </c>
      <c r="C602">
        <v>1250</v>
      </c>
      <c r="D602" s="49" t="s">
        <v>661</v>
      </c>
      <c r="E602" s="49" t="s">
        <v>586</v>
      </c>
      <c r="F602">
        <v>1.982</v>
      </c>
      <c r="G602" s="49" t="s">
        <v>668</v>
      </c>
    </row>
    <row r="603" spans="1:7">
      <c r="A603">
        <v>202607</v>
      </c>
      <c r="B603" s="49" t="s">
        <v>593</v>
      </c>
      <c r="C603">
        <v>1250</v>
      </c>
      <c r="D603" s="49" t="s">
        <v>661</v>
      </c>
      <c r="E603" s="49" t="s">
        <v>586</v>
      </c>
      <c r="F603">
        <v>0.85</v>
      </c>
      <c r="G603" s="49" t="s">
        <v>668</v>
      </c>
    </row>
    <row r="604" spans="1:7">
      <c r="A604">
        <v>202607</v>
      </c>
      <c r="B604" s="49" t="s">
        <v>594</v>
      </c>
      <c r="C604">
        <v>1250</v>
      </c>
      <c r="D604" s="49" t="s">
        <v>661</v>
      </c>
      <c r="E604" s="49" t="s">
        <v>586</v>
      </c>
      <c r="F604">
        <v>0.66100000000000003</v>
      </c>
      <c r="G604" s="49" t="s">
        <v>668</v>
      </c>
    </row>
    <row r="605" spans="1:7">
      <c r="A605">
        <v>202607</v>
      </c>
      <c r="B605" s="49" t="s">
        <v>595</v>
      </c>
      <c r="C605">
        <v>1250</v>
      </c>
      <c r="D605" s="49" t="s">
        <v>661</v>
      </c>
      <c r="E605" s="49" t="s">
        <v>586</v>
      </c>
      <c r="F605">
        <v>0.85</v>
      </c>
      <c r="G605" s="49" t="s">
        <v>668</v>
      </c>
    </row>
    <row r="606" spans="1:7">
      <c r="A606">
        <v>202608</v>
      </c>
      <c r="B606" s="49" t="s">
        <v>584</v>
      </c>
      <c r="C606">
        <v>1250</v>
      </c>
      <c r="D606" s="49" t="s">
        <v>661</v>
      </c>
      <c r="E606" s="49" t="s">
        <v>586</v>
      </c>
      <c r="F606">
        <v>0.84399999999999997</v>
      </c>
      <c r="G606" s="49" t="s">
        <v>669</v>
      </c>
    </row>
    <row r="607" spans="1:7">
      <c r="A607">
        <v>202608</v>
      </c>
      <c r="B607" s="49" t="s">
        <v>588</v>
      </c>
      <c r="C607">
        <v>1250</v>
      </c>
      <c r="D607" s="49" t="s">
        <v>661</v>
      </c>
      <c r="E607" s="49" t="s">
        <v>586</v>
      </c>
      <c r="F607">
        <v>0.67500000000000004</v>
      </c>
      <c r="G607" s="49" t="s">
        <v>669</v>
      </c>
    </row>
    <row r="608" spans="1:7">
      <c r="A608">
        <v>202608</v>
      </c>
      <c r="B608" s="49" t="s">
        <v>589</v>
      </c>
      <c r="C608">
        <v>1250</v>
      </c>
      <c r="D608" s="49" t="s">
        <v>661</v>
      </c>
      <c r="E608" s="49" t="s">
        <v>586</v>
      </c>
      <c r="F608">
        <v>0.84399999999999997</v>
      </c>
      <c r="G608" s="49" t="s">
        <v>669</v>
      </c>
    </row>
    <row r="609" spans="1:7">
      <c r="A609">
        <v>202608</v>
      </c>
      <c r="B609" s="49" t="s">
        <v>590</v>
      </c>
      <c r="C609">
        <v>1250</v>
      </c>
      <c r="D609" s="49" t="s">
        <v>661</v>
      </c>
      <c r="E609" s="49" t="s">
        <v>586</v>
      </c>
      <c r="F609">
        <v>0.20300000000000001</v>
      </c>
      <c r="G609" s="49" t="s">
        <v>669</v>
      </c>
    </row>
    <row r="610" spans="1:7">
      <c r="A610">
        <v>202608</v>
      </c>
      <c r="B610" s="49" t="s">
        <v>591</v>
      </c>
      <c r="C610">
        <v>1250</v>
      </c>
      <c r="D610" s="49" t="s">
        <v>661</v>
      </c>
      <c r="E610" s="49" t="s">
        <v>586</v>
      </c>
      <c r="F610">
        <v>4.726</v>
      </c>
      <c r="G610" s="49" t="s">
        <v>669</v>
      </c>
    </row>
    <row r="611" spans="1:7">
      <c r="A611">
        <v>202608</v>
      </c>
      <c r="B611" s="49" t="s">
        <v>592</v>
      </c>
      <c r="C611">
        <v>1250</v>
      </c>
      <c r="D611" s="49" t="s">
        <v>661</v>
      </c>
      <c r="E611" s="49" t="s">
        <v>586</v>
      </c>
      <c r="F611">
        <v>2.8359999999999999</v>
      </c>
      <c r="G611" s="49" t="s">
        <v>669</v>
      </c>
    </row>
    <row r="612" spans="1:7">
      <c r="A612">
        <v>202608</v>
      </c>
      <c r="B612" s="49" t="s">
        <v>593</v>
      </c>
      <c r="C612">
        <v>1250</v>
      </c>
      <c r="D612" s="49" t="s">
        <v>661</v>
      </c>
      <c r="E612" s="49" t="s">
        <v>586</v>
      </c>
      <c r="F612">
        <v>1.2150000000000001</v>
      </c>
      <c r="G612" s="49" t="s">
        <v>669</v>
      </c>
    </row>
    <row r="613" spans="1:7">
      <c r="A613">
        <v>202608</v>
      </c>
      <c r="B613" s="49" t="s">
        <v>594</v>
      </c>
      <c r="C613">
        <v>1250</v>
      </c>
      <c r="D613" s="49" t="s">
        <v>661</v>
      </c>
      <c r="E613" s="49" t="s">
        <v>586</v>
      </c>
      <c r="F613">
        <v>0.94499999999999995</v>
      </c>
      <c r="G613" s="49" t="s">
        <v>669</v>
      </c>
    </row>
    <row r="614" spans="1:7">
      <c r="A614">
        <v>202608</v>
      </c>
      <c r="B614" s="49" t="s">
        <v>595</v>
      </c>
      <c r="C614">
        <v>1250</v>
      </c>
      <c r="D614" s="49" t="s">
        <v>661</v>
      </c>
      <c r="E614" s="49" t="s">
        <v>586</v>
      </c>
      <c r="F614">
        <v>1.2150000000000001</v>
      </c>
      <c r="G614" s="49" t="s">
        <v>669</v>
      </c>
    </row>
    <row r="615" spans="1:7">
      <c r="A615">
        <v>202609</v>
      </c>
      <c r="B615" s="49" t="s">
        <v>584</v>
      </c>
      <c r="C615">
        <v>1250</v>
      </c>
      <c r="D615" s="49" t="s">
        <v>661</v>
      </c>
      <c r="E615" s="49" t="s">
        <v>586</v>
      </c>
      <c r="F615">
        <v>0.84399999999999997</v>
      </c>
      <c r="G615" s="49" t="s">
        <v>670</v>
      </c>
    </row>
    <row r="616" spans="1:7">
      <c r="A616">
        <v>202609</v>
      </c>
      <c r="B616" s="49" t="s">
        <v>588</v>
      </c>
      <c r="C616">
        <v>1250</v>
      </c>
      <c r="D616" s="49" t="s">
        <v>661</v>
      </c>
      <c r="E616" s="49" t="s">
        <v>586</v>
      </c>
      <c r="F616">
        <v>0.67500000000000004</v>
      </c>
      <c r="G616" s="49" t="s">
        <v>670</v>
      </c>
    </row>
    <row r="617" spans="1:7">
      <c r="A617">
        <v>202609</v>
      </c>
      <c r="B617" s="49" t="s">
        <v>589</v>
      </c>
      <c r="C617">
        <v>1250</v>
      </c>
      <c r="D617" s="49" t="s">
        <v>661</v>
      </c>
      <c r="E617" s="49" t="s">
        <v>586</v>
      </c>
      <c r="F617">
        <v>0.84399999999999997</v>
      </c>
      <c r="G617" s="49" t="s">
        <v>670</v>
      </c>
    </row>
    <row r="618" spans="1:7">
      <c r="A618">
        <v>202609</v>
      </c>
      <c r="B618" s="49" t="s">
        <v>590</v>
      </c>
      <c r="C618">
        <v>1250</v>
      </c>
      <c r="D618" s="49" t="s">
        <v>661</v>
      </c>
      <c r="E618" s="49" t="s">
        <v>586</v>
      </c>
      <c r="F618">
        <v>0.20300000000000001</v>
      </c>
      <c r="G618" s="49" t="s">
        <v>670</v>
      </c>
    </row>
    <row r="619" spans="1:7">
      <c r="A619">
        <v>202609</v>
      </c>
      <c r="B619" s="49" t="s">
        <v>591</v>
      </c>
      <c r="C619">
        <v>1250</v>
      </c>
      <c r="D619" s="49" t="s">
        <v>661</v>
      </c>
      <c r="E619" s="49" t="s">
        <v>586</v>
      </c>
      <c r="F619">
        <v>4.726</v>
      </c>
      <c r="G619" s="49" t="s">
        <v>670</v>
      </c>
    </row>
    <row r="620" spans="1:7">
      <c r="A620">
        <v>202609</v>
      </c>
      <c r="B620" s="49" t="s">
        <v>592</v>
      </c>
      <c r="C620">
        <v>1250</v>
      </c>
      <c r="D620" s="49" t="s">
        <v>661</v>
      </c>
      <c r="E620" s="49" t="s">
        <v>586</v>
      </c>
      <c r="F620">
        <v>2.8359999999999999</v>
      </c>
      <c r="G620" s="49" t="s">
        <v>670</v>
      </c>
    </row>
    <row r="621" spans="1:7">
      <c r="A621">
        <v>202609</v>
      </c>
      <c r="B621" s="49" t="s">
        <v>593</v>
      </c>
      <c r="C621">
        <v>1250</v>
      </c>
      <c r="D621" s="49" t="s">
        <v>661</v>
      </c>
      <c r="E621" s="49" t="s">
        <v>586</v>
      </c>
      <c r="F621">
        <v>1.2150000000000001</v>
      </c>
      <c r="G621" s="49" t="s">
        <v>670</v>
      </c>
    </row>
    <row r="622" spans="1:7">
      <c r="A622">
        <v>202609</v>
      </c>
      <c r="B622" s="49" t="s">
        <v>594</v>
      </c>
      <c r="C622">
        <v>1250</v>
      </c>
      <c r="D622" s="49" t="s">
        <v>661</v>
      </c>
      <c r="E622" s="49" t="s">
        <v>586</v>
      </c>
      <c r="F622">
        <v>0.94499999999999995</v>
      </c>
      <c r="G622" s="49" t="s">
        <v>670</v>
      </c>
    </row>
    <row r="623" spans="1:7">
      <c r="A623">
        <v>202609</v>
      </c>
      <c r="B623" s="49" t="s">
        <v>595</v>
      </c>
      <c r="C623">
        <v>1250</v>
      </c>
      <c r="D623" s="49" t="s">
        <v>661</v>
      </c>
      <c r="E623" s="49" t="s">
        <v>586</v>
      </c>
      <c r="F623">
        <v>1.2150000000000001</v>
      </c>
      <c r="G623" s="49" t="s">
        <v>670</v>
      </c>
    </row>
    <row r="624" spans="1:7">
      <c r="A624">
        <v>202610</v>
      </c>
      <c r="B624" s="49" t="s">
        <v>584</v>
      </c>
      <c r="C624">
        <v>1250</v>
      </c>
      <c r="D624" s="49" t="s">
        <v>661</v>
      </c>
      <c r="E624" s="49" t="s">
        <v>604</v>
      </c>
      <c r="F624">
        <v>0.84399999999999997</v>
      </c>
      <c r="G624" s="49" t="s">
        <v>671</v>
      </c>
    </row>
    <row r="625" spans="1:7">
      <c r="A625">
        <v>202610</v>
      </c>
      <c r="B625" s="49" t="s">
        <v>588</v>
      </c>
      <c r="C625">
        <v>1250</v>
      </c>
      <c r="D625" s="49" t="s">
        <v>661</v>
      </c>
      <c r="E625" s="49" t="s">
        <v>604</v>
      </c>
      <c r="F625">
        <v>0.67500000000000004</v>
      </c>
      <c r="G625" s="49" t="s">
        <v>671</v>
      </c>
    </row>
    <row r="626" spans="1:7">
      <c r="A626">
        <v>202610</v>
      </c>
      <c r="B626" s="49" t="s">
        <v>589</v>
      </c>
      <c r="C626">
        <v>1250</v>
      </c>
      <c r="D626" s="49" t="s">
        <v>661</v>
      </c>
      <c r="E626" s="49" t="s">
        <v>604</v>
      </c>
      <c r="F626">
        <v>0.84399999999999997</v>
      </c>
      <c r="G626" s="49" t="s">
        <v>671</v>
      </c>
    </row>
    <row r="627" spans="1:7">
      <c r="A627">
        <v>202610</v>
      </c>
      <c r="B627" s="49" t="s">
        <v>590</v>
      </c>
      <c r="C627">
        <v>1250</v>
      </c>
      <c r="D627" s="49" t="s">
        <v>661</v>
      </c>
      <c r="E627" s="49" t="s">
        <v>604</v>
      </c>
      <c r="F627">
        <v>0.20300000000000001</v>
      </c>
      <c r="G627" s="49" t="s">
        <v>671</v>
      </c>
    </row>
    <row r="628" spans="1:7">
      <c r="A628">
        <v>202610</v>
      </c>
      <c r="B628" s="49" t="s">
        <v>591</v>
      </c>
      <c r="C628">
        <v>1250</v>
      </c>
      <c r="D628" s="49" t="s">
        <v>661</v>
      </c>
      <c r="E628" s="49" t="s">
        <v>604</v>
      </c>
      <c r="F628">
        <v>4.726</v>
      </c>
      <c r="G628" s="49" t="s">
        <v>671</v>
      </c>
    </row>
    <row r="629" spans="1:7">
      <c r="A629">
        <v>202610</v>
      </c>
      <c r="B629" s="49" t="s">
        <v>592</v>
      </c>
      <c r="C629">
        <v>1250</v>
      </c>
      <c r="D629" s="49" t="s">
        <v>661</v>
      </c>
      <c r="E629" s="49" t="s">
        <v>604</v>
      </c>
      <c r="F629">
        <v>2.8359999999999999</v>
      </c>
      <c r="G629" s="49" t="s">
        <v>671</v>
      </c>
    </row>
    <row r="630" spans="1:7">
      <c r="A630">
        <v>202610</v>
      </c>
      <c r="B630" s="49" t="s">
        <v>593</v>
      </c>
      <c r="C630">
        <v>1250</v>
      </c>
      <c r="D630" s="49" t="s">
        <v>661</v>
      </c>
      <c r="E630" s="49" t="s">
        <v>604</v>
      </c>
      <c r="F630">
        <v>1.2150000000000001</v>
      </c>
      <c r="G630" s="49" t="s">
        <v>671</v>
      </c>
    </row>
    <row r="631" spans="1:7">
      <c r="A631">
        <v>202610</v>
      </c>
      <c r="B631" s="49" t="s">
        <v>594</v>
      </c>
      <c r="C631">
        <v>1250</v>
      </c>
      <c r="D631" s="49" t="s">
        <v>661</v>
      </c>
      <c r="E631" s="49" t="s">
        <v>604</v>
      </c>
      <c r="F631">
        <v>0.94499999999999995</v>
      </c>
      <c r="G631" s="49" t="s">
        <v>671</v>
      </c>
    </row>
    <row r="632" spans="1:7">
      <c r="A632">
        <v>202610</v>
      </c>
      <c r="B632" s="49" t="s">
        <v>595</v>
      </c>
      <c r="C632">
        <v>1250</v>
      </c>
      <c r="D632" s="49" t="s">
        <v>661</v>
      </c>
      <c r="E632" s="49" t="s">
        <v>604</v>
      </c>
      <c r="F632">
        <v>1.2150000000000001</v>
      </c>
      <c r="G632" s="49" t="s">
        <v>671</v>
      </c>
    </row>
    <row r="633" spans="1:7">
      <c r="A633">
        <v>202611</v>
      </c>
      <c r="B633" s="49" t="s">
        <v>584</v>
      </c>
      <c r="C633">
        <v>1250</v>
      </c>
      <c r="D633" s="49" t="s">
        <v>661</v>
      </c>
      <c r="E633" s="49" t="s">
        <v>604</v>
      </c>
      <c r="F633">
        <v>0.84399999999999997</v>
      </c>
      <c r="G633" s="49" t="s">
        <v>672</v>
      </c>
    </row>
    <row r="634" spans="1:7">
      <c r="A634">
        <v>202611</v>
      </c>
      <c r="B634" s="49" t="s">
        <v>588</v>
      </c>
      <c r="C634">
        <v>1250</v>
      </c>
      <c r="D634" s="49" t="s">
        <v>661</v>
      </c>
      <c r="E634" s="49" t="s">
        <v>604</v>
      </c>
      <c r="F634">
        <v>0.67500000000000004</v>
      </c>
      <c r="G634" s="49" t="s">
        <v>672</v>
      </c>
    </row>
    <row r="635" spans="1:7">
      <c r="A635">
        <v>202611</v>
      </c>
      <c r="B635" s="49" t="s">
        <v>589</v>
      </c>
      <c r="C635">
        <v>1250</v>
      </c>
      <c r="D635" s="49" t="s">
        <v>661</v>
      </c>
      <c r="E635" s="49" t="s">
        <v>604</v>
      </c>
      <c r="F635">
        <v>0.84399999999999997</v>
      </c>
      <c r="G635" s="49" t="s">
        <v>672</v>
      </c>
    </row>
    <row r="636" spans="1:7">
      <c r="A636">
        <v>202611</v>
      </c>
      <c r="B636" s="49" t="s">
        <v>590</v>
      </c>
      <c r="C636">
        <v>1250</v>
      </c>
      <c r="D636" s="49" t="s">
        <v>661</v>
      </c>
      <c r="E636" s="49" t="s">
        <v>604</v>
      </c>
      <c r="F636">
        <v>0.20300000000000001</v>
      </c>
      <c r="G636" s="49" t="s">
        <v>672</v>
      </c>
    </row>
    <row r="637" spans="1:7">
      <c r="A637">
        <v>202611</v>
      </c>
      <c r="B637" s="49" t="s">
        <v>591</v>
      </c>
      <c r="C637">
        <v>1250</v>
      </c>
      <c r="D637" s="49" t="s">
        <v>661</v>
      </c>
      <c r="E637" s="49" t="s">
        <v>604</v>
      </c>
      <c r="F637">
        <v>4.726</v>
      </c>
      <c r="G637" s="49" t="s">
        <v>672</v>
      </c>
    </row>
    <row r="638" spans="1:7">
      <c r="A638">
        <v>202611</v>
      </c>
      <c r="B638" s="49" t="s">
        <v>592</v>
      </c>
      <c r="C638">
        <v>1250</v>
      </c>
      <c r="D638" s="49" t="s">
        <v>661</v>
      </c>
      <c r="E638" s="49" t="s">
        <v>604</v>
      </c>
      <c r="F638">
        <v>2.8359999999999999</v>
      </c>
      <c r="G638" s="49" t="s">
        <v>672</v>
      </c>
    </row>
    <row r="639" spans="1:7">
      <c r="A639">
        <v>202611</v>
      </c>
      <c r="B639" s="49" t="s">
        <v>593</v>
      </c>
      <c r="C639">
        <v>1250</v>
      </c>
      <c r="D639" s="49" t="s">
        <v>661</v>
      </c>
      <c r="E639" s="49" t="s">
        <v>604</v>
      </c>
      <c r="F639">
        <v>1.2150000000000001</v>
      </c>
      <c r="G639" s="49" t="s">
        <v>672</v>
      </c>
    </row>
    <row r="640" spans="1:7">
      <c r="A640">
        <v>202611</v>
      </c>
      <c r="B640" s="49" t="s">
        <v>594</v>
      </c>
      <c r="C640">
        <v>1250</v>
      </c>
      <c r="D640" s="49" t="s">
        <v>661</v>
      </c>
      <c r="E640" s="49" t="s">
        <v>604</v>
      </c>
      <c r="F640">
        <v>0.94499999999999995</v>
      </c>
      <c r="G640" s="49" t="s">
        <v>672</v>
      </c>
    </row>
    <row r="641" spans="1:7">
      <c r="A641">
        <v>202611</v>
      </c>
      <c r="B641" s="49" t="s">
        <v>595</v>
      </c>
      <c r="C641">
        <v>1250</v>
      </c>
      <c r="D641" s="49" t="s">
        <v>661</v>
      </c>
      <c r="E641" s="49" t="s">
        <v>604</v>
      </c>
      <c r="F641">
        <v>1.2150000000000001</v>
      </c>
      <c r="G641" s="49" t="s">
        <v>672</v>
      </c>
    </row>
    <row r="642" spans="1:7">
      <c r="A642">
        <v>202612</v>
      </c>
      <c r="B642" s="49" t="s">
        <v>584</v>
      </c>
      <c r="C642">
        <v>1250</v>
      </c>
      <c r="D642" s="49" t="s">
        <v>661</v>
      </c>
      <c r="E642" s="49" t="s">
        <v>604</v>
      </c>
      <c r="F642">
        <v>0.84399999999999997</v>
      </c>
      <c r="G642" s="49" t="s">
        <v>673</v>
      </c>
    </row>
    <row r="643" spans="1:7">
      <c r="A643">
        <v>202612</v>
      </c>
      <c r="B643" s="49" t="s">
        <v>588</v>
      </c>
      <c r="C643">
        <v>1250</v>
      </c>
      <c r="D643" s="49" t="s">
        <v>661</v>
      </c>
      <c r="E643" s="49" t="s">
        <v>604</v>
      </c>
      <c r="F643">
        <v>0.67500000000000004</v>
      </c>
      <c r="G643" s="49" t="s">
        <v>673</v>
      </c>
    </row>
    <row r="644" spans="1:7">
      <c r="A644">
        <v>202612</v>
      </c>
      <c r="B644" s="49" t="s">
        <v>589</v>
      </c>
      <c r="C644">
        <v>1250</v>
      </c>
      <c r="D644" s="49" t="s">
        <v>661</v>
      </c>
      <c r="E644" s="49" t="s">
        <v>604</v>
      </c>
      <c r="F644">
        <v>0.84399999999999997</v>
      </c>
      <c r="G644" s="49" t="s">
        <v>673</v>
      </c>
    </row>
    <row r="645" spans="1:7">
      <c r="A645">
        <v>202612</v>
      </c>
      <c r="B645" s="49" t="s">
        <v>590</v>
      </c>
      <c r="C645">
        <v>1250</v>
      </c>
      <c r="D645" s="49" t="s">
        <v>661</v>
      </c>
      <c r="E645" s="49" t="s">
        <v>604</v>
      </c>
      <c r="F645">
        <v>0.20300000000000001</v>
      </c>
      <c r="G645" s="49" t="s">
        <v>673</v>
      </c>
    </row>
    <row r="646" spans="1:7">
      <c r="A646">
        <v>202612</v>
      </c>
      <c r="B646" s="49" t="s">
        <v>591</v>
      </c>
      <c r="C646">
        <v>1250</v>
      </c>
      <c r="D646" s="49" t="s">
        <v>661</v>
      </c>
      <c r="E646" s="49" t="s">
        <v>604</v>
      </c>
      <c r="F646">
        <v>4.726</v>
      </c>
      <c r="G646" s="49" t="s">
        <v>673</v>
      </c>
    </row>
    <row r="647" spans="1:7">
      <c r="A647">
        <v>202612</v>
      </c>
      <c r="B647" s="49" t="s">
        <v>592</v>
      </c>
      <c r="C647">
        <v>1250</v>
      </c>
      <c r="D647" s="49" t="s">
        <v>661</v>
      </c>
      <c r="E647" s="49" t="s">
        <v>604</v>
      </c>
      <c r="F647">
        <v>2.8359999999999999</v>
      </c>
      <c r="G647" s="49" t="s">
        <v>673</v>
      </c>
    </row>
    <row r="648" spans="1:7">
      <c r="A648">
        <v>202612</v>
      </c>
      <c r="B648" s="49" t="s">
        <v>593</v>
      </c>
      <c r="C648">
        <v>1250</v>
      </c>
      <c r="D648" s="49" t="s">
        <v>661</v>
      </c>
      <c r="E648" s="49" t="s">
        <v>604</v>
      </c>
      <c r="F648">
        <v>1.2150000000000001</v>
      </c>
      <c r="G648" s="49" t="s">
        <v>673</v>
      </c>
    </row>
    <row r="649" spans="1:7">
      <c r="A649">
        <v>202612</v>
      </c>
      <c r="B649" s="49" t="s">
        <v>594</v>
      </c>
      <c r="C649">
        <v>1250</v>
      </c>
      <c r="D649" s="49" t="s">
        <v>661</v>
      </c>
      <c r="E649" s="49" t="s">
        <v>604</v>
      </c>
      <c r="F649">
        <v>0.94499999999999995</v>
      </c>
      <c r="G649" s="49" t="s">
        <v>673</v>
      </c>
    </row>
    <row r="650" spans="1:7">
      <c r="A650">
        <v>202612</v>
      </c>
      <c r="B650" s="49" t="s">
        <v>595</v>
      </c>
      <c r="C650">
        <v>1250</v>
      </c>
      <c r="D650" s="49" t="s">
        <v>661</v>
      </c>
      <c r="E650" s="49" t="s">
        <v>604</v>
      </c>
      <c r="F650">
        <v>1.2150000000000001</v>
      </c>
      <c r="G650" s="49" t="s">
        <v>673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DD681F8-A866-4539-A3F3-2C56E70B02AB}">
  <ds:schemaRefs/>
</ds:datastoreItem>
</file>

<file path=customXml/itemProps2.xml><?xml version="1.0" encoding="utf-8"?>
<ds:datastoreItem xmlns:ds="http://schemas.openxmlformats.org/officeDocument/2006/customXml" ds:itemID="{CE9CA522-FEEC-4A3A-A8C3-81BDEE631EE6}">
  <ds:schemaRefs/>
</ds:datastoreItem>
</file>

<file path=customXml/itemProps3.xml><?xml version="1.0" encoding="utf-8"?>
<ds:datastoreItem xmlns:ds="http://schemas.openxmlformats.org/officeDocument/2006/customXml" ds:itemID="{B6054DD2-C1CE-460A-B6E5-16D912D5D6DB}">
  <ds:schemaRefs/>
</ds:datastoreItem>
</file>

<file path=customXml/itemProps4.xml><?xml version="1.0" encoding="utf-8"?>
<ds:datastoreItem xmlns:ds="http://schemas.openxmlformats.org/officeDocument/2006/customXml" ds:itemID="{343DDB04-F63F-4B5D-A259-E9B15BACCEF7}">
  <ds:schemaRefs/>
</ds:datastoreItem>
</file>

<file path=customXml/itemProps5.xml><?xml version="1.0" encoding="utf-8"?>
<ds:datastoreItem xmlns:ds="http://schemas.openxmlformats.org/officeDocument/2006/customXml" ds:itemID="{DDF185BC-8983-46F2-AB76-0383B0287E7E}">
  <ds:schemaRefs/>
</ds:datastoreItem>
</file>

<file path=customXml/itemProps6.xml><?xml version="1.0" encoding="utf-8"?>
<ds:datastoreItem xmlns:ds="http://schemas.openxmlformats.org/officeDocument/2006/customXml" ds:itemID="{73AFB963-8172-4CC2-AFBF-6A9AD8D624E3}">
  <ds:schemaRefs/>
</ds:datastoreItem>
</file>

<file path=customXml/itemProps7.xml><?xml version="1.0" encoding="utf-8"?>
<ds:datastoreItem xmlns:ds="http://schemas.openxmlformats.org/officeDocument/2006/customXml" ds:itemID="{65E10218-DB30-4642-B65E-5A9BAE567A19}">
  <ds:schemaRefs/>
</ds:datastoreItem>
</file>

<file path=customXml/itemProps8.xml><?xml version="1.0" encoding="utf-8"?>
<ds:datastoreItem xmlns:ds="http://schemas.openxmlformats.org/officeDocument/2006/customXml" ds:itemID="{C40D9CE4-157F-4B96-B859-060EEC1EDB17}">
  <ds:schemaRefs/>
</ds:datastoreItem>
</file>

<file path=customXml/itemProps9.xml><?xml version="1.0" encoding="utf-8"?>
<ds:datastoreItem xmlns:ds="http://schemas.openxmlformats.org/officeDocument/2006/customXml" ds:itemID="{20D66C43-8AB6-460A-B113-6C47B7A5E3D7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B9353EC4-E9D3-4BDE-821D-4FCC7A2F51C8}">
  <ds:schemaRefs/>
</ds:datastoreItem>
</file>

<file path=customXml/itemProps11.xml><?xml version="1.0" encoding="utf-8"?>
<ds:datastoreItem xmlns:ds="http://schemas.openxmlformats.org/officeDocument/2006/customXml" ds:itemID="{CD918F0F-9B2A-4DD5-9F4D-DD6816A62E77}">
  <ds:schemaRefs/>
</ds:datastoreItem>
</file>

<file path=customXml/itemProps12.xml><?xml version="1.0" encoding="utf-8"?>
<ds:datastoreItem xmlns:ds="http://schemas.openxmlformats.org/officeDocument/2006/customXml" ds:itemID="{9D5B6290-1DDE-4587-B983-825DC4B02A6B}">
  <ds:schemaRefs/>
</ds:datastoreItem>
</file>

<file path=customXml/itemProps13.xml><?xml version="1.0" encoding="utf-8"?>
<ds:datastoreItem xmlns:ds="http://schemas.openxmlformats.org/officeDocument/2006/customXml" ds:itemID="{9594B02C-64D9-4978-84B9-FD39A761A969}">
  <ds:schemaRefs/>
</ds:datastoreItem>
</file>

<file path=customXml/itemProps14.xml><?xml version="1.0" encoding="utf-8"?>
<ds:datastoreItem xmlns:ds="http://schemas.openxmlformats.org/officeDocument/2006/customXml" ds:itemID="{CA9607A9-1383-4E6C-94FA-59F048984CE9}">
  <ds:schemaRefs/>
</ds:datastoreItem>
</file>

<file path=customXml/itemProps15.xml><?xml version="1.0" encoding="utf-8"?>
<ds:datastoreItem xmlns:ds="http://schemas.openxmlformats.org/officeDocument/2006/customXml" ds:itemID="{CBC2A3A9-7F88-46FE-AD42-50C4B72C33F6}">
  <ds:schemaRefs/>
</ds:datastoreItem>
</file>

<file path=customXml/itemProps16.xml><?xml version="1.0" encoding="utf-8"?>
<ds:datastoreItem xmlns:ds="http://schemas.openxmlformats.org/officeDocument/2006/customXml" ds:itemID="{CBFDC313-BB16-4EFF-B862-4C5D1B52E511}">
  <ds:schemaRefs/>
</ds:datastoreItem>
</file>

<file path=customXml/itemProps17.xml><?xml version="1.0" encoding="utf-8"?>
<ds:datastoreItem xmlns:ds="http://schemas.openxmlformats.org/officeDocument/2006/customXml" ds:itemID="{4D306E52-05AC-437B-84C1-9AF9022DDF79}">
  <ds:schemaRefs/>
</ds:datastoreItem>
</file>

<file path=customXml/itemProps18.xml><?xml version="1.0" encoding="utf-8"?>
<ds:datastoreItem xmlns:ds="http://schemas.openxmlformats.org/officeDocument/2006/customXml" ds:itemID="{0F3A56C2-C766-41BD-8AA1-7E1B6F33A1DA}">
  <ds:schemaRefs/>
</ds:datastoreItem>
</file>

<file path=customXml/itemProps19.xml><?xml version="1.0" encoding="utf-8"?>
<ds:datastoreItem xmlns:ds="http://schemas.openxmlformats.org/officeDocument/2006/customXml" ds:itemID="{5CD16C47-2FBE-49E8-8AAF-2862A872BD2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Sheet8</vt:lpstr>
      <vt:lpstr>Sheet1</vt:lpstr>
      <vt:lpstr>Sheet2</vt:lpstr>
      <vt:lpstr>Sheet3</vt:lpstr>
      <vt:lpstr>Sheet4</vt:lpstr>
      <vt:lpstr>Sheet5</vt:lpstr>
      <vt:lpstr>Sheet6</vt:lpstr>
      <vt:lpstr>Sheet7</vt:lpstr>
      <vt:lpstr>Sheet9</vt:lpstr>
      <vt:lpstr>DimDAXDoc</vt:lpstr>
      <vt:lpstr>DimOrganization</vt:lpstr>
      <vt:lpstr>DimDate</vt:lpstr>
      <vt:lpstr>FactGL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Ellingsen</dc:creator>
  <cp:lastModifiedBy>Frank Ellingsen</cp:lastModifiedBy>
  <dcterms:created xsi:type="dcterms:W3CDTF">2026-09-28T10:08:15Z</dcterms:created>
  <dcterms:modified xsi:type="dcterms:W3CDTF">2026-09-28T12:19:05Z</dcterms:modified>
</cp:coreProperties>
</file>