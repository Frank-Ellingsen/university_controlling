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Desktop\UIA2\"/>
    </mc:Choice>
  </mc:AlternateContent>
  <xr:revisionPtr revIDLastSave="0" documentId="13_ncr:1_{804FAF63-8218-4F5F-9FC9-6C31EBD5E071}" xr6:coauthVersionLast="47" xr6:coauthVersionMax="47" xr10:uidLastSave="{00000000-0000-0000-0000-000000000000}"/>
  <bookViews>
    <workbookView xWindow="-120" yWindow="-16320" windowWidth="29040" windowHeight="15720" firstSheet="13" activeTab="18" xr2:uid="{F3E476F1-29C2-4E4C-8511-28FAAEFF31C9}"/>
  </bookViews>
  <sheets>
    <sheet name="Overordnet rapport" sheetId="1" r:id="rId1"/>
    <sheet name="Fakultetsrapport" sheetId="18" r:id="rId2"/>
    <sheet name="DimAccountHierarchy" sheetId="2" r:id="rId3"/>
    <sheet name="DimDate" sheetId="3" r:id="rId4"/>
    <sheet name="DimForecastVersion" sheetId="4" r:id="rId5"/>
    <sheet name="DimKPI" sheetId="5" r:id="rId6"/>
    <sheet name="DimOrganization" sheetId="6" r:id="rId7"/>
    <sheet name="FactAction" sheetId="7" r:id="rId8"/>
    <sheet name="FactEVM" sheetId="8" r:id="rId9"/>
    <sheet name="FactFacultyKPI" sheetId="9" r:id="rId10"/>
    <sheet name="FactFTE" sheetId="10" r:id="rId11"/>
    <sheet name="FactStudents" sheetId="11" r:id="rId12"/>
    <sheet name="Relationships" sheetId="12" r:id="rId13"/>
    <sheet name="Avvik budsjett actual" sheetId="13" r:id="rId14"/>
    <sheet name="EVM sammendrag" sheetId="14" r:id="rId15"/>
    <sheet name="FactBudget" sheetId="15" r:id="rId16"/>
    <sheet name="FactGL" sheetId="16" r:id="rId17"/>
    <sheet name="YTD regnskap" sheetId="17" r:id="rId18"/>
    <sheet name="Anbefalte tiltak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19" l="1"/>
  <c r="E18" i="19"/>
  <c r="E17" i="19"/>
  <c r="E16" i="19"/>
  <c r="E15" i="19"/>
  <c r="E14" i="19"/>
  <c r="E13" i="19"/>
  <c r="E12" i="19"/>
  <c r="E11" i="19"/>
  <c r="E10" i="19"/>
  <c r="I6" i="19"/>
  <c r="G6" i="19"/>
  <c r="E6" i="19"/>
  <c r="C6" i="19"/>
  <c r="A6" i="19"/>
  <c r="A23" i="18"/>
  <c r="A22" i="18"/>
  <c r="A21" i="18"/>
  <c r="G16" i="18"/>
  <c r="D16" i="18"/>
  <c r="A16" i="18"/>
  <c r="A10" i="18"/>
  <c r="B10" i="18"/>
  <c r="C10" i="18"/>
  <c r="D10" i="18"/>
  <c r="E10" i="18"/>
  <c r="F10" i="18"/>
  <c r="G10" i="18"/>
  <c r="H10" i="18"/>
  <c r="I10" i="18"/>
  <c r="J10" i="18"/>
  <c r="A9" i="18"/>
  <c r="B9" i="18"/>
  <c r="C9" i="18"/>
  <c r="D9" i="18"/>
  <c r="E9" i="18"/>
  <c r="F9" i="18"/>
  <c r="G9" i="18"/>
  <c r="H9" i="18"/>
  <c r="I9" i="18"/>
  <c r="J9" i="18"/>
  <c r="A8" i="18"/>
  <c r="B8" i="18"/>
  <c r="C8" i="18"/>
  <c r="D8" i="18"/>
  <c r="E8" i="18"/>
  <c r="F8" i="18"/>
  <c r="G8" i="18"/>
  <c r="H8" i="18"/>
  <c r="I8" i="18"/>
  <c r="J8" i="18"/>
  <c r="A7" i="18"/>
  <c r="B7" i="18"/>
  <c r="C7" i="18"/>
  <c r="D7" i="18"/>
  <c r="E7" i="18"/>
  <c r="F7" i="18"/>
  <c r="G7" i="18"/>
  <c r="H7" i="18"/>
  <c r="I7" i="18"/>
  <c r="J7" i="18"/>
  <c r="A6" i="18"/>
  <c r="B6" i="18"/>
  <c r="C6" i="18"/>
  <c r="D6" i="18"/>
  <c r="E6" i="18"/>
  <c r="F6" i="18"/>
  <c r="G6" i="18"/>
  <c r="H6" i="18"/>
  <c r="I6" i="18"/>
  <c r="J6" i="18"/>
  <c r="F45" i="1"/>
  <c r="G45" i="1"/>
  <c r="E45" i="1"/>
  <c r="A45" i="1"/>
  <c r="B45" i="1"/>
  <c r="C45" i="1"/>
  <c r="D45" i="1"/>
  <c r="F44" i="1"/>
  <c r="G44" i="1"/>
  <c r="E44" i="1"/>
  <c r="A44" i="1"/>
  <c r="B44" i="1"/>
  <c r="C44" i="1"/>
  <c r="D44" i="1"/>
  <c r="F43" i="1"/>
  <c r="G43" i="1"/>
  <c r="E43" i="1"/>
  <c r="A43" i="1"/>
  <c r="B43" i="1"/>
  <c r="C43" i="1"/>
  <c r="D43" i="1"/>
  <c r="F42" i="1"/>
  <c r="G42" i="1"/>
  <c r="E42" i="1"/>
  <c r="A42" i="1"/>
  <c r="B42" i="1"/>
  <c r="C42" i="1"/>
  <c r="D42" i="1"/>
  <c r="F41" i="1"/>
  <c r="G41" i="1"/>
  <c r="E41" i="1"/>
  <c r="A41" i="1"/>
  <c r="B41" i="1"/>
  <c r="C41" i="1"/>
  <c r="D41" i="1"/>
  <c r="A36" i="1"/>
  <c r="B36" i="1"/>
  <c r="C36" i="1"/>
  <c r="D36" i="1"/>
  <c r="E36" i="1"/>
  <c r="F36" i="1"/>
  <c r="G36" i="1"/>
  <c r="A35" i="1"/>
  <c r="B35" i="1"/>
  <c r="C35" i="1"/>
  <c r="D35" i="1"/>
  <c r="E35" i="1"/>
  <c r="F35" i="1"/>
  <c r="G35" i="1"/>
  <c r="A34" i="1"/>
  <c r="B34" i="1"/>
  <c r="C34" i="1"/>
  <c r="D34" i="1"/>
  <c r="E34" i="1"/>
  <c r="F34" i="1"/>
  <c r="G34" i="1"/>
  <c r="A33" i="1"/>
  <c r="B33" i="1"/>
  <c r="C33" i="1"/>
  <c r="D33" i="1"/>
  <c r="E33" i="1"/>
  <c r="F33" i="1"/>
  <c r="G33" i="1"/>
  <c r="A32" i="1"/>
  <c r="B32" i="1"/>
  <c r="C32" i="1"/>
  <c r="D32" i="1"/>
  <c r="E32" i="1"/>
  <c r="F32" i="1"/>
  <c r="G32" i="1"/>
  <c r="A31" i="1"/>
  <c r="B31" i="1"/>
  <c r="C31" i="1"/>
  <c r="D31" i="1"/>
  <c r="E31" i="1"/>
  <c r="F31" i="1"/>
  <c r="G31" i="1"/>
  <c r="B26" i="1"/>
  <c r="C26" i="1"/>
  <c r="D26" i="1"/>
  <c r="A26" i="1"/>
  <c r="B25" i="1"/>
  <c r="C25" i="1"/>
  <c r="D25" i="1"/>
  <c r="A25" i="1"/>
  <c r="B24" i="1"/>
  <c r="C24" i="1"/>
  <c r="D24" i="1"/>
  <c r="A24" i="1"/>
  <c r="B23" i="1"/>
  <c r="C23" i="1"/>
  <c r="D23" i="1"/>
  <c r="A23" i="1"/>
  <c r="B22" i="1"/>
  <c r="C22" i="1"/>
  <c r="D22" i="1"/>
  <c r="A22" i="1"/>
  <c r="B21" i="1"/>
  <c r="C21" i="1"/>
  <c r="D21" i="1"/>
  <c r="A21" i="1"/>
  <c r="B20" i="1"/>
  <c r="C20" i="1"/>
  <c r="D20" i="1"/>
  <c r="A20" i="1"/>
  <c r="B19" i="1"/>
  <c r="C19" i="1"/>
  <c r="D19" i="1"/>
  <c r="A19" i="1"/>
  <c r="B18" i="1"/>
  <c r="C18" i="1"/>
  <c r="D18" i="1"/>
  <c r="A18" i="1"/>
  <c r="B17" i="1"/>
  <c r="C17" i="1"/>
  <c r="D17" i="1"/>
  <c r="A17" i="1"/>
  <c r="B16" i="1"/>
  <c r="C16" i="1"/>
  <c r="D16" i="1"/>
  <c r="A16" i="1"/>
  <c r="B15" i="1"/>
  <c r="C15" i="1"/>
  <c r="D15" i="1"/>
  <c r="A15" i="1"/>
  <c r="J10" i="1"/>
  <c r="G10" i="1"/>
  <c r="D10" i="1"/>
  <c r="A10" i="1"/>
  <c r="J6" i="1"/>
  <c r="G6" i="1"/>
  <c r="D6" i="1"/>
  <c r="A6" i="1"/>
</calcChain>
</file>

<file path=xl/sharedStrings.xml><?xml version="1.0" encoding="utf-8"?>
<sst xmlns="http://schemas.openxmlformats.org/spreadsheetml/2006/main" count="9546" uniqueCount="606">
  <si>
    <t>Konto</t>
  </si>
  <si>
    <t>Kontonavn</t>
  </si>
  <si>
    <t>Nivaa1_Kontoklasse</t>
  </si>
  <si>
    <t>Nivaa1_Navn</t>
  </si>
  <si>
    <t>Nivaa2_Kontogruppe</t>
  </si>
  <si>
    <t>Nivaa2_Navn</t>
  </si>
  <si>
    <t>Nivaa3_Standardkonto</t>
  </si>
  <si>
    <t>Nivaa3_Navn</t>
  </si>
  <si>
    <t>Nivaa4_Underkonto</t>
  </si>
  <si>
    <t>Nivaa4_Navn</t>
  </si>
  <si>
    <t>Kontotype</t>
  </si>
  <si>
    <t>SRS_regnskapslinje</t>
  </si>
  <si>
    <t>Salgsinntekt tjenester, avgiftspliktig</t>
  </si>
  <si>
    <t>Salgs- og driftsinntekt</t>
  </si>
  <si>
    <t>Salgsinntekt, avgiftspliktig</t>
  </si>
  <si>
    <t>Inntekt</t>
  </si>
  <si>
    <t>Salgsinntekt</t>
  </si>
  <si>
    <t>Salgsinntekt tjenester, avgiftsfri</t>
  </si>
  <si>
    <t>Salgsinntekt, avgiftsfri</t>
  </si>
  <si>
    <t>Salgsinntekt tjenester, unntatt avgiftsplikt</t>
  </si>
  <si>
    <t>Salgsinntekt, unntatt avgiftsplikt</t>
  </si>
  <si>
    <t>Tilskudd fra Norges forskningsråd</t>
  </si>
  <si>
    <t>Inntekt fra tilskudd og overføringer</t>
  </si>
  <si>
    <t>Tilskudd og overforinger</t>
  </si>
  <si>
    <t>Tilskudd fra andre statlige virksomheter</t>
  </si>
  <si>
    <t>Tilskudd fra EU</t>
  </si>
  <si>
    <t>Tilskudd fra naeringsliv og private</t>
  </si>
  <si>
    <t>Andre tilskudd og overforinger</t>
  </si>
  <si>
    <t>Annen driftsrelatert inntekt</t>
  </si>
  <si>
    <t>Leieinntekt og annen driftsinntekt</t>
  </si>
  <si>
    <t>Andre driftsinntekter</t>
  </si>
  <si>
    <t>Inntekt fra bevilgninger</t>
  </si>
  <si>
    <t>Lonn fast ansatte</t>
  </si>
  <si>
    <t>Lønnskostnad</t>
  </si>
  <si>
    <t>Lønn fast ansatte</t>
  </si>
  <si>
    <t>Kostnad</t>
  </si>
  <si>
    <t>Lonnskostnader</t>
  </si>
  <si>
    <t>Overtid fast ansatte</t>
  </si>
  <si>
    <t>Lonn midlertidig ansatte</t>
  </si>
  <si>
    <t>Lønn midlertidig ansatte</t>
  </si>
  <si>
    <t>Feriepenger</t>
  </si>
  <si>
    <t>Arbeidsgiveravgift innberettede ytelser</t>
  </si>
  <si>
    <t>Arbeidsgiveravgift, pensjonspremie o.l.</t>
  </si>
  <si>
    <t>Pensjonspremie til SPK</t>
  </si>
  <si>
    <t>Refusjon av sykepenger</t>
  </si>
  <si>
    <t>Offentlige refusjoner vedrørende arbeidskraft</t>
  </si>
  <si>
    <t>Refusjon av foreldrepenger</t>
  </si>
  <si>
    <t>Avskrivning immaterielle eiendeler</t>
  </si>
  <si>
    <t>Annen driftskostnad</t>
  </si>
  <si>
    <t>Av- og nedskrivning</t>
  </si>
  <si>
    <t>Av- og nedskrivninger</t>
  </si>
  <si>
    <t>Avskrivning driftslosore/inventar/IKT</t>
  </si>
  <si>
    <t>Leie lokaler</t>
  </si>
  <si>
    <t>Kostnader lokaler</t>
  </si>
  <si>
    <t>Andre driftskostnader</t>
  </si>
  <si>
    <t>Leie lokaler fra Statsbygg</t>
  </si>
  <si>
    <t>Lys, varme</t>
  </si>
  <si>
    <t>Renhold, vakthold, vaktmester</t>
  </si>
  <si>
    <t>Leie av datasystemer</t>
  </si>
  <si>
    <t>Leie maskiner, inventar o.l.</t>
  </si>
  <si>
    <t>Inventar</t>
  </si>
  <si>
    <t>Anskaffelser som ikke skal føres i kontogruppe 10-12 eller 47-49</t>
  </si>
  <si>
    <t>Datamaskiner og annet IKT-utstyr</t>
  </si>
  <si>
    <t>Reparasjon og vedlikehold leide lokaler</t>
  </si>
  <si>
    <t>Reparasjon og vedlikehold</t>
  </si>
  <si>
    <t>Konsulenttjenester okonomi/revisjon/juss</t>
  </si>
  <si>
    <t>Kjøp av konsulenttjenester og andre fremmede tjenester</t>
  </si>
  <si>
    <t>Konsulenttjenester programvare/IKT</t>
  </si>
  <si>
    <t>Konsulenttjenester organisasjonsutvikling</t>
  </si>
  <si>
    <t>Andre konsulenttjenester</t>
  </si>
  <si>
    <t>Innleie av vikarer</t>
  </si>
  <si>
    <t>Tjenester til lopende IKT-drift</t>
  </si>
  <si>
    <t>Kontorrekvisita</t>
  </si>
  <si>
    <t>Kontorrekvisita, bøker, møter og kurs</t>
  </si>
  <si>
    <t>Aviser, tidsskrifter, boker</t>
  </si>
  <si>
    <t>Moter</t>
  </si>
  <si>
    <t>Kurs og seminarer egne ansatte</t>
  </si>
  <si>
    <t>Telefoni og datakommunikasjon</t>
  </si>
  <si>
    <t>Telefon, porto o.l.</t>
  </si>
  <si>
    <t>Bilgodtgjorelse</t>
  </si>
  <si>
    <t>Annen driftskostnad, fortsettelse</t>
  </si>
  <si>
    <t>Kostnad og godtgjørelse for reise, diett, bil o.l.</t>
  </si>
  <si>
    <t>Reisekostnad</t>
  </si>
  <si>
    <t>Diettkostnad</t>
  </si>
  <si>
    <t>Reklame og markedsforing</t>
  </si>
  <si>
    <t>Salg, reklame og representasjon</t>
  </si>
  <si>
    <t>Kontingent</t>
  </si>
  <si>
    <t>Kontingent og gave</t>
  </si>
  <si>
    <t>Lisensavgift og royalties</t>
  </si>
  <si>
    <t>Lisenser og patenter</t>
  </si>
  <si>
    <t>Annen kostnad</t>
  </si>
  <si>
    <t>DatoNokkel</t>
  </si>
  <si>
    <t>Dato</t>
  </si>
  <si>
    <t>Aar</t>
  </si>
  <si>
    <t>MaanedNummer</t>
  </si>
  <si>
    <t>MaanedNavn</t>
  </si>
  <si>
    <t>Kvartal</t>
  </si>
  <si>
    <t>StatusPr30Sep</t>
  </si>
  <si>
    <t>Januar</t>
  </si>
  <si>
    <t>Q1</t>
  </si>
  <si>
    <t>Actual</t>
  </si>
  <si>
    <t>Februar</t>
  </si>
  <si>
    <t>Mars</t>
  </si>
  <si>
    <t>April</t>
  </si>
  <si>
    <t>Q2</t>
  </si>
  <si>
    <t>Mai</t>
  </si>
  <si>
    <t>Juni</t>
  </si>
  <si>
    <t>Juli</t>
  </si>
  <si>
    <t>Q3</t>
  </si>
  <si>
    <t>August</t>
  </si>
  <si>
    <t>September</t>
  </si>
  <si>
    <t>Oktober</t>
  </si>
  <si>
    <t>Q4</t>
  </si>
  <si>
    <t>Forecast</t>
  </si>
  <si>
    <t>November</t>
  </si>
  <si>
    <t>Desember</t>
  </si>
  <si>
    <t>VersjonKode</t>
  </si>
  <si>
    <t>VersjonNavn</t>
  </si>
  <si>
    <t>Beskrivelse</t>
  </si>
  <si>
    <t>BUD2026</t>
  </si>
  <si>
    <t>Vedtatt Årsbudsjett 2026</t>
  </si>
  <si>
    <t>Opprinnelig godkjent ramme vedtatt av styret i des 2025</t>
  </si>
  <si>
    <t>ACTUAL_YTD_SEP2026</t>
  </si>
  <si>
    <t>Regnskap YTD pr 30.09.2026</t>
  </si>
  <si>
    <t>Faktiske regnskapstall M01-M09 (01.01.2026 - 30.09.2026)</t>
  </si>
  <si>
    <t>FC_Q4_2026</t>
  </si>
  <si>
    <t>Prognose Q4 2026</t>
  </si>
  <si>
    <t>Rullende estimat for M10-M12 (oktober - desember 2026)</t>
  </si>
  <si>
    <t>LE_2026</t>
  </si>
  <si>
    <t>Latest Estimate 2026 (EAC)</t>
  </si>
  <si>
    <t>Helårsprognose 2026 (Actual YTD M01-M09 + Forecast Q4)</t>
  </si>
  <si>
    <t>KPI_ID</t>
  </si>
  <si>
    <t>KPI_Gruppe</t>
  </si>
  <si>
    <t>KPI_Navn</t>
  </si>
  <si>
    <t>Enhet</t>
  </si>
  <si>
    <t>Tufte_Format</t>
  </si>
  <si>
    <t>Sortering</t>
  </si>
  <si>
    <t>Innhold_Definisjon</t>
  </si>
  <si>
    <t>Styringsregel_Maal</t>
  </si>
  <si>
    <t>MoM_Utvikling</t>
  </si>
  <si>
    <t>YoY_Vekst</t>
  </si>
  <si>
    <t>RAG_Status</t>
  </si>
  <si>
    <t>01 Økonomi YTD</t>
  </si>
  <si>
    <t>Regnskap YTD</t>
  </si>
  <si>
    <t>MNOK</t>
  </si>
  <si>
    <t>#,##0.00</t>
  </si>
  <si>
    <t>Faktisk bokført netto kostnad pr. 30.09.2026</t>
  </si>
  <si>
    <t>Påløpt forbruk M01-M09 fordelt på lønn, drift og investeringer. Grunnlag for rullende prognose.</t>
  </si>
  <si>
    <t>Skal holde seg innenfor periodisert budsjettramme.</t>
  </si>
  <si>
    <t>+3,50 MNOK (September netto driftsresultat)</t>
  </si>
  <si>
    <t>+5,2 % vekst mot YTD 2025</t>
  </si>
  <si>
    <t>🟡 Moderat overskridelse</t>
  </si>
  <si>
    <t>Budsjett YTD</t>
  </si>
  <si>
    <t>Periodisert tildelt budsjett pr. 30.09.2026</t>
  </si>
  <si>
    <t>Vedtatt budsjett periodisert etter historisk sesongprofil per fakultet og fellestjeneste.</t>
  </si>
  <si>
    <t>Vedtatt av styret i des 2025. Periodisert 75% pr M09.</t>
  </si>
  <si>
    <t>Periodisert månedstildeling: 119,4 MNOK</t>
  </si>
  <si>
    <t>+3,8 % vekst mot 2025-budsjett</t>
  </si>
  <si>
    <t>🟢 Normal</t>
  </si>
  <si>
    <t>Avvik YTD</t>
  </si>
  <si>
    <t>Regnskap YTD minus Budsjett YTD</t>
  </si>
  <si>
    <t>Differanse mellom faktisk regnskap og periodisert budsjett. Positivt avvik indikerer merforbruk.</t>
  </si>
  <si>
    <t>Toleransegrense: &lt; 3 % avvik mot periodisert budsjett.</t>
  </si>
  <si>
    <t>+1,8 MNOK økning i akkumulert avvik i M09</t>
  </si>
  <si>
    <t>Økt avvik sammenlignet med 2025 (+2,4M)</t>
  </si>
  <si>
    <t>🔴 Merforbruk</t>
  </si>
  <si>
    <t>Avvik YTD %</t>
  </si>
  <si>
    <t>%</t>
  </si>
  <si>
    <t>Avvik YTD i prosent av periodisert budsjett</t>
  </si>
  <si>
    <t>Relativt avvik mot budsjett. Standardiserer overvåking på tvers av store og små fakulteter.</t>
  </si>
  <si>
    <t>Måltall: Mellom -2,0 % og +2,0 %.</t>
  </si>
  <si>
    <t>+0,2 %-poeng økning i relativt avvik M09</t>
  </si>
  <si>
    <t>+0,5 %-poeng høyere enn 2025</t>
  </si>
  <si>
    <t>🔴 Utenfor toleranse</t>
  </si>
  <si>
    <t>02 Prognose &amp; EAC</t>
  </si>
  <si>
    <t>Prognose LE (EAC)</t>
  </si>
  <si>
    <t>Siste estimat på total årskostnad (YTD regnskap + Q4 prognose)</t>
  </si>
  <si>
    <t>Estimate at Completion: Sluttkostnadsvurdering basert på M01-M09 faktisk + oppdatert Q4-forventning.</t>
  </si>
  <si>
    <t>Skal ikke overstige vedtatt årsbudsjett (BAC: 1 433 MNOK).</t>
  </si>
  <si>
    <t>+1,20 MNOK justering i Q4-forventning per M09</t>
  </si>
  <si>
    <t>+4,6 % vekst mot 2025 regnskap</t>
  </si>
  <si>
    <t>🔴 Merforbruk (1 444M)</t>
  </si>
  <si>
    <t>Årsbudsjett (BAC)</t>
  </si>
  <si>
    <t>Opprinnelig vedtatt årsbudsjett (Budget at Completion)</t>
  </si>
  <si>
    <t>Vedtatt total årsramme 2026. Inkluderer 1 234 MNOK statlig basisbevilgning og 199 MNOK BOA/andre.</t>
  </si>
  <si>
    <t>Vedtatt av universitetsstyret (Fast ramme iht. KD 2025).</t>
  </si>
  <si>
    <t>0,0 MNOK (Ligger fast gjennom året)</t>
  </si>
  <si>
    <t>+3,8 % økning mot BAC 2025 (1 380M)</t>
  </si>
  <si>
    <t>🟢 Fast bevilgning</t>
  </si>
  <si>
    <t>Sluttavvik (VAC)</t>
  </si>
  <si>
    <t>Årsbudsjett minus Prognose LE (positiv = mindreforbruk)</t>
  </si>
  <si>
    <t>Variance at Completion: Forventet netto resultat ved årsslutt før ytterligere omstillingstiltak.</t>
  </si>
  <si>
    <t>Måltall: &gt;= 0,0 MNOK (I balanse eller overskudd).</t>
  </si>
  <si>
    <t>-0,5 MNOK forverring fra M08 til M09</t>
  </si>
  <si>
    <t>Fra balanse i 2025 til -11,0M i 2026</t>
  </si>
  <si>
    <t>🔴 Kritisk overskridelse (-11M)</t>
  </si>
  <si>
    <t>VAC %</t>
  </si>
  <si>
    <t>Sluttavvik i prosent av årsbudsjett</t>
  </si>
  <si>
    <t>Relativt sluttavvik mot totalramme. Viser institusjonell sårbarhet og press på egenkapital.</t>
  </si>
  <si>
    <t>Varselgrense: &lt; -0,5 % av totalramme.</t>
  </si>
  <si>
    <t>-0,04 %-poeng endring i M09</t>
  </si>
  <si>
    <t>-0,8 % avvik mot 2025 balanse</t>
  </si>
  <si>
    <t>🔴 Rød varsel</t>
  </si>
  <si>
    <t>03 EVM Prosjekt</t>
  </si>
  <si>
    <t>Planned Value (PV)</t>
  </si>
  <si>
    <t>#,##0.0</t>
  </si>
  <si>
    <t>Planlagt verdi av prosjektaktiviteter til dato</t>
  </si>
  <si>
    <t>Budsjettert kostnad for planlagt arbeid (BCWS) for BOA- og oppdragsporteføljen.</t>
  </si>
  <si>
    <t>Følger opprinnelig prosjektmilepælsplan.</t>
  </si>
  <si>
    <t>+132,0 MNOK planlagt fremdrift i M09</t>
  </si>
  <si>
    <t>+6,1 % økning i porteføljevolum mot 2025</t>
  </si>
  <si>
    <t>🟢 I henhold til plan</t>
  </si>
  <si>
    <t>Earned Value (EV)</t>
  </si>
  <si>
    <t>Opptjent verdi av fysisk levert arbeid til dato</t>
  </si>
  <si>
    <t>Budsjettert kostnad for utført arbeid (BCWP). Faktisk faglig fremdrift i forskningsprosjektene.</t>
  </si>
  <si>
    <t>Skal ligge tett på Planned Value (SPI &gt;= 1,0).</t>
  </si>
  <si>
    <t>+122,0 MNOK godkjent fremdrift i M09</t>
  </si>
  <si>
    <t>+4,2 % økning mot 2025 opptjening</t>
  </si>
  <si>
    <t>🟡 Fremdriftsavvik (90M under plan)</t>
  </si>
  <si>
    <t>Actual Cost (AC)</t>
  </si>
  <si>
    <t>Faktiske påløpte prosjektkostnader til dato</t>
  </si>
  <si>
    <t>Faktisk kostnad for utført arbeid (ACWP) bokført på prosjektene i Unit4 ERP.</t>
  </si>
  <si>
    <t>Skal ikke overstige Earned Value (CPI &gt;= 1,0).</t>
  </si>
  <si>
    <t>+126,0 MNOK påløpte kostnader i M09</t>
  </si>
  <si>
    <t>+5,8 % kostnadsvekst mot 2025</t>
  </si>
  <si>
    <t>🔴 Kostnadsoverskridelse</t>
  </si>
  <si>
    <t>Cost Performance Index (CPI)</t>
  </si>
  <si>
    <t>Indeks</t>
  </si>
  <si>
    <t>Kostnadseffektivitet (EV / AC, &gt;= 1.0 er under/i budsjett)</t>
  </si>
  <si>
    <t>Måler hvor mye verdi universitetet får per brukt prosjektkrone. CPI &lt; 1,0 uthuler TDI-overheaddekning.</t>
  </si>
  <si>
    <t>Måltall: &gt;= 1,00. Kritisk grense: &lt; 0,95.</t>
  </si>
  <si>
    <t>+0,01 forbedring fra M08 (0,94 til 0,95)</t>
  </si>
  <si>
    <t>-0,03 reduksjon mot 2025 (0,98)</t>
  </si>
  <si>
    <t>🟡 TDI-fellen (0,95)</t>
  </si>
  <si>
    <t>Schedule Performance Index (SPI)</t>
  </si>
  <si>
    <t>Fremdriftseffektivitet (EV / PV, &gt;= 1.0 er foran/i rute)</t>
  </si>
  <si>
    <t>Måler tidsfremdrift mot plan. SPI &lt; 1,0 medfører forsinket inntektsføring iht. SRS 10.</t>
  </si>
  <si>
    <t>Måltall: &gt;= 1,00. Forsinket: &lt; 0,95.</t>
  </si>
  <si>
    <t>Uendret på 0,92 fra M08</t>
  </si>
  <si>
    <t>-0,04 reduksjon mot 2025 (0,96)</t>
  </si>
  <si>
    <t>🟡 Inntektsrisiko SRS 10 (0,92)</t>
  </si>
  <si>
    <t>04 Bemanning</t>
  </si>
  <si>
    <t>Totale Årsverk (FTE)</t>
  </si>
  <si>
    <t>Årsverk</t>
  </si>
  <si>
    <t>Aktive årsverk registrert pr. 30.09.2026</t>
  </si>
  <si>
    <t>Summen av alle faktiske faglige (UF) og teknisk-administrative (TA) årsverk basert på SAP/BOTT Lønn.</t>
  </si>
  <si>
    <t>Vakansestyring skal sikre balanse mot budsjettert årsverksramme.</t>
  </si>
  <si>
    <t>+3,0 årsverk tilvekst i M09 (høstsemesterstart)</t>
  </si>
  <si>
    <t>+1,5 % vekst mot 2025 (1 222 FTE)</t>
  </si>
  <si>
    <t>🟡 Moderat vekst</t>
  </si>
  <si>
    <t>Faglige Årsverk (UF)</t>
  </si>
  <si>
    <t>Undervisnings- og forskningsårsverk (UF)</t>
  </si>
  <si>
    <t>Årsverk i professorkategorier, førsteamanuenser, lektorer og rekrutteringsstillinger (stipendiater).</t>
  </si>
  <si>
    <t>Kjerneproduksjon: Bør utgjøre over 55-60 % av total bemanning.</t>
  </si>
  <si>
    <t>+2,5 årsverk i M09 (nye stipendiater)</t>
  </si>
  <si>
    <t>+2,1 % vekst mot 2025 (854 FTE)</t>
  </si>
  <si>
    <t>🟢 God faglig kapasitet</t>
  </si>
  <si>
    <t>Teknisk-Admin Årsverk (TA)</t>
  </si>
  <si>
    <t>Teknisk-administrative årsverk (TA)</t>
  </si>
  <si>
    <t>Drifts-, administrasjons- og IT-støttestillinger ved fakultetene og fellestjenestene.</t>
  </si>
  <si>
    <t>Vakansestopp på administrative stillinger er iverksatt (Tiltak T001).</t>
  </si>
  <si>
    <t>+0,5 årsverk i M09</t>
  </si>
  <si>
    <t>+0,8 % vekst mot 2025 (652 FTE)</t>
  </si>
  <si>
    <t>🟡 Vakansestopp aktivt</t>
  </si>
  <si>
    <t>Faglig Andel (UF %)</t>
  </si>
  <si>
    <t>Andel UF av totale årsverk (måltall &gt;= 60%)</t>
  </si>
  <si>
    <t>Forholdet mellom vitenskapelige årsverk og total bemanning. Sikrer at midler går til kjerneoppgavene.</t>
  </si>
  <si>
    <t>Sektorkrav / styringsmål: &gt; 50-55 %, ideelt &gt;= 60 %.</t>
  </si>
  <si>
    <t>+0,1 %-poeng økning i M09 (til 57,1 %)</t>
  </si>
  <si>
    <t>+0,3 %-poeng økning mot 2025</t>
  </si>
  <si>
    <t>🟢 Tilfredsstillende (57,1%)</t>
  </si>
  <si>
    <t>Lønnsandel %</t>
  </si>
  <si>
    <t>Lønnskostnader som andel av total kostnadsbase</t>
  </si>
  <si>
    <t>Forholdet mellom brutto lønnskostnader og samlet driftsramme. Hoveddriver for finansiell fleksibilitet.</t>
  </si>
  <si>
    <t>Sektornorm i UH-sektoren er ~71,0 %. Lav andel gir handlingsrom.</t>
  </si>
  <si>
    <t>-0,2 %-poeng i M09 (65,4 %)</t>
  </si>
  <si>
    <t>-0,8 %-poeng lavere enn 2025 (66,2%)</t>
  </si>
  <si>
    <t>🟢 God operativ kapasitet (65,4%)</t>
  </si>
  <si>
    <t>05 Utdanning &amp; Produksjon</t>
  </si>
  <si>
    <t>Registrerte Studenter</t>
  </si>
  <si>
    <t>Antall</t>
  </si>
  <si>
    <t>#,##0</t>
  </si>
  <si>
    <t>Totalt antall registrerte studenter høst 2026</t>
  </si>
  <si>
    <t>Studenttall per 1. oktober fra Felles Studentsystem (FS). Grunnlag for dimensjonering og campusdrift.</t>
  </si>
  <si>
    <t>Dimensjonert studentkapasitet: 14 000 studenter.</t>
  </si>
  <si>
    <t>+150 studenter etteropptak i september</t>
  </si>
  <si>
    <t>-1,1 % fall mot 2025 (14 150)</t>
  </si>
  <si>
    <t>🟡 Svikt i SAM / søkertall</t>
  </si>
  <si>
    <t>Avlagte SPE60 (Helårsstudenter)</t>
  </si>
  <si>
    <t>Studenter</t>
  </si>
  <si>
    <t>Produserte 60-studiepoengsenheter</t>
  </si>
  <si>
    <t>Samlet produksjon av studiepoeng omregnet til helårsstudenter (60 stp). Grunnlag for KD-bevilgning.</t>
  </si>
  <si>
    <t>Fast basis i KD 2025. Marginale endringer belønnes/kuttes med kategorisats.</t>
  </si>
  <si>
    <t>+85,0 SPE60 innmeldt i M09</t>
  </si>
  <si>
    <t>-1,2 % produksjonsfall mot 2025 (12 900)</t>
  </si>
  <si>
    <t>🔴 Svikt i SAM prosjekt I013BA</t>
  </si>
  <si>
    <t>Studenter pr UF-Årsverk</t>
  </si>
  <si>
    <t>Ratio</t>
  </si>
  <si>
    <t>Studenttetthet pr vitenskapelig ansatt</t>
  </si>
  <si>
    <t>Forholdstall som måler pedagogisk bærekraft og lærertetthet per fakultet.</t>
  </si>
  <si>
    <t>Måltall: 15-20 studenter pr vitenskapelig årsverk.</t>
  </si>
  <si>
    <t>+0,1 i M09 til 17,7</t>
  </si>
  <si>
    <t>-0,5 lavere enn 2025 (18,2)</t>
  </si>
  <si>
    <t>🟢 Sunn lærertetthet (17,7)</t>
  </si>
  <si>
    <t>Enhetskostnad pr SPE60</t>
  </si>
  <si>
    <t>NOK</t>
  </si>
  <si>
    <t>Estimert totalkostnad pr helårsstudent</t>
  </si>
  <si>
    <t>Total kostnadsramme delt på avlagte SPE60. Synliggjør utdanninger med for høye faste kostnader.</t>
  </si>
  <si>
    <t>Skal stå i et forsvarlig forhold til KDs finansieringskategorier.</t>
  </si>
  <si>
    <t>+850 kr i M09 til 113 255 NOK</t>
  </si>
  <si>
    <t>+5,8 % kostnadsvekst mot 2025 (107 000)</t>
  </si>
  <si>
    <t>🔴 Kostnad over KDs margin</t>
  </si>
  <si>
    <t>KD Resultatbevilgning</t>
  </si>
  <si>
    <t>Beregnet resultatfinansiering fra Kunnskapsdepartementet</t>
  </si>
  <si>
    <t>Beregnet ut fra Kat 1 (54 550 kr), Kat 2 (81 800 kr) og Kat 3 (190 900 kr) basert på SPE60-produksjon.</t>
  </si>
  <si>
    <t>Etterslep på 2 år i statsbudsjettet. Dagens produksjonsfall gir rammekutt i 2028.</t>
  </si>
  <si>
    <t>+1,2 MNOK oppjustert i M09</t>
  </si>
  <si>
    <t>-2,8 MNOK lavere enn 2025-nivå</t>
  </si>
  <si>
    <t>🔴 Inntektstap i Kat 1 og Kat 2</t>
  </si>
  <si>
    <t>06 Omstilling</t>
  </si>
  <si>
    <t>Udekket Omstillingsgap</t>
  </si>
  <si>
    <t>Gjenværende finansiell ubalanse etter tiltak</t>
  </si>
  <si>
    <t>Netto avvik etter fratrekk for sikret effekt av omstillingstiltak i FactAction (-15M plan, -9M real).</t>
  </si>
  <si>
    <t>Måltall: 0,0 MNOK (Fullt lukket gap før årsslutt).</t>
  </si>
  <si>
    <t>-0,5 MNOK forbedring gjennom realiserte tiltak i M09</t>
  </si>
  <si>
    <t>Nytt gap oppstått i 2026</t>
  </si>
  <si>
    <t>🟡 2,0 MNOK udekket gap</t>
  </si>
  <si>
    <t>OrgKode</t>
  </si>
  <si>
    <t>Kortnavn</t>
  </si>
  <si>
    <t>OverordnetEnhet</t>
  </si>
  <si>
    <t>Nivaa</t>
  </si>
  <si>
    <t>Type</t>
  </si>
  <si>
    <t>Leder_Tittel</t>
  </si>
  <si>
    <t>Leder_Epost</t>
  </si>
  <si>
    <t>University</t>
  </si>
  <si>
    <t>UNIV</t>
  </si>
  <si>
    <t>Toppnivå</t>
  </si>
  <si>
    <t>Rektor / Universitetsdirektør</t>
  </si>
  <si>
    <t>rektor@university.no,frank.ellingsen@university.no</t>
  </si>
  <si>
    <t>Handelshøyskolen</t>
  </si>
  <si>
    <t>HHU</t>
  </si>
  <si>
    <t>Fakultet</t>
  </si>
  <si>
    <t>Dekan HHU</t>
  </si>
  <si>
    <t>dekan.hhu@university.no</t>
  </si>
  <si>
    <t>Fakultet for teknologi og realfag</t>
  </si>
  <si>
    <t>TEK</t>
  </si>
  <si>
    <t>Dekan TEK</t>
  </si>
  <si>
    <t>dekan.tek@university.no</t>
  </si>
  <si>
    <t>Fakultet for helse- og idrettsvitenskap</t>
  </si>
  <si>
    <t>HEL</t>
  </si>
  <si>
    <t>Dekan HEL</t>
  </si>
  <si>
    <t>dekan.hel@university.no</t>
  </si>
  <si>
    <t>Fakultet for samfunnsvitenskap</t>
  </si>
  <si>
    <t>SAM</t>
  </si>
  <si>
    <t>Dekan SAM</t>
  </si>
  <si>
    <t>dekan.sam@university.no</t>
  </si>
  <si>
    <t>Fakultet for humaniora og pedagogikk</t>
  </si>
  <si>
    <t>HUM</t>
  </si>
  <si>
    <t>Dekan HUM</t>
  </si>
  <si>
    <t>dekan.hum@university.no</t>
  </si>
  <si>
    <t>Fellesadministrasjon &amp; Fellesdrift</t>
  </si>
  <si>
    <t>ADM</t>
  </si>
  <si>
    <t>Fellesenhet</t>
  </si>
  <si>
    <t>Direktør Fellesdrift</t>
  </si>
  <si>
    <t>direktor.adm@university.no</t>
  </si>
  <si>
    <t>TiltakID</t>
  </si>
  <si>
    <t>TiltakNavn</t>
  </si>
  <si>
    <t>ForventetEffekt_MNOK</t>
  </si>
  <si>
    <t>RealisertEffekt_MNOK</t>
  </si>
  <si>
    <t>Frist</t>
  </si>
  <si>
    <t>Status</t>
  </si>
  <si>
    <t>Ansvarlig</t>
  </si>
  <si>
    <t>T001</t>
  </si>
  <si>
    <t>Vakansestopp administrative stillinger</t>
  </si>
  <si>
    <t>Q3 2026</t>
  </si>
  <si>
    <t>Realisert</t>
  </si>
  <si>
    <t>Dir. Fellestj.</t>
  </si>
  <si>
    <t>🟢 Realisert</t>
  </si>
  <si>
    <t>T002</t>
  </si>
  <si>
    <t>Reduksjon i konsulentbruk og eksterne tjenester</t>
  </si>
  <si>
    <t>Q4 2026</t>
  </si>
  <si>
    <t>Pågår</t>
  </si>
  <si>
    <t>Øk.dir.</t>
  </si>
  <si>
    <t>🟡 Pågår</t>
  </si>
  <si>
    <t>T003</t>
  </si>
  <si>
    <t>Studieporteføljejustering og sammenslåing av emner (SAM)</t>
  </si>
  <si>
    <t>Q1 2027</t>
  </si>
  <si>
    <t>Vedtatt</t>
  </si>
  <si>
    <t>🟢 Vedtatt</t>
  </si>
  <si>
    <t>T004</t>
  </si>
  <si>
    <t>Skjerpet prosjektoppfølging og TDI-kostnadsdekning (BOA)</t>
  </si>
  <si>
    <t>Forskningsdir.</t>
  </si>
  <si>
    <t>T005</t>
  </si>
  <si>
    <t>Optimalisering av praksisavtaler og RETHOS-rammer (HEL)</t>
  </si>
  <si>
    <t>Q2 2027</t>
  </si>
  <si>
    <t>Risiko</t>
  </si>
  <si>
    <t>🔴 Risiko</t>
  </si>
  <si>
    <t>Planned_Value_PV_MNOK</t>
  </si>
  <si>
    <t>Earned_Value_EV_MNOK</t>
  </si>
  <si>
    <t>Actual_Cost_AC_MNOK</t>
  </si>
  <si>
    <t>Budget_At_Completion_BAC_MNOK</t>
  </si>
  <si>
    <t>Estimate_At_Completion_EAC_MNOK</t>
  </si>
  <si>
    <t>Estimate_To_Complete_ETC_MNOK</t>
  </si>
  <si>
    <t>Cost_Performance_Index_CPI</t>
  </si>
  <si>
    <t>Schedule_Performance_Index_SPI</t>
  </si>
  <si>
    <t>Variance_At_Completion_VAC_MNOK</t>
  </si>
  <si>
    <t>Statlig_Bevilgning_MNOK</t>
  </si>
  <si>
    <t>BOA_Andre_Inntekt_MNOK</t>
  </si>
  <si>
    <t>Total_Inntekt_MNOK</t>
  </si>
  <si>
    <t>Lonnskostnader_MNOK</t>
  </si>
  <si>
    <t>Driftskostnader_MNOK</t>
  </si>
  <si>
    <t>Investeringer_Capex_MNOK</t>
  </si>
  <si>
    <t>Total_Kostnad_MNOK</t>
  </si>
  <si>
    <t>Netto_Resultat_MNOK</t>
  </si>
  <si>
    <t>Lonnsandel_Pct</t>
  </si>
  <si>
    <t>Aarsverk_UF</t>
  </si>
  <si>
    <t>Aarsverk_TA</t>
  </si>
  <si>
    <t>Total_Aarsverk</t>
  </si>
  <si>
    <t>Antall_Ansatte</t>
  </si>
  <si>
    <t>Antall_Studenter</t>
  </si>
  <si>
    <t>SPE60_Helarsstudenter</t>
  </si>
  <si>
    <t>Studenter_Pr_Faglig_ÅV</t>
  </si>
  <si>
    <t>Kostnad_Pr_SPE60_NOK</t>
  </si>
  <si>
    <t>Handelshøyskolen (HHU)</t>
  </si>
  <si>
    <t>🟢 I balanse</t>
  </si>
  <si>
    <t>Fakultet for teknologi og realfag (TEK)</t>
  </si>
  <si>
    <t>🟡 Moderat avvik</t>
  </si>
  <si>
    <t>Fakultet for helse- og idrettsvitenskap (HEL)</t>
  </si>
  <si>
    <t>Fakultet for samfunnsvitenskap (SAM)</t>
  </si>
  <si>
    <t>🟢 Overskudd</t>
  </si>
  <si>
    <t>Fakultet for humaniora og pedagogikk (HUM)</t>
  </si>
  <si>
    <t>Fellesadministrasjon &amp; Fellesdrift (ADM)</t>
  </si>
  <si>
    <t>🔴 Felleskostnader</t>
  </si>
  <si>
    <t>TOTALT UNIVERSITY (UNIV)</t>
  </si>
  <si>
    <t>🔴 Netto underdekning (-11M)</t>
  </si>
  <si>
    <t>Aarsverk_Faktisk</t>
  </si>
  <si>
    <t>Aarsverk_Budsjett</t>
  </si>
  <si>
    <t>Ubesatte_Vakanser</t>
  </si>
  <si>
    <t>Faglig_Andel_Pct</t>
  </si>
  <si>
    <t>Registrerte_Studenter</t>
  </si>
  <si>
    <t>Avlagte_Studiepoeng_Totalt</t>
  </si>
  <si>
    <t>KD_Kategori1_SPE60</t>
  </si>
  <si>
    <t>KD_Kategori2_SPE60</t>
  </si>
  <si>
    <t>KD_Kategori3_SPE60</t>
  </si>
  <si>
    <t>Bestattandel_Pct</t>
  </si>
  <si>
    <t>Gjennomforing_Normert_Pct</t>
  </si>
  <si>
    <t>FraTabell</t>
  </si>
  <si>
    <t>FraKolonne</t>
  </si>
  <si>
    <t>TilTabell</t>
  </si>
  <si>
    <t>TilKolonne</t>
  </si>
  <si>
    <t>Kardinalitet</t>
  </si>
  <si>
    <t>Kryssfiltrering</t>
  </si>
  <si>
    <t>DimOrganization</t>
  </si>
  <si>
    <t>FactGL</t>
  </si>
  <si>
    <t>1:*</t>
  </si>
  <si>
    <t>Enkel (Dim -&gt; Fact)</t>
  </si>
  <si>
    <t>FactBudget</t>
  </si>
  <si>
    <t>FactFTE</t>
  </si>
  <si>
    <t>FactStudents</t>
  </si>
  <si>
    <t>FactFacultyKPI</t>
  </si>
  <si>
    <t>DimDate</t>
  </si>
  <si>
    <t>FactEVM</t>
  </si>
  <si>
    <t>DimForecastVersion</t>
  </si>
  <si>
    <t>DimAccountHierarchy</t>
  </si>
  <si>
    <t>FactAction</t>
  </si>
  <si>
    <t>Kontoklasse</t>
  </si>
  <si>
    <t>Actual_YTD_MNOK</t>
  </si>
  <si>
    <t>Budsjett_YTD_MNOK</t>
  </si>
  <si>
    <t>Avvik_YTD_MNOK</t>
  </si>
  <si>
    <t>Avvik_YTD_Pct</t>
  </si>
  <si>
    <t>PV</t>
  </si>
  <si>
    <t>EV</t>
  </si>
  <si>
    <t>AC</t>
  </si>
  <si>
    <t>BAC</t>
  </si>
  <si>
    <t>EAC</t>
  </si>
  <si>
    <t>ETC</t>
  </si>
  <si>
    <t>CPI</t>
  </si>
  <si>
    <t>SPI</t>
  </si>
  <si>
    <t>VAC</t>
  </si>
  <si>
    <t>Cost_Variance_CV</t>
  </si>
  <si>
    <t>Schedule_Variance_SV</t>
  </si>
  <si>
    <t>Artstype</t>
  </si>
  <si>
    <t>Kategori</t>
  </si>
  <si>
    <t>Budsjett_MNOK</t>
  </si>
  <si>
    <t>Budsjett_signert_MNOK</t>
  </si>
  <si>
    <t>Statlig Bevilgning</t>
  </si>
  <si>
    <t>Tilskudd fra NFR/EU (BOA)</t>
  </si>
  <si>
    <t>Forskning (BOA)</t>
  </si>
  <si>
    <t>Salgs- og oppdragsinntekt</t>
  </si>
  <si>
    <t>Andre Inntekter</t>
  </si>
  <si>
    <t>Lønn og sosiale kostnader</t>
  </si>
  <si>
    <t>Lønnskostnader</t>
  </si>
  <si>
    <t>Driftskostnader</t>
  </si>
  <si>
    <t>Investeringer og avskrivninger</t>
  </si>
  <si>
    <t>Investeringer (Capex)</t>
  </si>
  <si>
    <t>Belop_MNOK</t>
  </si>
  <si>
    <t>Belop_signert_MNOK</t>
  </si>
  <si>
    <t>FakultetKort</t>
  </si>
  <si>
    <t>Kontogruppe</t>
  </si>
  <si>
    <t>UNIVERSITETETS STYRINGSRAPPORT 2026</t>
  </si>
  <si>
    <t>Økonomi, EVM, kapasitet og tiltak • Regnskap pr. 30.09.2026 • Prognose Q4</t>
  </si>
  <si>
    <t>ÅRSBUDSJETT (BAC)</t>
  </si>
  <si>
    <t>PROGNOSE (EAC)</t>
  </si>
  <si>
    <t>SLUTTAVVIK (VAC)</t>
  </si>
  <si>
    <t>SAMLET RAG</t>
  </si>
  <si>
    <t>REGISTRERTE STUDENTER</t>
  </si>
  <si>
    <t>TOTALT ÅRSVERK</t>
  </si>
  <si>
    <t>CPI PR. SEPTEMBER</t>
  </si>
  <si>
    <t>SPI PR. SEPTEMBER</t>
  </si>
  <si>
    <t>EVM-UTVIKLING 2026</t>
  </si>
  <si>
    <t>Måned</t>
  </si>
  <si>
    <t>ENHETSSTATUS</t>
  </si>
  <si>
    <t>Netto resultat</t>
  </si>
  <si>
    <t>Kostnad/SPE60</t>
  </si>
  <si>
    <t>RAG</t>
  </si>
  <si>
    <t>OMSTILLINGSTILTAK</t>
  </si>
  <si>
    <t>Tiltak</t>
  </si>
  <si>
    <t>Forventet effekt</t>
  </si>
  <si>
    <t>Realisert effekt</t>
  </si>
  <si>
    <t>Gjenstår</t>
  </si>
  <si>
    <t>FAKULTETSRAPPORT 2026</t>
  </si>
  <si>
    <t>Alle fem fakulteter • Økonomi, bemanning og studieproduksjon</t>
  </si>
  <si>
    <t>Lønnsandel</t>
  </si>
  <si>
    <t>Studenter / UF-ÅV</t>
  </si>
  <si>
    <t>Kostnad / SPE60</t>
  </si>
  <si>
    <t>NØKKELSIGNALER</t>
  </si>
  <si>
    <t>STØRSTE UNDERSKUDD</t>
  </si>
  <si>
    <t>BESTE RESULTAT</t>
  </si>
  <si>
    <t>HØYEST KOSTNAD / SPE60</t>
  </si>
  <si>
    <t>STYRINGSSIGNALER</t>
  </si>
  <si>
    <t>ANBEFALT HANDLINGSPLAN FOR AVVIK</t>
  </si>
  <si>
    <t>Prioriterte korrigerende tiltak • Basert på regnskap, prognose og registrert tiltakseffekt pr. 30.09.2026</t>
  </si>
  <si>
    <t>NETTO UNDERDEKNING</t>
  </si>
  <si>
    <t>TILTAKSGAP</t>
  </si>
  <si>
    <t>LØNNSAVVIK YTD</t>
  </si>
  <si>
    <t>NFR-INNTEKTSGAP</t>
  </si>
  <si>
    <t>HØY PRIORITET</t>
  </si>
  <si>
    <t>PRIORITERT ACTION TO TAKE</t>
  </si>
  <si>
    <t>Tiltaks-ID</t>
  </si>
  <si>
    <t>Prioritet</t>
  </si>
  <si>
    <t>Område</t>
  </si>
  <si>
    <t>Avvik / signal</t>
  </si>
  <si>
    <t>Effekt / avvik (MNOK)</t>
  </si>
  <si>
    <t>Anbefalt handling</t>
  </si>
  <si>
    <t>Eier</t>
  </si>
  <si>
    <t>Målepunkt</t>
  </si>
  <si>
    <t>A01</t>
  </si>
  <si>
    <t>Høy</t>
  </si>
  <si>
    <t>Universitetet</t>
  </si>
  <si>
    <t>Netto underdekning i helårsprognosen</t>
  </si>
  <si>
    <t>Vedta ukentlig recovery-plan som fordeler restgapet på navngitte eiere; stopp nye ikke-kritiske disposisjoner til tiltakene er dokumentert.</t>
  </si>
  <si>
    <t>Økonomidirektør</t>
  </si>
  <si>
    <t>15.10.2026</t>
  </si>
  <si>
    <t>EAC ≤ BAC og dokumentert effekt hver uke</t>
  </si>
  <si>
    <t>🔴 Start nå</t>
  </si>
  <si>
    <t>A02</t>
  </si>
  <si>
    <t>Største negative enhetsresultat</t>
  </si>
  <si>
    <t>Fullfør reduksjon i konsulentbruk, innfør innkjøpsgodkjenning for ikke-kritiske kjøp og gjennomgå alle åpne bestillinger.</t>
  </si>
  <si>
    <t>31.10.2026</t>
  </si>
  <si>
    <t>Minst 1,0 MNOK ytterligere realisert effekt i Q4</t>
  </si>
  <si>
    <t>🔴 Kritisk</t>
  </si>
  <si>
    <t>A03</t>
  </si>
  <si>
    <t>Merforbruk og høy kostnad per SPE60</t>
  </si>
  <si>
    <t>Fremskynd reforhandling av praksisavtaler, begrens vikar/overtid og etabler ukentlig kostnadsprognose per institutt.</t>
  </si>
  <si>
    <t>30.11.2026</t>
  </si>
  <si>
    <t>Resultatforbedring ≥ 2,0 MNOK; ingen ny negativ prognoserevisjon</t>
  </si>
  <si>
    <t>A04</t>
  </si>
  <si>
    <t>Underskudd og høyest kostnad per SPE60</t>
  </si>
  <si>
    <t>Fakturér opptjent NFR/BOA, kvalitetssikre TDI-dekning per prosjekt og krev korrigeringsplan for prosjekter med negativ margin.</t>
  </si>
  <si>
    <t>Lukke minst 1,9 MNOK og redusere utestående prosjektinntekt</t>
  </si>
  <si>
    <t>A05</t>
  </si>
  <si>
    <t>Middels</t>
  </si>
  <si>
    <t>Mindre underskudd og lønn over periodisert budsjett</t>
  </si>
  <si>
    <t>Bruk naturlig avgang og vakansestyring, og gjennomgå emner med lav fyllingsgrad før vårplanleggingen låses.</t>
  </si>
  <si>
    <t>Helårsprognose ≥ 0 og lønn innen ny månedsramme</t>
  </si>
  <si>
    <t>🟡 Følg opp</t>
  </si>
  <si>
    <t>A06</t>
  </si>
  <si>
    <t>Lav</t>
  </si>
  <si>
    <t>Positivt resultat, men inntektsgap på NFR</t>
  </si>
  <si>
    <t>Bevar kostnadsdisiplinen og gjennomfør milepælsfakturering på forskningsprosjekter uten å disponere forventet overskudd på nytt.</t>
  </si>
  <si>
    <t>Resultat ≥ 2,0 MNOK og NFR-gap lukket</t>
  </si>
  <si>
    <t>🟢 Kontroller</t>
  </si>
  <si>
    <t>A07</t>
  </si>
  <si>
    <t>Positivt resultat; porteføljetiltak allerede vedtatt</t>
  </si>
  <si>
    <t>Gjennomfør emnesammenslåing med kontroll av studentgjennomføring og sikre at tiltaket ikke reduserer kritisk undervisningskapasitet.</t>
  </si>
  <si>
    <t>31.03.2027</t>
  </si>
  <si>
    <t>Realisert effekt ≥ 3,5 MNOK og stabile studiepoeng</t>
  </si>
  <si>
    <t>🟢 Planlagt</t>
  </si>
  <si>
    <t>A08</t>
  </si>
  <si>
    <t>Alle enheter</t>
  </si>
  <si>
    <t>Fastlønn over periodisert budsjett</t>
  </si>
  <si>
    <t>Innfør sentral godkjenning av nyansettelser og månedlig avstemming mellom årsverk, lønnskjøring og budsjett per enhet.</t>
  </si>
  <si>
    <t>HR-dir. / Øk.dir.</t>
  </si>
  <si>
    <t>Månedlig lønnsavvik ≤ 0,5 %</t>
  </si>
  <si>
    <t>A09</t>
  </si>
  <si>
    <t>Forskningsporteføljen</t>
  </si>
  <si>
    <t>Lavere NFR-inntekt enn periodisert budsjett</t>
  </si>
  <si>
    <t>Koble prosjektmilepæler til fakturaplan, bokfør opptjent inntekt korrekt og eskaler forsinkede leveranser ukentlig.</t>
  </si>
  <si>
    <t>Forskningsdirektør</t>
  </si>
  <si>
    <t>Minst 3,8 MNOK inntektsgap lukket eller dokumentert omperiodisert</t>
  </si>
  <si>
    <t>A10</t>
  </si>
  <si>
    <t>Tiltaksporteføljen</t>
  </si>
  <si>
    <t>Forventet effekt er ikke fullt realisert</t>
  </si>
  <si>
    <t>Krev evidens for realisert effekt, revider tiltak med risiko og legg inn erstatningstiltak for resterende gap.</t>
  </si>
  <si>
    <t>Realisert effekt = 15,0 MNOK; gap = 0</t>
  </si>
  <si>
    <t>🔴 Eskaler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</si>
</sst>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%"/>
    <numFmt numFmtId="167" formatCode="\+0.0;\-0.0;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"/>
    </font>
    <font>
      <sz val="10"/>
      <color theme="1"/>
      <name val="Aptos"/>
    </font>
    <font>
      <b/>
      <sz val="10"/>
      <color rgb="FFFFFFFF"/>
      <name val="Aptos"/>
    </font>
    <font>
      <b/>
      <sz val="22"/>
      <color rgb="FFFFFFFF"/>
      <name val="Aptos"/>
    </font>
    <font>
      <i/>
      <sz val="10"/>
      <color rgb="FF17365D"/>
      <name val="Aptos"/>
    </font>
    <font>
      <b/>
      <sz val="19"/>
      <color theme="1"/>
      <name val="Aptos"/>
    </font>
    <font>
      <b/>
      <sz val="10"/>
      <color rgb="FF17365D"/>
      <name val="Aptos"/>
    </font>
    <font>
      <b/>
      <sz val="18"/>
      <color theme="1"/>
      <name val="Aptos"/>
    </font>
    <font>
      <b/>
      <sz val="11"/>
      <color rgb="FFFFFFFF"/>
      <name val="Aptos"/>
    </font>
    <font>
      <b/>
      <sz val="20"/>
      <color rgb="FFFFFFFF"/>
      <name val="Aptos"/>
    </font>
    <font>
      <i/>
      <sz val="11"/>
      <color rgb="FF17365D"/>
      <name val="Aptos"/>
    </font>
    <font>
      <b/>
      <sz val="16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4CC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3" fontId="6" fillId="5" borderId="0" xfId="0" applyNumberFormat="1" applyFont="1" applyFill="1" applyAlignment="1">
      <alignment horizontal="center" vertical="center"/>
    </xf>
    <xf numFmtId="2" fontId="6" fillId="5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166" fontId="2" fillId="0" borderId="0" xfId="0" applyNumberFormat="1" applyFont="1" applyAlignment="1">
      <alignment vertical="center"/>
    </xf>
    <xf numFmtId="165" fontId="8" fillId="5" borderId="0" xfId="0" applyNumberFormat="1" applyFon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9" fillId="2" borderId="0" xfId="0" applyFont="1" applyFill="1"/>
    <xf numFmtId="0" fontId="10" fillId="2" borderId="0" xfId="0" applyFont="1" applyFill="1" applyAlignment="1">
      <alignment vertical="center"/>
    </xf>
    <xf numFmtId="0" fontId="11" fillId="8" borderId="0" xfId="0" applyFont="1" applyFill="1"/>
    <xf numFmtId="0" fontId="9" fillId="4" borderId="0" xfId="0" applyFont="1" applyFill="1" applyAlignment="1">
      <alignment horizontal="center"/>
    </xf>
    <xf numFmtId="0" fontId="9" fillId="4" borderId="0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67" fontId="1" fillId="0" borderId="0" xfId="0" applyNumberFormat="1" applyFont="1" applyAlignment="1">
      <alignment horizontal="right"/>
    </xf>
    <xf numFmtId="0" fontId="1" fillId="0" borderId="0" xfId="0" applyFont="1" applyAlignment="1">
      <alignment wrapText="1"/>
    </xf>
    <xf numFmtId="165" fontId="12" fillId="9" borderId="0" xfId="0" applyNumberFormat="1" applyFont="1" applyFill="1" applyAlignment="1">
      <alignment horizontal="center"/>
    </xf>
    <xf numFmtId="165" fontId="12" fillId="7" borderId="0" xfId="0" applyNumberFormat="1" applyFont="1" applyFill="1" applyAlignment="1">
      <alignment horizontal="center"/>
    </xf>
    <xf numFmtId="1" fontId="12" fillId="9" borderId="0" xfId="0" applyNumberFormat="1" applyFont="1" applyFill="1" applyAlignment="1">
      <alignment horizontal="center"/>
    </xf>
  </cellXfs>
  <cellStyles count="1">
    <cellStyle name="Normal" xfId="0" builtinId="0"/>
  </cellStyles>
  <dxfs count="252">
    <dxf>
      <font>
        <b/>
        <i val="0"/>
        <color rgb="FF274E13"/>
      </font>
      <fill>
        <patternFill patternType="solid">
          <fgColor indexed="64"/>
          <bgColor rgb="FFD9EAD3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274E13"/>
      </font>
      <fill>
        <patternFill patternType="solid">
          <fgColor indexed="64"/>
          <bgColor rgb="FFD9EAD3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ont>
        <name val="Aptos"/>
      </font>
      <alignment wrapText="1"/>
    </dxf>
    <dxf>
      <font>
        <name val="Aptos"/>
      </font>
      <alignment wrapText="1"/>
    </dxf>
    <dxf>
      <font>
        <name val="Aptos"/>
      </font>
      <alignment wrapText="1"/>
    </dxf>
    <dxf>
      <font>
        <name val="Aptos"/>
      </font>
      <alignment horizontal="center"/>
    </dxf>
    <dxf>
      <font>
        <name val="Aptos"/>
      </font>
      <alignment horizontal="center"/>
    </dxf>
    <dxf>
      <font>
        <name val="Aptos"/>
      </font>
      <numFmt numFmtId="167" formatCode="\+0.0;\-0.0;0.0"/>
      <alignment horizontal="right"/>
    </dxf>
    <dxf>
      <font>
        <name val="Aptos"/>
      </font>
      <alignment horizontal="center"/>
    </dxf>
    <dxf>
      <font>
        <name val="Aptos"/>
      </font>
      <alignment horizontal="center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006100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DE9E7"/>
        </patternFill>
      </fill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  <alignment wrapText="1"/>
    </dxf>
    <dxf>
      <font>
        <sz val="10"/>
        <name val="Aptos"/>
      </font>
      <alignment wrapText="1"/>
    </dxf>
    <dxf>
      <font>
        <sz val="10"/>
        <name val="Aptos"/>
      </font>
      <alignment wrapText="1"/>
    </dxf>
    <dxf>
      <font>
        <sz val="10"/>
        <name val="Aptos"/>
      </font>
      <alignment wrapText="1"/>
    </dxf>
    <dxf>
      <font>
        <sz val="10"/>
        <name val="Aptos"/>
      </font>
      <alignment wrapText="1"/>
    </dxf>
    <dxf>
      <font>
        <sz val="10"/>
        <name val="Aptos"/>
      </font>
      <alignment wrapText="1"/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  <numFmt numFmtId="19" formatCode="m/d/yyyy"/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  <dxf>
      <font>
        <sz val="10"/>
        <name val="Aptos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EVM-utvikling: plan, opptjent verdi og kostnad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'Overordnet rapport'!$B$14</c:f>
              <c:strCache>
                <c:ptCount val="1"/>
                <c:pt idx="0">
                  <c:v>PV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'Overordnet rapport'!$A$15:$A$26</c:f>
              <c:strCache>
                <c:ptCount val="12"/>
                <c:pt idx="0">
                  <c:v>Januar</c:v>
                </c:pt>
                <c:pt idx="1">
                  <c:v>Februar</c:v>
                </c:pt>
                <c:pt idx="2">
                  <c:v>Mars</c:v>
                </c:pt>
                <c:pt idx="3">
                  <c:v>April</c:v>
                </c:pt>
                <c:pt idx="4">
                  <c:v>Mai</c:v>
                </c:pt>
                <c:pt idx="5">
                  <c:v>Juni</c:v>
                </c:pt>
                <c:pt idx="6">
                  <c:v>Juli</c:v>
                </c:pt>
                <c:pt idx="7">
                  <c:v>August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'Overordnet rapport'!$B$15:$B$26</c:f>
              <c:numCache>
                <c:formatCode>#,##0.0</c:formatCode>
                <c:ptCount val="12"/>
                <c:pt idx="0">
                  <c:v>121</c:v>
                </c:pt>
                <c:pt idx="1">
                  <c:v>243</c:v>
                </c:pt>
                <c:pt idx="2">
                  <c:v>371</c:v>
                </c:pt>
                <c:pt idx="3">
                  <c:v>498</c:v>
                </c:pt>
                <c:pt idx="4">
                  <c:v>629</c:v>
                </c:pt>
                <c:pt idx="5">
                  <c:v>774</c:v>
                </c:pt>
                <c:pt idx="6">
                  <c:v>869</c:v>
                </c:pt>
                <c:pt idx="7">
                  <c:v>992</c:v>
                </c:pt>
                <c:pt idx="8">
                  <c:v>1124</c:v>
                </c:pt>
                <c:pt idx="9">
                  <c:v>1256</c:v>
                </c:pt>
                <c:pt idx="10">
                  <c:v>1387.8</c:v>
                </c:pt>
                <c:pt idx="11">
                  <c:v>1507.8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D-4DD5-80C1-17A968DDCA1B}"/>
            </c:ext>
          </c:extLst>
        </c:ser>
        <c:ser>
          <c:idx val="1"/>
          <c:order val="1"/>
          <c:tx>
            <c:strRef>
              <c:f>'Overordnet rapport'!$C$14</c:f>
              <c:strCache>
                <c:ptCount val="1"/>
                <c:pt idx="0">
                  <c:v>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'Overordnet rapport'!$A$15:$A$26</c:f>
              <c:strCache>
                <c:ptCount val="12"/>
                <c:pt idx="0">
                  <c:v>Januar</c:v>
                </c:pt>
                <c:pt idx="1">
                  <c:v>Februar</c:v>
                </c:pt>
                <c:pt idx="2">
                  <c:v>Mars</c:v>
                </c:pt>
                <c:pt idx="3">
                  <c:v>April</c:v>
                </c:pt>
                <c:pt idx="4">
                  <c:v>Mai</c:v>
                </c:pt>
                <c:pt idx="5">
                  <c:v>Juni</c:v>
                </c:pt>
                <c:pt idx="6">
                  <c:v>Juli</c:v>
                </c:pt>
                <c:pt idx="7">
                  <c:v>August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'Overordnet rapport'!$C$15:$C$26</c:f>
              <c:numCache>
                <c:formatCode>#,##0.0</c:formatCode>
                <c:ptCount val="12"/>
                <c:pt idx="0">
                  <c:v>111</c:v>
                </c:pt>
                <c:pt idx="1">
                  <c:v>223</c:v>
                </c:pt>
                <c:pt idx="2">
                  <c:v>341</c:v>
                </c:pt>
                <c:pt idx="3">
                  <c:v>458</c:v>
                </c:pt>
                <c:pt idx="4">
                  <c:v>578</c:v>
                </c:pt>
                <c:pt idx="5">
                  <c:v>711</c:v>
                </c:pt>
                <c:pt idx="6">
                  <c:v>799</c:v>
                </c:pt>
                <c:pt idx="7">
                  <c:v>912</c:v>
                </c:pt>
                <c:pt idx="8">
                  <c:v>1034</c:v>
                </c:pt>
                <c:pt idx="9">
                  <c:v>1155.5</c:v>
                </c:pt>
                <c:pt idx="10">
                  <c:v>1276.8</c:v>
                </c:pt>
                <c:pt idx="11">
                  <c:v>1344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8D-4DD5-80C1-17A968DDCA1B}"/>
            </c:ext>
          </c:extLst>
        </c:ser>
        <c:ser>
          <c:idx val="2"/>
          <c:order val="2"/>
          <c:tx>
            <c:strRef>
              <c:f>'Overordnet rapport'!$D$14</c:f>
              <c:strCache>
                <c:ptCount val="1"/>
                <c:pt idx="0">
                  <c:v>AC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'Overordnet rapport'!$A$15:$A$26</c:f>
              <c:strCache>
                <c:ptCount val="12"/>
                <c:pt idx="0">
                  <c:v>Januar</c:v>
                </c:pt>
                <c:pt idx="1">
                  <c:v>Februar</c:v>
                </c:pt>
                <c:pt idx="2">
                  <c:v>Mars</c:v>
                </c:pt>
                <c:pt idx="3">
                  <c:v>April</c:v>
                </c:pt>
                <c:pt idx="4">
                  <c:v>Mai</c:v>
                </c:pt>
                <c:pt idx="5">
                  <c:v>Juni</c:v>
                </c:pt>
                <c:pt idx="6">
                  <c:v>Juli</c:v>
                </c:pt>
                <c:pt idx="7">
                  <c:v>August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'Overordnet rapport'!$D$15:$D$26</c:f>
              <c:numCache>
                <c:formatCode>#,##0.0</c:formatCode>
                <c:ptCount val="12"/>
                <c:pt idx="0">
                  <c:v>114.5</c:v>
                </c:pt>
                <c:pt idx="1">
                  <c:v>229</c:v>
                </c:pt>
                <c:pt idx="2">
                  <c:v>350</c:v>
                </c:pt>
                <c:pt idx="3">
                  <c:v>469.5</c:v>
                </c:pt>
                <c:pt idx="4">
                  <c:v>593.5</c:v>
                </c:pt>
                <c:pt idx="5">
                  <c:v>758.5</c:v>
                </c:pt>
                <c:pt idx="6">
                  <c:v>848</c:v>
                </c:pt>
                <c:pt idx="7">
                  <c:v>966</c:v>
                </c:pt>
                <c:pt idx="8">
                  <c:v>1092</c:v>
                </c:pt>
                <c:pt idx="9">
                  <c:v>1218.5</c:v>
                </c:pt>
                <c:pt idx="10">
                  <c:v>1344</c:v>
                </c:pt>
                <c:pt idx="11">
                  <c:v>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8D-4DD5-80C1-17A968DD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3439536"/>
        <c:axId val="35043088"/>
      </c:lineChart>
      <c:catAx>
        <c:axId val="180343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5043088"/>
        <c:crosses val="autoZero"/>
        <c:auto val="1"/>
        <c:lblAlgn val="ctr"/>
        <c:lblOffset val="100"/>
        <c:noMultiLvlLbl val="0"/>
      </c:catAx>
      <c:valAx>
        <c:axId val="350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MNOK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0343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Netto resultat per fakultet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Fakultetsrapport!$D$5</c:f>
              <c:strCache>
                <c:ptCount val="1"/>
                <c:pt idx="0">
                  <c:v>Netto resultat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Fakultetsrapport!$A$6:$A$10</c:f>
              <c:strCache>
                <c:ptCount val="5"/>
                <c:pt idx="0">
                  <c:v>Handelshøyskolen (HHU)</c:v>
                </c:pt>
                <c:pt idx="1">
                  <c:v>Fakultet for teknologi og realfag (TEK)</c:v>
                </c:pt>
                <c:pt idx="2">
                  <c:v>Fakultet for helse- og idrettsvitenskap (HEL)</c:v>
                </c:pt>
                <c:pt idx="3">
                  <c:v>Fakultet for samfunnsvitenskap (SAM)</c:v>
                </c:pt>
                <c:pt idx="4">
                  <c:v>Fakultet for humaniora og pedagogikk (HUM)</c:v>
                </c:pt>
              </c:strCache>
            </c:strRef>
          </c:cat>
          <c:val>
            <c:numRef>
              <c:f>Fakultetsrapport!$D$6:$D$10</c:f>
              <c:numCache>
                <c:formatCode>#,##0.0</c:formatCode>
                <c:ptCount val="5"/>
                <c:pt idx="0">
                  <c:v>2.2000000000000002</c:v>
                </c:pt>
                <c:pt idx="1">
                  <c:v>-1.9</c:v>
                </c:pt>
                <c:pt idx="2">
                  <c:v>-5.3</c:v>
                </c:pt>
                <c:pt idx="3">
                  <c:v>3</c:v>
                </c:pt>
                <c:pt idx="4">
                  <c:v>-0.3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CE-498B-8A21-CF0154989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37303824"/>
        <c:axId val="1308008464"/>
      </c:barChart>
      <c:catAx>
        <c:axId val="133730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08008464"/>
        <c:crosses val="autoZero"/>
        <c:auto val="1"/>
        <c:lblAlgn val="ctr"/>
        <c:lblOffset val="100"/>
        <c:noMultiLvlLbl val="0"/>
      </c:catAx>
      <c:valAx>
        <c:axId val="1308008464"/>
        <c:scaling>
          <c:orientation val="minMax"/>
          <c:max val="4"/>
          <c:min val="-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3730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12</xdr:row>
      <xdr:rowOff>15875</xdr:rowOff>
    </xdr:from>
    <xdr:to>
      <xdr:col>14</xdr:col>
      <xdr:colOff>15875</xdr:colOff>
      <xdr:row>27</xdr:row>
      <xdr:rowOff>66675</xdr:rowOff>
    </xdr:to>
    <xdr:graphicFrame macro="">
      <xdr:nvGraphicFramePr>
        <xdr:cNvPr id="2" name="EVM-utvikling">
          <a:extLst>
            <a:ext uri="{FF2B5EF4-FFF2-40B4-BE49-F238E27FC236}">
              <a16:creationId xmlns:a16="http://schemas.microsoft.com/office/drawing/2014/main" id="{19B3A047-9EB7-D43E-0277-4FFF935AB5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6350</xdr:colOff>
      <xdr:row>4</xdr:row>
      <xdr:rowOff>6350</xdr:rowOff>
    </xdr:from>
    <xdr:to>
      <xdr:col>19</xdr:col>
      <xdr:colOff>6350</xdr:colOff>
      <xdr:row>18</xdr:row>
      <xdr:rowOff>53975</xdr:rowOff>
    </xdr:to>
    <xdr:graphicFrame macro="">
      <xdr:nvGraphicFramePr>
        <xdr:cNvPr id="2" name="Netto resultat per fakultet">
          <a:extLst>
            <a:ext uri="{FF2B5EF4-FFF2-40B4-BE49-F238E27FC236}">
              <a16:creationId xmlns:a16="http://schemas.microsoft.com/office/drawing/2014/main" id="{EFD0C47A-0DE8-6E56-EE4C-3BCD4267A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D663E9-034D-464E-8AE9-5A507C746071}" name="tblDimAccountHierarchy" displayName="tblDimAccountHierarchy" ref="A1:L47" totalsRowShown="0" headerRowDxfId="239" dataDxfId="238">
  <autoFilter ref="A1:L47" xr:uid="{84D663E9-034D-464E-8AE9-5A507C746071}"/>
  <tableColumns count="12">
    <tableColumn id="1" xr3:uid="{F8FE9A1E-7697-469C-AA5C-15B5D4DE540B}" name="Konto" dataDxfId="251"/>
    <tableColumn id="2" xr3:uid="{30C39250-503A-44CE-8AE9-B7E63F2D1183}" name="Kontonavn" dataDxfId="250"/>
    <tableColumn id="3" xr3:uid="{C3A3DAEC-D48D-4D7A-89D9-0EA636CFB6A4}" name="Nivaa1_Kontoklasse" dataDxfId="249"/>
    <tableColumn id="4" xr3:uid="{534710EE-80C2-45BC-9E64-43350B163766}" name="Nivaa1_Navn" dataDxfId="248"/>
    <tableColumn id="5" xr3:uid="{E836AE4B-4827-4F54-9E22-2FA2E5CA0859}" name="Nivaa2_Kontogruppe" dataDxfId="247"/>
    <tableColumn id="6" xr3:uid="{5F31420F-F85B-4E65-B1CC-CDFE7924F70D}" name="Nivaa2_Navn" dataDxfId="246"/>
    <tableColumn id="7" xr3:uid="{8F2D2C95-997E-45F1-8E94-748F18229AB8}" name="Nivaa3_Standardkonto" dataDxfId="245"/>
    <tableColumn id="8" xr3:uid="{1FB1652F-F291-49B1-BAD4-5EDC77E25C16}" name="Nivaa3_Navn" dataDxfId="244"/>
    <tableColumn id="9" xr3:uid="{535C5383-00ED-4397-8E4A-B40639B4E14E}" name="Nivaa4_Underkonto" dataDxfId="243"/>
    <tableColumn id="10" xr3:uid="{9FBCB0C0-5C25-4DB0-8EDA-4DA0191AF2DE}" name="Nivaa4_Navn" dataDxfId="242"/>
    <tableColumn id="11" xr3:uid="{EA62427D-6216-4EC9-9B3C-C52280F559F0}" name="Kontotype" dataDxfId="241"/>
    <tableColumn id="12" xr3:uid="{D3E3B10D-C5CF-427E-993E-469F08C6793F}" name="SRS_regnskapslinje" dataDxfId="2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89B644-6E95-4377-8A6A-C1ABC757FAB3}" name="tblDimDate" displayName="tblDimDate" ref="A1:G13" totalsRowShown="0" headerRowDxfId="230" dataDxfId="229">
  <autoFilter ref="A1:G13" xr:uid="{4B89B644-6E95-4377-8A6A-C1ABC757FAB3}"/>
  <tableColumns count="7">
    <tableColumn id="1" xr3:uid="{BC987B65-2C2E-40CC-8DCB-2096AD6D29EC}" name="DatoNokkel" dataDxfId="237"/>
    <tableColumn id="2" xr3:uid="{E225361E-10FC-42C6-B3CB-9D418ADC623F}" name="Dato" dataDxfId="236"/>
    <tableColumn id="3" xr3:uid="{A71F2189-24E4-423F-BAC6-60BD8AC741E9}" name="Aar" dataDxfId="235"/>
    <tableColumn id="4" xr3:uid="{F8EEB56D-8282-4DDB-A45A-FBDAE15A1909}" name="MaanedNummer" dataDxfId="234"/>
    <tableColumn id="5" xr3:uid="{8BE913BF-6C3A-4D13-9345-82068054E2D8}" name="MaanedNavn" dataDxfId="233"/>
    <tableColumn id="6" xr3:uid="{A018CE8C-277A-4411-B938-0B474D78F2AD}" name="Kvartal" dataDxfId="232"/>
    <tableColumn id="7" xr3:uid="{E2A5BCEF-E27C-43CD-B8F7-E3C94059BC5D}" name="StatusPr30Sep" dataDxfId="2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D08B17-07C4-46C1-A618-A13C83FB0133}" name="tblDimForecastVersion" displayName="tblDimForecastVersion" ref="A1:C5" totalsRowShown="0" headerRowDxfId="225" dataDxfId="224">
  <autoFilter ref="A1:C5" xr:uid="{4AD08B17-07C4-46C1-A618-A13C83FB0133}"/>
  <tableColumns count="3">
    <tableColumn id="1" xr3:uid="{BB4DFBE3-BA23-445A-9BB9-6A58AD3B2EA9}" name="VersjonKode" dataDxfId="228"/>
    <tableColumn id="2" xr3:uid="{E7B5D9E1-A0E8-43ED-90EE-61E7D2F66BEB}" name="VersjonNavn" dataDxfId="227"/>
    <tableColumn id="3" xr3:uid="{5E6B3AB9-64B6-4ACB-980A-1A3C30473684}" name="Beskrivelse" dataDxfId="2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53D0FF1-0460-45A1-A4B5-643408FFB716}" name="tblDimKPI" displayName="tblDimKPI" ref="A1:L25" totalsRowShown="0" headerRowDxfId="217" dataDxfId="216">
  <autoFilter ref="A1:L25" xr:uid="{A53D0FF1-0460-45A1-A4B5-643408FFB716}"/>
  <tableColumns count="12">
    <tableColumn id="1" xr3:uid="{55FD0CC2-562B-4D44-9963-6A717A6F364D}" name="KPI_ID" dataDxfId="223"/>
    <tableColumn id="2" xr3:uid="{4BA426C9-2B00-45C9-89E2-25CE7DDED844}" name="KPI_Gruppe" dataDxfId="222"/>
    <tableColumn id="3" xr3:uid="{B22F2FA8-F804-466C-9542-FF3ABC77C0F4}" name="KPI_Navn" dataDxfId="221"/>
    <tableColumn id="4" xr3:uid="{BCD3D6B7-E799-489B-9A87-2786D6AED638}" name="Enhet" dataDxfId="220"/>
    <tableColumn id="5" xr3:uid="{07F8A9C8-2F85-4F3F-91F4-AB1486042F3A}" name="Tufte_Format" dataDxfId="219"/>
    <tableColumn id="6" xr3:uid="{328EF9F1-6579-4987-83DE-00BE3C78DF59}" name="Sortering" dataDxfId="218"/>
    <tableColumn id="7" xr3:uid="{A7464BC4-3390-45C4-8520-0AADA0949ECD}" name="Beskrivelse" dataDxfId="215"/>
    <tableColumn id="8" xr3:uid="{E781A6EB-A4F8-45D5-9362-B115433E1003}" name="Innhold_Definisjon" dataDxfId="214"/>
    <tableColumn id="9" xr3:uid="{8452AE68-279D-4DA7-B985-33F79D96700B}" name="Styringsregel_Maal" dataDxfId="213"/>
    <tableColumn id="10" xr3:uid="{C96A0BFF-0418-438B-A67C-25AAED4D1FDC}" name="MoM_Utvikling" dataDxfId="212"/>
    <tableColumn id="11" xr3:uid="{124ADEE4-8EBD-4464-BBF2-153FB2BA6877}" name="YoY_Vekst" dataDxfId="211"/>
    <tableColumn id="12" xr3:uid="{0BBA42FE-D00E-4A68-8244-565CC71E80D8}" name="RAG_Status" dataDxfId="2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8C8BE9-E954-46F6-99A4-B079E8A7919C}" name="tblDimOrganization" displayName="tblDimOrganization" ref="A1:H8" totalsRowShown="0" headerRowDxfId="201" dataDxfId="200">
  <autoFilter ref="A1:H8" xr:uid="{B28C8BE9-E954-46F6-99A4-B079E8A7919C}"/>
  <tableColumns count="8">
    <tableColumn id="1" xr3:uid="{61191388-C7D1-4C68-8790-71427FBFEADD}" name="OrgKode" dataDxfId="209"/>
    <tableColumn id="2" xr3:uid="{A8450237-023C-463E-A070-4A79F86B21DA}" name="Enhet" dataDxfId="208"/>
    <tableColumn id="3" xr3:uid="{3DEA3FE8-7084-4B13-8DAB-928AC96E970C}" name="Kortnavn" dataDxfId="207"/>
    <tableColumn id="4" xr3:uid="{589623B7-B799-4C23-A7BD-7B21A786E39C}" name="OverordnetEnhet" dataDxfId="206"/>
    <tableColumn id="5" xr3:uid="{7BF15AD4-F576-4DC9-91D3-DE401546947F}" name="Nivaa" dataDxfId="205"/>
    <tableColumn id="6" xr3:uid="{9121DCCA-65B9-4F3C-932E-38B787E3684C}" name="Type" dataDxfId="204"/>
    <tableColumn id="7" xr3:uid="{B63811F1-7F7C-496B-A5B5-A438097E93D3}" name="Leder_Tittel" dataDxfId="203"/>
    <tableColumn id="8" xr3:uid="{AEFC1C91-52AC-4786-BBFF-0F1D6D853AB3}" name="Leder_Epost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0F9199-3503-4177-A754-F22E77C8342C}" name="tblFactAction" displayName="tblFactAction" ref="A1:I6" totalsRowShown="0" headerRowDxfId="190" dataDxfId="189">
  <autoFilter ref="A1:I6" xr:uid="{ED0F9199-3503-4177-A754-F22E77C8342C}"/>
  <tableColumns count="9">
    <tableColumn id="1" xr3:uid="{5169EFA3-10C7-44A1-A5B0-ABD1E5B05132}" name="TiltakID" dataDxfId="199"/>
    <tableColumn id="2" xr3:uid="{7E64BE01-FEC6-4F01-8DE9-77A58659B616}" name="TiltakNavn" dataDxfId="198"/>
    <tableColumn id="3" xr3:uid="{E8C1E506-FE5F-4DE9-8BBB-DDF0D4A2AF77}" name="OrgKode" dataDxfId="197"/>
    <tableColumn id="4" xr3:uid="{1EAC356B-053E-4B4A-A958-55243BB68A87}" name="ForventetEffekt_MNOK" dataDxfId="196"/>
    <tableColumn id="5" xr3:uid="{0CB30ED6-BBD9-4CD4-BF2B-AAF50207EA2B}" name="RealisertEffekt_MNOK" dataDxfId="195"/>
    <tableColumn id="6" xr3:uid="{13CFB7BE-B39C-4E3E-B966-D80E3E7DEF03}" name="Frist" dataDxfId="194"/>
    <tableColumn id="7" xr3:uid="{A3262958-69AD-4D96-85DE-F751CAA2F237}" name="Status" dataDxfId="193"/>
    <tableColumn id="8" xr3:uid="{63B9E637-6C37-48B6-94E8-D6DF9AB419EA}" name="Ansvarlig" dataDxfId="192"/>
    <tableColumn id="9" xr3:uid="{6E723826-C6E2-4325-AE74-1C1F265359D0}" name="RAG_Status" dataDxfId="19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5F54BE-E22E-42F0-8C36-D7DA2C69B823}" name="tblFactEVM" displayName="tblFactEVM" ref="A1:K13" totalsRowShown="0" headerRowDxfId="177" dataDxfId="176">
  <autoFilter ref="A1:K13" xr:uid="{755F54BE-E22E-42F0-8C36-D7DA2C69B823}"/>
  <tableColumns count="11">
    <tableColumn id="1" xr3:uid="{FA24FEA1-1E65-4BC6-9F43-3F0B5F197068}" name="DatoNokkel" dataDxfId="188"/>
    <tableColumn id="2" xr3:uid="{1141150A-68D1-47FE-ACC1-A4CE97022687}" name="OrgKode" dataDxfId="187"/>
    <tableColumn id="3" xr3:uid="{185E0E81-BE92-40B6-8824-28F5CA7F6A05}" name="Planned_Value_PV_MNOK" dataDxfId="186"/>
    <tableColumn id="4" xr3:uid="{C47CFD9B-57E8-496A-8975-68BE0FCD9B6B}" name="Earned_Value_EV_MNOK" dataDxfId="185"/>
    <tableColumn id="5" xr3:uid="{7BD08159-E3FC-4B18-97E9-1DBBFB2C9867}" name="Actual_Cost_AC_MNOK" dataDxfId="184"/>
    <tableColumn id="6" xr3:uid="{157CDC44-FD4F-4F4E-AA75-C8C0E53C7B2B}" name="Budget_At_Completion_BAC_MNOK" dataDxfId="183"/>
    <tableColumn id="7" xr3:uid="{7DFD0335-3839-4810-B270-005F44EF3B55}" name="Estimate_At_Completion_EAC_MNOK" dataDxfId="182"/>
    <tableColumn id="8" xr3:uid="{38FC6606-6A2A-4597-AB97-2C72645AE166}" name="Estimate_To_Complete_ETC_MNOK" dataDxfId="181"/>
    <tableColumn id="9" xr3:uid="{88653132-A46D-46FC-9F77-FD6CD2BFF861}" name="Cost_Performance_Index_CPI" dataDxfId="180"/>
    <tableColumn id="10" xr3:uid="{4AC268D4-F13E-48BD-BCAF-4DE5F5C48D65}" name="Schedule_Performance_Index_SPI" dataDxfId="179"/>
    <tableColumn id="11" xr3:uid="{B8301F0D-A987-4650-9439-A8FD561504CD}" name="Variance_At_Completion_VAC_MNOK" dataDxfId="17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85443E-F847-4BC8-A464-A040DD0D230D}" name="tblFactFacultyKPI" displayName="tblFactFacultyKPI" ref="A1:T8" totalsRowShown="0" headerRowDxfId="155" dataDxfId="154">
  <autoFilter ref="A1:T8" xr:uid="{F885443E-F847-4BC8-A464-A040DD0D230D}"/>
  <tableColumns count="20">
    <tableColumn id="1" xr3:uid="{DD3D6C91-5CE4-43AC-BC70-271BFED77648}" name="OrgKode" dataDxfId="175"/>
    <tableColumn id="2" xr3:uid="{6E7B48CB-5FBF-4314-AD67-F52E3FC67303}" name="Fakultet" dataDxfId="174"/>
    <tableColumn id="3" xr3:uid="{2EB29D4F-5C14-4CCA-B438-5279601DDB10}" name="Statlig_Bevilgning_MNOK" dataDxfId="173"/>
    <tableColumn id="4" xr3:uid="{209006CD-598F-4AFE-88A4-F6692363F9A8}" name="BOA_Andre_Inntekt_MNOK" dataDxfId="172"/>
    <tableColumn id="5" xr3:uid="{33B44D16-EC6F-4D28-95A7-D2B4737F029E}" name="Total_Inntekt_MNOK" dataDxfId="171"/>
    <tableColumn id="6" xr3:uid="{DC0C6359-0E85-43C5-8C3F-80519B33FC2B}" name="Lonnskostnader_MNOK" dataDxfId="170"/>
    <tableColumn id="7" xr3:uid="{FE3C9330-A750-43D4-81A5-B6AAE93B835E}" name="Driftskostnader_MNOK" dataDxfId="169"/>
    <tableColumn id="8" xr3:uid="{0755C48B-E61C-490C-814C-9D1ACEC36797}" name="Investeringer_Capex_MNOK" dataDxfId="168"/>
    <tableColumn id="9" xr3:uid="{52FBD0BE-C547-4C83-9D0A-D80DAFABFC5C}" name="Total_Kostnad_MNOK" dataDxfId="167"/>
    <tableColumn id="10" xr3:uid="{2E662858-67E7-47A3-9D0C-DD321FC0B3F2}" name="Netto_Resultat_MNOK" dataDxfId="166"/>
    <tableColumn id="11" xr3:uid="{CFEC00DB-495A-4CEC-AC81-8CBDBFE38DCA}" name="Lonnsandel_Pct" dataDxfId="165"/>
    <tableColumn id="12" xr3:uid="{431F64D8-FD19-4A7C-8E18-C1A083B2E4B0}" name="Aarsverk_UF" dataDxfId="164"/>
    <tableColumn id="13" xr3:uid="{98821F7E-E0F9-4564-8A0F-6985A45AF1D1}" name="Aarsverk_TA" dataDxfId="163"/>
    <tableColumn id="14" xr3:uid="{E957A4F6-20D7-4DC9-9F8F-7687FFFFDB37}" name="Total_Aarsverk" dataDxfId="162"/>
    <tableColumn id="15" xr3:uid="{CBE29808-3DB7-4DF4-995F-0905F1C2225E}" name="Antall_Ansatte" dataDxfId="161"/>
    <tableColumn id="16" xr3:uid="{0E9835C5-E2E8-4B69-A953-F89B9540D6BC}" name="Antall_Studenter" dataDxfId="160"/>
    <tableColumn id="17" xr3:uid="{2E2CF9B5-7E6E-44D0-86CF-A767D7F11A30}" name="SPE60_Helarsstudenter" dataDxfId="159"/>
    <tableColumn id="18" xr3:uid="{8FA54587-A5F6-44E0-80BC-873E1E666E9B}" name="Studenter_Pr_Faglig_ÅV" dataDxfId="158"/>
    <tableColumn id="19" xr3:uid="{654A5649-08DA-4D67-BA3D-BAA87196D6C0}" name="Kostnad_Pr_SPE60_NOK" dataDxfId="157"/>
    <tableColumn id="20" xr3:uid="{3B9D856F-56A8-49EF-99D3-D67133574C06}" name="RAG_Status" dataDxfId="15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9DE979-5187-4EA5-BBD5-82A4AB4953EE}" name="tblFactFTE" displayName="tblFactFTE" ref="A1:J73" totalsRowShown="0" headerRowDxfId="143" dataDxfId="142">
  <autoFilter ref="A1:J73" xr:uid="{339DE979-5187-4EA5-BBD5-82A4AB4953EE}"/>
  <tableColumns count="10">
    <tableColumn id="1" xr3:uid="{51D80B68-ED47-4840-B208-99746FF71F30}" name="DatoNokkel" dataDxfId="153"/>
    <tableColumn id="2" xr3:uid="{396A745C-59B9-4C65-BDCE-F062218E7859}" name="OrgKode" dataDxfId="152"/>
    <tableColumn id="3" xr3:uid="{66BA4FB5-9189-4BE7-9197-2EB561017040}" name="Aarsverk_UF" dataDxfId="151"/>
    <tableColumn id="4" xr3:uid="{CEE4FF59-9632-40FC-9E6C-5314B8BEF45A}" name="Aarsverk_TA" dataDxfId="150"/>
    <tableColumn id="5" xr3:uid="{04F13B12-66BE-4AE1-96F7-9D11D6A20994}" name="Aarsverk_Faktisk" dataDxfId="149"/>
    <tableColumn id="6" xr3:uid="{F9BDDE4C-CF84-4178-A59F-BDA385C21E05}" name="Aarsverk_Budsjett" dataDxfId="148"/>
    <tableColumn id="7" xr3:uid="{DB86D643-DEBA-4455-B6D3-A84A923F418E}" name="Antall_Ansatte" dataDxfId="147"/>
    <tableColumn id="8" xr3:uid="{2BCCC0C7-4871-4BEA-9952-1BD028FC0580}" name="Ubesatte_Vakanser" dataDxfId="146"/>
    <tableColumn id="9" xr3:uid="{44B6B2B0-CAEA-43DA-91B3-23DA5A46F346}" name="Faglig_Andel_Pct" dataDxfId="145"/>
    <tableColumn id="10" xr3:uid="{FB7F4382-36D4-4416-A425-28097792CF74}" name="VersjonKode" dataDxfId="1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63DDD7-030A-4B58-BF1E-D6DDB8F16724}" name="tblFactStudents" displayName="tblFactStudents" ref="A1:J7" totalsRowShown="0" headerRowDxfId="131" dataDxfId="130">
  <autoFilter ref="A1:J7" xr:uid="{1263DDD7-030A-4B58-BF1E-D6DDB8F16724}"/>
  <tableColumns count="10">
    <tableColumn id="1" xr3:uid="{E2411A4E-255E-4FA6-B827-F2B9A7728505}" name="Aar" dataDxfId="141"/>
    <tableColumn id="2" xr3:uid="{571A6DC3-5CD7-4DFD-AF66-14349DFCA1A8}" name="OrgKode" dataDxfId="140"/>
    <tableColumn id="3" xr3:uid="{425A2268-F06A-48ED-BED0-D75FA69D5796}" name="Registrerte_Studenter" dataDxfId="139"/>
    <tableColumn id="4" xr3:uid="{9D0C5F3F-B5A1-4828-A8F6-4E57B496D76F}" name="Avlagte_Studiepoeng_Totalt" dataDxfId="138"/>
    <tableColumn id="5" xr3:uid="{D1331FAA-72D1-4FED-A0BA-6FD7D634948F}" name="SPE60_Helarsstudenter" dataDxfId="137"/>
    <tableColumn id="6" xr3:uid="{224ED4B0-CEDE-4358-B92B-D567FA61733D}" name="KD_Kategori1_SPE60" dataDxfId="136"/>
    <tableColumn id="7" xr3:uid="{58B2EE27-1126-4B8A-9D70-2BED360E99F0}" name="KD_Kategori2_SPE60" dataDxfId="135"/>
    <tableColumn id="8" xr3:uid="{BC90D63B-3778-4806-8ED0-803E8DFF60D5}" name="KD_Kategori3_SPE60" dataDxfId="134"/>
    <tableColumn id="9" xr3:uid="{F2B08356-3C42-48A6-9640-5F389D461F5C}" name="Bestattandel_Pct" dataDxfId="133"/>
    <tableColumn id="10" xr3:uid="{961BDE17-3FF8-4FB0-8F73-F14C17557742}" name="Gjennomforing_Normert_Pct" dataDxfId="13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BEB3066-0D85-498C-8A19-59AA9F281447}" name="tblRelationships" displayName="tblRelationships" ref="A1:F14" totalsRowShown="0" headerRowDxfId="123" dataDxfId="122">
  <autoFilter ref="A1:F14" xr:uid="{5BEB3066-0D85-498C-8A19-59AA9F281447}"/>
  <tableColumns count="6">
    <tableColumn id="1" xr3:uid="{C4B94688-0AB6-43F8-AEEF-1361750FFFAE}" name="FraTabell" dataDxfId="129"/>
    <tableColumn id="2" xr3:uid="{72DEDF44-5A9D-4642-A6F1-7F119D03CF42}" name="FraKolonne" dataDxfId="128"/>
    <tableColumn id="3" xr3:uid="{D55D98BB-1630-4293-8900-5698E521D662}" name="TilTabell" dataDxfId="127"/>
    <tableColumn id="4" xr3:uid="{45872D6A-7AA2-48E5-AE60-E6F440336800}" name="TilKolonne" dataDxfId="126"/>
    <tableColumn id="5" xr3:uid="{385F798A-9B64-4F90-82E0-402351A1E162}" name="Kardinalitet" dataDxfId="125"/>
    <tableColumn id="6" xr3:uid="{CAA2D7CE-D08B-440F-BE85-2696DDCF5335}" name="Kryssfiltrering" dataDxfId="12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3E2DE1-CD3C-4C4D-B1AC-8F0B2DF3CA2B}" name="tblAvvikBudsjettActual" displayName="tblAvvikBudsjettActual" ref="A1:J37" totalsRowShown="0" headerRowDxfId="111" dataDxfId="110">
  <autoFilter ref="A1:J37" xr:uid="{003E2DE1-CD3C-4C4D-B1AC-8F0B2DF3CA2B}"/>
  <tableColumns count="10">
    <tableColumn id="1" xr3:uid="{1A1C48A9-83A6-4DBF-B9A9-43EAEE25D42D}" name="OrgKode" dataDxfId="121"/>
    <tableColumn id="2" xr3:uid="{9CC6D71B-B938-44C2-82A3-8A1EED973E78}" name="Enhet" dataDxfId="120"/>
    <tableColumn id="3" xr3:uid="{35515F73-A5F1-430B-9029-316872028CD6}" name="Fakultet" dataDxfId="119"/>
    <tableColumn id="4" xr3:uid="{AB9BDBF0-D3E4-4FAB-8005-A11A805B39A8}" name="Konto" dataDxfId="118"/>
    <tableColumn id="5" xr3:uid="{F5939D16-C659-48E2-84AB-8DC5D8FC486C}" name="Kontonavn" dataDxfId="117"/>
    <tableColumn id="6" xr3:uid="{9A328333-4B80-40E1-8A6D-A588D1FB47D6}" name="Kontoklasse" dataDxfId="116"/>
    <tableColumn id="7" xr3:uid="{E3CAAF83-5E7D-4DD8-B84C-52143991B748}" name="Actual_YTD_MNOK" dataDxfId="115"/>
    <tableColumn id="8" xr3:uid="{0D7AFDE3-728D-47C8-A6CE-79D4DE0E65C7}" name="Budsjett_YTD_MNOK" dataDxfId="114"/>
    <tableColumn id="9" xr3:uid="{F00BE456-3E7E-4DE2-B547-B02372911023}" name="Avvik_YTD_MNOK" dataDxfId="113"/>
    <tableColumn id="10" xr3:uid="{41C71CC5-DF15-4458-992D-395F1CDE7242}" name="Avvik_YTD_Pct" dataDxfId="11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613818F-16F1-4007-B633-D9AE23EF2CC7}" name="tblEVMSammendrag" displayName="tblEVMSammendrag" ref="A1:P13" totalsRowShown="0" headerRowDxfId="93" dataDxfId="92">
  <autoFilter ref="A1:P13" xr:uid="{A613818F-16F1-4007-B633-D9AE23EF2CC7}"/>
  <tableColumns count="16">
    <tableColumn id="1" xr3:uid="{931D3477-0286-4304-BC47-BD2F4D3DCC31}" name="DatoNokkel" dataDxfId="109"/>
    <tableColumn id="2" xr3:uid="{44931EA0-8899-4E44-B142-923F288C0C65}" name="MaanedNavn" dataDxfId="108"/>
    <tableColumn id="3" xr3:uid="{0A23B588-2AF0-4667-B2DA-D10E41D119E3}" name="Kvartal" dataDxfId="107"/>
    <tableColumn id="4" xr3:uid="{ACAC151B-C28B-4080-B028-FE43E0C29D00}" name="OrgKode" dataDxfId="106"/>
    <tableColumn id="5" xr3:uid="{61E39615-BF05-4B8E-A82B-0CCFF225E942}" name="Enhet" dataDxfId="105"/>
    <tableColumn id="6" xr3:uid="{126B9628-28A8-4B55-8902-90C404117BF4}" name="PV" dataDxfId="104"/>
    <tableColumn id="7" xr3:uid="{0DB13E6E-3A37-450E-BBD6-198CF3959DFF}" name="EV" dataDxfId="103"/>
    <tableColumn id="8" xr3:uid="{ABF3C18A-8AB5-4237-A194-DFBAA816B8C0}" name="AC" dataDxfId="102"/>
    <tableColumn id="9" xr3:uid="{F6D3C473-6FE9-49CA-B485-92A0CF117F56}" name="BAC" dataDxfId="101"/>
    <tableColumn id="10" xr3:uid="{C1BE9DA0-3B27-4B40-AB25-5BAEB799DE23}" name="EAC" dataDxfId="100"/>
    <tableColumn id="11" xr3:uid="{82C2360D-1D90-4B6A-A8B2-CB766B0D67C6}" name="ETC" dataDxfId="99"/>
    <tableColumn id="12" xr3:uid="{156FA1AE-652E-47BF-AF14-8909BEA49143}" name="CPI" dataDxfId="98"/>
    <tableColumn id="13" xr3:uid="{66B1BD1D-5C7B-4E64-BD44-8220D0DDB468}" name="SPI" dataDxfId="97"/>
    <tableColumn id="14" xr3:uid="{15FA1136-0580-49F3-BDF0-D171AD23FCA9}" name="VAC" dataDxfId="96"/>
    <tableColumn id="15" xr3:uid="{AD6791BD-8A04-469D-8C9B-CD5EDAF23281}" name="Cost_Variance_CV" dataDxfId="95"/>
    <tableColumn id="16" xr3:uid="{767C4B67-F4F6-4200-B2CB-AD75FFBDDD4C}" name="Schedule_Variance_SV" dataDxfId="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31CFF4-0C23-4A7D-8654-13A1769630BD}" name="tblFactBudget" displayName="tblFactBudget" ref="A1:I433" totalsRowShown="0" headerRowDxfId="82" dataDxfId="81">
  <autoFilter ref="A1:I433" xr:uid="{B331CFF4-0C23-4A7D-8654-13A1769630BD}"/>
  <tableColumns count="9">
    <tableColumn id="1" xr3:uid="{A4A71FE5-9018-4969-9A01-3F502782BF86}" name="DatoNokkel" dataDxfId="91"/>
    <tableColumn id="2" xr3:uid="{0DC43552-4EE7-4CBB-9BD5-033148CF25D4}" name="OrgKode" dataDxfId="90"/>
    <tableColumn id="3" xr3:uid="{760D15A4-6263-4713-B3A0-A29C8ADCA113}" name="Konto" dataDxfId="89"/>
    <tableColumn id="4" xr3:uid="{4BA0C601-BD67-4265-ADE3-331693AE6B5E}" name="Kontonavn" dataDxfId="88"/>
    <tableColumn id="5" xr3:uid="{DA79AB08-3C61-4D78-B1EF-9E7F4F4D4F53}" name="Artstype" dataDxfId="87"/>
    <tableColumn id="6" xr3:uid="{5253B6F5-8246-4FD0-A27F-20951D7E0A8D}" name="Kategori" dataDxfId="86"/>
    <tableColumn id="7" xr3:uid="{B181CFDE-A862-46F6-9520-3B563DDE10B9}" name="Budsjett_MNOK" dataDxfId="85"/>
    <tableColumn id="8" xr3:uid="{66784AEE-EA5C-4866-B0AD-933551BE5FAC}" name="Budsjett_signert_MNOK" dataDxfId="84"/>
    <tableColumn id="9" xr3:uid="{8865F7C6-6E27-4D1A-9C07-E92F8EA33EA0}" name="VersjonKode" dataDxfId="8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1B2461F-2B4C-43C6-A594-09D2520A166C}" name="tblFactGL" displayName="tblFactGL" ref="A1:I433" totalsRowShown="0" headerRowDxfId="71" dataDxfId="70">
  <autoFilter ref="A1:I433" xr:uid="{71B2461F-2B4C-43C6-A594-09D2520A166C}"/>
  <tableColumns count="9">
    <tableColumn id="1" xr3:uid="{ADCC0002-B003-46BF-836A-BCFACAC17FAE}" name="DatoNokkel" dataDxfId="80"/>
    <tableColumn id="2" xr3:uid="{E612988F-24D2-4836-AABC-6CE0A983358A}" name="OrgKode" dataDxfId="79"/>
    <tableColumn id="3" xr3:uid="{2BD31287-B4EF-4927-BF90-7FA341CCFCBB}" name="Konto" dataDxfId="78"/>
    <tableColumn id="4" xr3:uid="{DA19C100-8D67-458B-818E-7CAFFD600644}" name="Kontonavn" dataDxfId="77"/>
    <tableColumn id="5" xr3:uid="{3B53C703-7057-46D9-B3B6-40EC3CE9B9DB}" name="Artstype" dataDxfId="76"/>
    <tableColumn id="6" xr3:uid="{FDDBC79F-69AB-49EA-8C8D-F17FD1E1D230}" name="Kategori" dataDxfId="75"/>
    <tableColumn id="7" xr3:uid="{328294BD-FA4B-4E30-839E-013F27255F0D}" name="Belop_MNOK" dataDxfId="74"/>
    <tableColumn id="8" xr3:uid="{38B9732F-8670-4871-879D-2CF75E03E72D}" name="Belop_signert_MNOK" dataDxfId="73"/>
    <tableColumn id="9" xr3:uid="{921A71CF-C684-4E06-B4D2-67A44A04E7D0}" name="VersjonKode" dataDxfId="7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B402AE-A9C2-4318-B007-670CE25A5F7C}" name="tblYTDRegnskap" displayName="tblYTDRegnskap" ref="A1:Q433" totalsRowShown="0" headerRowDxfId="52" dataDxfId="51">
  <autoFilter ref="A1:Q433" xr:uid="{D7B402AE-A9C2-4318-B007-670CE25A5F7C}"/>
  <tableColumns count="17">
    <tableColumn id="1" xr3:uid="{DFD7CE47-CCE8-465E-897C-D2CA5325A28E}" name="DatoNokkel" dataDxfId="69"/>
    <tableColumn id="2" xr3:uid="{404F3D20-8279-4468-8D64-18DD78482F48}" name="Dato" dataDxfId="68"/>
    <tableColumn id="3" xr3:uid="{F6D9D424-1AC4-42F7-B274-880149C08701}" name="MaanedNavn" dataDxfId="67"/>
    <tableColumn id="4" xr3:uid="{BADF89D5-5683-4F17-8FA5-E735FD53E6DD}" name="Kvartal" dataDxfId="66"/>
    <tableColumn id="5" xr3:uid="{171D9474-DF31-4B54-8817-1775EB87B986}" name="OrgKode" dataDxfId="65"/>
    <tableColumn id="6" xr3:uid="{0DB86E59-3F43-4F60-9949-7EBD54C50E1F}" name="Enhet" dataDxfId="64"/>
    <tableColumn id="7" xr3:uid="{F2423B31-2B26-45B5-81EC-D2EE272C5B00}" name="FakultetKort" dataDxfId="63"/>
    <tableColumn id="8" xr3:uid="{3B128072-CFC9-4862-8057-5B4132ACBCE1}" name="Konto" dataDxfId="62"/>
    <tableColumn id="9" xr3:uid="{7F61DE9F-F6D8-413D-86EC-1F2AD8EE07A3}" name="Kontonavn" dataDxfId="61"/>
    <tableColumn id="10" xr3:uid="{5CD21D44-7E91-487A-A26C-82AB211B43A6}" name="Kontoklasse" dataDxfId="60"/>
    <tableColumn id="11" xr3:uid="{DC88DFE1-291B-4EA1-BACF-DD0C4766FE8B}" name="Kontogruppe" dataDxfId="59"/>
    <tableColumn id="12" xr3:uid="{5383432F-80C5-420C-9FD9-650343E554AB}" name="SRS_regnskapslinje" dataDxfId="58"/>
    <tableColumn id="13" xr3:uid="{D7A51427-1155-405D-88BE-E2A07B3D7B7D}" name="Artstype" dataDxfId="57"/>
    <tableColumn id="14" xr3:uid="{6EF4753A-0AF3-4EFB-A59C-8C0541309F09}" name="Kategori" dataDxfId="56"/>
    <tableColumn id="15" xr3:uid="{CB300BD7-A2F6-4638-A890-72F17B5EA96E}" name="Belop_MNOK" dataDxfId="55"/>
    <tableColumn id="16" xr3:uid="{7CAFF3D4-40B3-42D2-BD64-36AB356C8758}" name="Belop_signert_MNOK" dataDxfId="54"/>
    <tableColumn id="17" xr3:uid="{A22C2197-7E52-4285-B4A8-48B1E6F129B7}" name="VersjonKode" dataDxfId="5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6770BAB-F574-4D8C-AB10-B4544A0D5128}" name="tblAnbefalteTiltak" displayName="tblAnbefalteTiltak" ref="A9:J19" totalsRowShown="0" headerRowDxfId="15" dataDxfId="14">
  <autoFilter ref="A9:J19" xr:uid="{46770BAB-F574-4D8C-AB10-B4544A0D5128}"/>
  <tableColumns count="10">
    <tableColumn id="1" xr3:uid="{505A4575-6E02-4335-AA03-5444EE877AFC}" name="Tiltaks-ID" dataDxfId="13"/>
    <tableColumn id="2" xr3:uid="{34947AEE-6A34-48D9-80D7-77E9F07169B3}" name="Prioritet" dataDxfId="12"/>
    <tableColumn id="3" xr3:uid="{A37EEA4D-A0E9-4DFE-B9A3-930EE4A8DAF2}" name="Område" dataDxfId="17"/>
    <tableColumn id="4" xr3:uid="{C7F0153C-7CDD-43FE-A258-43CE13258DD8}" name="Avvik / signal" dataDxfId="8"/>
    <tableColumn id="5" xr3:uid="{E0B54B89-F89D-4896-894E-C6AC5942CF17}" name="Effekt / avvik (MNOK)" dataDxfId="11"/>
    <tableColumn id="6" xr3:uid="{478841B0-257F-4640-A93E-1639369DB442}" name="Anbefalt handling" dataDxfId="7"/>
    <tableColumn id="7" xr3:uid="{F41F9146-9F47-4FD4-B10E-067ECD870AC0}" name="Eier" dataDxfId="16"/>
    <tableColumn id="8" xr3:uid="{8524CBAE-178F-4C7F-B16C-9AEDCD86E8B8}" name="Frist" dataDxfId="10"/>
    <tableColumn id="9" xr3:uid="{4402A6A1-0616-4C6B-9162-95BD6C124414}" name="Målepunkt" dataDxfId="6"/>
    <tableColumn id="10" xr3:uid="{E2978156-533E-4243-9208-83EA53234F2B}" name="Statu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27C27-6FE3-4B24-8EC8-BC6000DDE354}">
  <dimension ref="A1:N45"/>
  <sheetViews>
    <sheetView showGridLines="0" workbookViewId="0">
      <selection sqref="A1:N2"/>
    </sheetView>
  </sheetViews>
  <sheetFormatPr defaultRowHeight="14.5" x14ac:dyDescent="0.35"/>
  <cols>
    <col min="1" max="1" width="41.81640625" customWidth="1"/>
    <col min="2" max="7" width="15.453125" customWidth="1"/>
    <col min="8" max="14" width="13.08984375" customWidth="1"/>
  </cols>
  <sheetData>
    <row r="1" spans="1:14" ht="30" customHeight="1" x14ac:dyDescent="0.35">
      <c r="A1" s="9" t="s">
        <v>499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30" customHeight="1" x14ac:dyDescent="0.3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4" ht="24" customHeight="1" x14ac:dyDescent="0.35">
      <c r="A3" s="10" t="s">
        <v>500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x14ac:dyDescent="0.35">
      <c r="A5" s="12" t="s">
        <v>501</v>
      </c>
      <c r="B5" s="12"/>
      <c r="C5" s="12"/>
      <c r="D5" s="12" t="s">
        <v>502</v>
      </c>
      <c r="E5" s="12"/>
      <c r="F5" s="12"/>
      <c r="G5" s="12" t="s">
        <v>503</v>
      </c>
      <c r="H5" s="12"/>
      <c r="I5" s="12"/>
      <c r="J5" s="12" t="s">
        <v>504</v>
      </c>
      <c r="K5" s="12"/>
      <c r="L5" s="12"/>
      <c r="M5" s="8"/>
      <c r="N5" s="8"/>
    </row>
    <row r="6" spans="1:14" ht="27" customHeight="1" x14ac:dyDescent="0.35">
      <c r="A6" s="16">
        <f>FactFacultyKPI!E8</f>
        <v>1433</v>
      </c>
      <c r="B6" s="16"/>
      <c r="C6" s="16"/>
      <c r="D6" s="16">
        <f>FactFacultyKPI!I8</f>
        <v>1444</v>
      </c>
      <c r="E6" s="16"/>
      <c r="F6" s="16"/>
      <c r="G6" s="16">
        <f>FactFacultyKPI!J8</f>
        <v>-11</v>
      </c>
      <c r="H6" s="16"/>
      <c r="I6" s="16"/>
      <c r="J6" s="13" t="str">
        <f>FactFacultyKPI!T8</f>
        <v>🔴 Netto underdekning (-11M)</v>
      </c>
      <c r="K6" s="13"/>
      <c r="L6" s="13"/>
      <c r="M6" s="8"/>
      <c r="N6" s="8"/>
    </row>
    <row r="7" spans="1:14" ht="27" customHeight="1" x14ac:dyDescent="0.35">
      <c r="A7" s="16"/>
      <c r="B7" s="16"/>
      <c r="C7" s="16"/>
      <c r="D7" s="16"/>
      <c r="E7" s="16"/>
      <c r="F7" s="16"/>
      <c r="G7" s="16"/>
      <c r="H7" s="16"/>
      <c r="I7" s="16"/>
      <c r="J7" s="13"/>
      <c r="K7" s="13"/>
      <c r="L7" s="13"/>
      <c r="M7" s="8"/>
      <c r="N7" s="8"/>
    </row>
    <row r="8" spans="1:14" x14ac:dyDescent="0.3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4" x14ac:dyDescent="0.35">
      <c r="A9" s="12" t="s">
        <v>505</v>
      </c>
      <c r="B9" s="12"/>
      <c r="C9" s="12"/>
      <c r="D9" s="12" t="s">
        <v>506</v>
      </c>
      <c r="E9" s="12"/>
      <c r="F9" s="12"/>
      <c r="G9" s="12" t="s">
        <v>507</v>
      </c>
      <c r="H9" s="12"/>
      <c r="I9" s="12"/>
      <c r="J9" s="12" t="s">
        <v>508</v>
      </c>
      <c r="K9" s="12"/>
      <c r="L9" s="12"/>
      <c r="M9" s="8"/>
      <c r="N9" s="8"/>
    </row>
    <row r="10" spans="1:14" ht="27" customHeight="1" x14ac:dyDescent="0.35">
      <c r="A10" s="17">
        <f>FactFacultyKPI!P8</f>
        <v>14000</v>
      </c>
      <c r="B10" s="17"/>
      <c r="C10" s="17"/>
      <c r="D10" s="17">
        <f>FactFacultyKPI!N8</f>
        <v>1240</v>
      </c>
      <c r="E10" s="17"/>
      <c r="F10" s="17"/>
      <c r="G10" s="18">
        <f>FactEVM!I10</f>
        <v>0.95</v>
      </c>
      <c r="H10" s="18"/>
      <c r="I10" s="18"/>
      <c r="J10" s="18">
        <f>FactEVM!J10</f>
        <v>0.92</v>
      </c>
      <c r="K10" s="18"/>
      <c r="L10" s="18"/>
      <c r="M10" s="8"/>
      <c r="N10" s="8"/>
    </row>
    <row r="11" spans="1:14" ht="27" customHeight="1" x14ac:dyDescent="0.35">
      <c r="A11" s="17"/>
      <c r="B11" s="17"/>
      <c r="C11" s="17"/>
      <c r="D11" s="17"/>
      <c r="E11" s="17"/>
      <c r="F11" s="17"/>
      <c r="G11" s="18"/>
      <c r="H11" s="18"/>
      <c r="I11" s="18"/>
      <c r="J11" s="18"/>
      <c r="K11" s="18"/>
      <c r="L11" s="18"/>
      <c r="M11" s="8"/>
      <c r="N11" s="8"/>
    </row>
    <row r="12" spans="1:14" x14ac:dyDescent="0.3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x14ac:dyDescent="0.35">
      <c r="A13" s="14" t="s">
        <v>509</v>
      </c>
      <c r="B13" s="14"/>
      <c r="C13" s="14"/>
      <c r="D13" s="14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5">
      <c r="A14" s="11" t="s">
        <v>510</v>
      </c>
      <c r="B14" s="11" t="s">
        <v>470</v>
      </c>
      <c r="C14" s="11" t="s">
        <v>471</v>
      </c>
      <c r="D14" s="11" t="s">
        <v>472</v>
      </c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5">
      <c r="A15" s="8" t="str">
        <f>'EVM sammendrag'!B2</f>
        <v>Januar</v>
      </c>
      <c r="B15" s="19">
        <f>'EVM sammendrag'!F2</f>
        <v>121</v>
      </c>
      <c r="C15" s="19">
        <f>'EVM sammendrag'!G2</f>
        <v>111</v>
      </c>
      <c r="D15" s="19">
        <f>'EVM sammendrag'!H2</f>
        <v>114.5</v>
      </c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x14ac:dyDescent="0.35">
      <c r="A16" s="8" t="str">
        <f>'EVM sammendrag'!B3</f>
        <v>Februar</v>
      </c>
      <c r="B16" s="19">
        <f>'EVM sammendrag'!F3</f>
        <v>243</v>
      </c>
      <c r="C16" s="19">
        <f>'EVM sammendrag'!G3</f>
        <v>223</v>
      </c>
      <c r="D16" s="19">
        <f>'EVM sammendrag'!H3</f>
        <v>229</v>
      </c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x14ac:dyDescent="0.35">
      <c r="A17" s="8" t="str">
        <f>'EVM sammendrag'!B4</f>
        <v>Mars</v>
      </c>
      <c r="B17" s="19">
        <f>'EVM sammendrag'!F4</f>
        <v>371</v>
      </c>
      <c r="C17" s="19">
        <f>'EVM sammendrag'!G4</f>
        <v>341</v>
      </c>
      <c r="D17" s="19">
        <f>'EVM sammendrag'!H4</f>
        <v>350</v>
      </c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4" x14ac:dyDescent="0.35">
      <c r="A18" s="8" t="str">
        <f>'EVM sammendrag'!B5</f>
        <v>April</v>
      </c>
      <c r="B18" s="19">
        <f>'EVM sammendrag'!F5</f>
        <v>498</v>
      </c>
      <c r="C18" s="19">
        <f>'EVM sammendrag'!G5</f>
        <v>458</v>
      </c>
      <c r="D18" s="19">
        <f>'EVM sammendrag'!H5</f>
        <v>469.5</v>
      </c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4" x14ac:dyDescent="0.35">
      <c r="A19" s="8" t="str">
        <f>'EVM sammendrag'!B6</f>
        <v>Mai</v>
      </c>
      <c r="B19" s="19">
        <f>'EVM sammendrag'!F6</f>
        <v>629</v>
      </c>
      <c r="C19" s="19">
        <f>'EVM sammendrag'!G6</f>
        <v>578</v>
      </c>
      <c r="D19" s="19">
        <f>'EVM sammendrag'!H6</f>
        <v>593.5</v>
      </c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1:14" x14ac:dyDescent="0.35">
      <c r="A20" s="8" t="str">
        <f>'EVM sammendrag'!B7</f>
        <v>Juni</v>
      </c>
      <c r="B20" s="19">
        <f>'EVM sammendrag'!F7</f>
        <v>774</v>
      </c>
      <c r="C20" s="19">
        <f>'EVM sammendrag'!G7</f>
        <v>711</v>
      </c>
      <c r="D20" s="19">
        <f>'EVM sammendrag'!H7</f>
        <v>758.5</v>
      </c>
      <c r="E20" s="8"/>
      <c r="F20" s="8"/>
      <c r="G20" s="8"/>
      <c r="H20" s="8"/>
      <c r="I20" s="8"/>
      <c r="J20" s="8"/>
      <c r="K20" s="8"/>
      <c r="L20" s="8"/>
      <c r="M20" s="8"/>
      <c r="N20" s="8"/>
    </row>
    <row r="21" spans="1:14" x14ac:dyDescent="0.35">
      <c r="A21" s="8" t="str">
        <f>'EVM sammendrag'!B8</f>
        <v>Juli</v>
      </c>
      <c r="B21" s="19">
        <f>'EVM sammendrag'!F8</f>
        <v>869</v>
      </c>
      <c r="C21" s="19">
        <f>'EVM sammendrag'!G8</f>
        <v>799</v>
      </c>
      <c r="D21" s="19">
        <f>'EVM sammendrag'!H8</f>
        <v>848</v>
      </c>
      <c r="E21" s="8"/>
      <c r="F21" s="8"/>
      <c r="G21" s="8"/>
      <c r="H21" s="8"/>
      <c r="I21" s="8"/>
      <c r="J21" s="8"/>
      <c r="K21" s="8"/>
      <c r="L21" s="8"/>
      <c r="M21" s="8"/>
      <c r="N21" s="8"/>
    </row>
    <row r="22" spans="1:14" x14ac:dyDescent="0.35">
      <c r="A22" s="8" t="str">
        <f>'EVM sammendrag'!B9</f>
        <v>August</v>
      </c>
      <c r="B22" s="19">
        <f>'EVM sammendrag'!F9</f>
        <v>992</v>
      </c>
      <c r="C22" s="19">
        <f>'EVM sammendrag'!G9</f>
        <v>912</v>
      </c>
      <c r="D22" s="19">
        <f>'EVM sammendrag'!H9</f>
        <v>966</v>
      </c>
      <c r="E22" s="8"/>
      <c r="F22" s="8"/>
      <c r="G22" s="8"/>
      <c r="H22" s="8"/>
      <c r="I22" s="8"/>
      <c r="J22" s="8"/>
      <c r="K22" s="8"/>
      <c r="L22" s="8"/>
      <c r="M22" s="8"/>
      <c r="N22" s="8"/>
    </row>
    <row r="23" spans="1:14" x14ac:dyDescent="0.35">
      <c r="A23" s="8" t="str">
        <f>'EVM sammendrag'!B10</f>
        <v>September</v>
      </c>
      <c r="B23" s="19">
        <f>'EVM sammendrag'!F10</f>
        <v>1124</v>
      </c>
      <c r="C23" s="19">
        <f>'EVM sammendrag'!G10</f>
        <v>1034</v>
      </c>
      <c r="D23" s="19">
        <f>'EVM sammendrag'!H10</f>
        <v>1092</v>
      </c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35">
      <c r="A24" s="8" t="str">
        <f>'EVM sammendrag'!B11</f>
        <v>Oktober</v>
      </c>
      <c r="B24" s="19">
        <f>'EVM sammendrag'!F11</f>
        <v>1256</v>
      </c>
      <c r="C24" s="19">
        <f>'EVM sammendrag'!G11</f>
        <v>1155.5</v>
      </c>
      <c r="D24" s="19">
        <f>'EVM sammendrag'!H11</f>
        <v>1218.5</v>
      </c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35">
      <c r="A25" s="8" t="str">
        <f>'EVM sammendrag'!B12</f>
        <v>November</v>
      </c>
      <c r="B25" s="19">
        <f>'EVM sammendrag'!F12</f>
        <v>1387.8</v>
      </c>
      <c r="C25" s="19">
        <f>'EVM sammendrag'!G12</f>
        <v>1276.8</v>
      </c>
      <c r="D25" s="19">
        <f>'EVM sammendrag'!H12</f>
        <v>1344</v>
      </c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35">
      <c r="A26" s="8" t="str">
        <f>'EVM sammendrag'!B13</f>
        <v>Desember</v>
      </c>
      <c r="B26" s="19">
        <f>'EVM sammendrag'!F13</f>
        <v>1507.8</v>
      </c>
      <c r="C26" s="19">
        <f>'EVM sammendrag'!G13</f>
        <v>1344</v>
      </c>
      <c r="D26" s="19">
        <f>'EVM sammendrag'!H13</f>
        <v>1444</v>
      </c>
      <c r="E26" s="8"/>
      <c r="F26" s="8"/>
      <c r="G26" s="8"/>
      <c r="H26" s="8"/>
      <c r="I26" s="8"/>
      <c r="J26" s="8"/>
      <c r="K26" s="8"/>
      <c r="L26" s="8"/>
      <c r="M26" s="8"/>
      <c r="N26" s="8"/>
    </row>
    <row r="27" spans="1:14" x14ac:dyDescent="0.3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35">
      <c r="A29" s="14" t="s">
        <v>511</v>
      </c>
      <c r="B29" s="14"/>
      <c r="C29" s="14"/>
      <c r="D29" s="14"/>
      <c r="E29" s="14"/>
      <c r="F29" s="14"/>
      <c r="G29" s="14"/>
      <c r="H29" s="8"/>
      <c r="I29" s="8"/>
      <c r="J29" s="8"/>
      <c r="K29" s="8"/>
      <c r="L29" s="8"/>
      <c r="M29" s="8"/>
      <c r="N29" s="8"/>
    </row>
    <row r="30" spans="1:14" x14ac:dyDescent="0.35">
      <c r="A30" s="11" t="s">
        <v>134</v>
      </c>
      <c r="B30" s="11" t="s">
        <v>15</v>
      </c>
      <c r="C30" s="11" t="s">
        <v>35</v>
      </c>
      <c r="D30" s="11" t="s">
        <v>512</v>
      </c>
      <c r="E30" s="11" t="s">
        <v>289</v>
      </c>
      <c r="F30" s="11" t="s">
        <v>513</v>
      </c>
      <c r="G30" s="11" t="s">
        <v>514</v>
      </c>
      <c r="H30" s="8"/>
      <c r="I30" s="8"/>
      <c r="J30" s="8"/>
      <c r="K30" s="8"/>
      <c r="L30" s="8"/>
      <c r="M30" s="8"/>
      <c r="N30" s="8"/>
    </row>
    <row r="31" spans="1:14" x14ac:dyDescent="0.35">
      <c r="A31" s="8" t="str">
        <f>FactFacultyKPI!B2</f>
        <v>Handelshøyskolen (HHU)</v>
      </c>
      <c r="B31" s="19">
        <f>FactFacultyKPI!E2</f>
        <v>276.60000000000002</v>
      </c>
      <c r="C31" s="19">
        <f>FactFacultyKPI!I2</f>
        <v>274.39999999999998</v>
      </c>
      <c r="D31" s="19">
        <f>FactFacultyKPI!J2</f>
        <v>2.2000000000000002</v>
      </c>
      <c r="E31" s="20">
        <f>FactFacultyKPI!P2</f>
        <v>3450</v>
      </c>
      <c r="F31" s="20">
        <f>FactFacultyKPI!S2</f>
        <v>87948</v>
      </c>
      <c r="G31" s="8" t="str">
        <f>FactFacultyKPI!T2</f>
        <v>🟢 I balanse</v>
      </c>
      <c r="H31" s="8"/>
      <c r="I31" s="8"/>
      <c r="J31" s="8"/>
      <c r="K31" s="8"/>
      <c r="L31" s="8"/>
      <c r="M31" s="8"/>
      <c r="N31" s="8"/>
    </row>
    <row r="32" spans="1:14" x14ac:dyDescent="0.35">
      <c r="A32" s="8" t="str">
        <f>FactFacultyKPI!B3</f>
        <v>Fakultet for teknologi og realfag (TEK)</v>
      </c>
      <c r="B32" s="19">
        <f>FactFacultyKPI!E3</f>
        <v>400.8</v>
      </c>
      <c r="C32" s="19">
        <f>FactFacultyKPI!I3</f>
        <v>402.7</v>
      </c>
      <c r="D32" s="19">
        <f>FactFacultyKPI!J3</f>
        <v>-1.9</v>
      </c>
      <c r="E32" s="20">
        <f>FactFacultyKPI!P3</f>
        <v>3210</v>
      </c>
      <c r="F32" s="20">
        <f>FactFacultyKPI!S3</f>
        <v>136972</v>
      </c>
      <c r="G32" s="8" t="str">
        <f>FactFacultyKPI!T3</f>
        <v>🟡 Moderat avvik</v>
      </c>
      <c r="H32" s="8"/>
      <c r="I32" s="8"/>
      <c r="J32" s="8"/>
      <c r="K32" s="8"/>
      <c r="L32" s="8"/>
      <c r="M32" s="8"/>
      <c r="N32" s="8"/>
    </row>
    <row r="33" spans="1:14" x14ac:dyDescent="0.35">
      <c r="A33" s="8" t="str">
        <f>FactFacultyKPI!B4</f>
        <v>Fakultet for helse- og idrettsvitenskap (HEL)</v>
      </c>
      <c r="B33" s="19">
        <f>FactFacultyKPI!E4</f>
        <v>323.60000000000002</v>
      </c>
      <c r="C33" s="19">
        <f>FactFacultyKPI!I4</f>
        <v>328.9</v>
      </c>
      <c r="D33" s="19">
        <f>FactFacultyKPI!J4</f>
        <v>-5.3</v>
      </c>
      <c r="E33" s="20">
        <f>FactFacultyKPI!P4</f>
        <v>3100</v>
      </c>
      <c r="F33" s="20">
        <f>FactFacultyKPI!S4</f>
        <v>115403</v>
      </c>
      <c r="G33" s="8" t="str">
        <f>FactFacultyKPI!T4</f>
        <v>🔴 Merforbruk</v>
      </c>
      <c r="H33" s="8"/>
      <c r="I33" s="8"/>
      <c r="J33" s="8"/>
      <c r="K33" s="8"/>
      <c r="L33" s="8"/>
      <c r="M33" s="8"/>
      <c r="N33" s="8"/>
    </row>
    <row r="34" spans="1:14" x14ac:dyDescent="0.35">
      <c r="A34" s="8" t="str">
        <f>FactFacultyKPI!B5</f>
        <v>Fakultet for samfunnsvitenskap (SAM)</v>
      </c>
      <c r="B34" s="19">
        <f>FactFacultyKPI!E5</f>
        <v>184.3</v>
      </c>
      <c r="C34" s="19">
        <f>FactFacultyKPI!I5</f>
        <v>181.3</v>
      </c>
      <c r="D34" s="19">
        <f>FactFacultyKPI!J5</f>
        <v>3</v>
      </c>
      <c r="E34" s="20">
        <f>FactFacultyKPI!P5</f>
        <v>2320</v>
      </c>
      <c r="F34" s="20">
        <f>FactFacultyKPI!S5</f>
        <v>85924</v>
      </c>
      <c r="G34" s="8" t="str">
        <f>FactFacultyKPI!T5</f>
        <v>🟢 Overskudd</v>
      </c>
      <c r="H34" s="8"/>
      <c r="I34" s="8"/>
      <c r="J34" s="8"/>
      <c r="K34" s="8"/>
      <c r="L34" s="8"/>
      <c r="M34" s="8"/>
      <c r="N34" s="8"/>
    </row>
    <row r="35" spans="1:14" x14ac:dyDescent="0.35">
      <c r="A35" s="8" t="str">
        <f>FactFacultyKPI!B6</f>
        <v>Fakultet for humaniora og pedagogikk (HUM)</v>
      </c>
      <c r="B35" s="19">
        <f>FactFacultyKPI!E6</f>
        <v>139.30000000000001</v>
      </c>
      <c r="C35" s="19">
        <f>FactFacultyKPI!I6</f>
        <v>139.6</v>
      </c>
      <c r="D35" s="19">
        <f>FactFacultyKPI!J6</f>
        <v>-0.3</v>
      </c>
      <c r="E35" s="20">
        <f>FactFacultyKPI!P6</f>
        <v>1920</v>
      </c>
      <c r="F35" s="20">
        <f>FactFacultyKPI!S6</f>
        <v>80693</v>
      </c>
      <c r="G35" s="8" t="str">
        <f>FactFacultyKPI!T6</f>
        <v>🟢 I balanse</v>
      </c>
      <c r="H35" s="8"/>
      <c r="I35" s="8"/>
      <c r="J35" s="8"/>
      <c r="K35" s="8"/>
      <c r="L35" s="8"/>
      <c r="M35" s="8"/>
      <c r="N35" s="8"/>
    </row>
    <row r="36" spans="1:14" x14ac:dyDescent="0.35">
      <c r="A36" s="8" t="str">
        <f>FactFacultyKPI!B7</f>
        <v>Fellesadministrasjon &amp; Fellesdrift (ADM)</v>
      </c>
      <c r="B36" s="19">
        <f>FactFacultyKPI!E7</f>
        <v>108.4</v>
      </c>
      <c r="C36" s="19">
        <f>FactFacultyKPI!I7</f>
        <v>117.1</v>
      </c>
      <c r="D36" s="19">
        <f>FactFacultyKPI!J7</f>
        <v>-8.6999999999999993</v>
      </c>
      <c r="E36" s="20">
        <f>FactFacultyKPI!P7</f>
        <v>0</v>
      </c>
      <c r="F36" s="20">
        <f>FactFacultyKPI!S7</f>
        <v>0</v>
      </c>
      <c r="G36" s="8" t="str">
        <f>FactFacultyKPI!T7</f>
        <v>🔴 Felleskostnader</v>
      </c>
      <c r="H36" s="8"/>
      <c r="I36" s="8"/>
      <c r="J36" s="8"/>
      <c r="K36" s="8"/>
      <c r="L36" s="8"/>
      <c r="M36" s="8"/>
      <c r="N36" s="8"/>
    </row>
    <row r="37" spans="1:14" x14ac:dyDescent="0.3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x14ac:dyDescent="0.3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4" x14ac:dyDescent="0.35">
      <c r="A39" s="14" t="s">
        <v>515</v>
      </c>
      <c r="B39" s="14"/>
      <c r="C39" s="14"/>
      <c r="D39" s="14"/>
      <c r="E39" s="14"/>
      <c r="F39" s="14"/>
      <c r="G39" s="14"/>
      <c r="H39" s="8"/>
      <c r="I39" s="8"/>
      <c r="J39" s="8"/>
      <c r="K39" s="8"/>
      <c r="L39" s="8"/>
      <c r="M39" s="8"/>
      <c r="N39" s="8"/>
    </row>
    <row r="40" spans="1:14" x14ac:dyDescent="0.35">
      <c r="A40" s="11" t="s">
        <v>516</v>
      </c>
      <c r="B40" s="11" t="s">
        <v>134</v>
      </c>
      <c r="C40" s="11" t="s">
        <v>517</v>
      </c>
      <c r="D40" s="11" t="s">
        <v>518</v>
      </c>
      <c r="E40" s="11" t="s">
        <v>519</v>
      </c>
      <c r="F40" s="11" t="s">
        <v>370</v>
      </c>
      <c r="G40" s="11" t="s">
        <v>514</v>
      </c>
      <c r="H40" s="8"/>
      <c r="I40" s="8"/>
      <c r="J40" s="8"/>
      <c r="K40" s="8"/>
      <c r="L40" s="8"/>
      <c r="M40" s="8"/>
      <c r="N40" s="8"/>
    </row>
    <row r="41" spans="1:14" ht="34" customHeight="1" x14ac:dyDescent="0.35">
      <c r="A41" s="25" t="str">
        <f>FactAction!B2</f>
        <v>Vakansestopp administrative stillinger</v>
      </c>
      <c r="B41" s="8">
        <f>FactAction!C2</f>
        <v>1900</v>
      </c>
      <c r="C41" s="21">
        <f>FactAction!D2</f>
        <v>-4</v>
      </c>
      <c r="D41" s="21">
        <f>FactAction!E2</f>
        <v>-3.5</v>
      </c>
      <c r="E41" s="21">
        <f>ABS(C41)-ABS(D41)</f>
        <v>0.5</v>
      </c>
      <c r="F41" s="8" t="str">
        <f>FactAction!G2</f>
        <v>Realisert</v>
      </c>
      <c r="G41" s="8" t="str">
        <f>FactAction!I2</f>
        <v>🟢 Realisert</v>
      </c>
      <c r="H41" s="8"/>
      <c r="I41" s="8"/>
      <c r="J41" s="8"/>
      <c r="K41" s="8"/>
      <c r="L41" s="8"/>
      <c r="M41" s="8"/>
      <c r="N41" s="8"/>
    </row>
    <row r="42" spans="1:14" ht="34" customHeight="1" x14ac:dyDescent="0.35">
      <c r="A42" s="25" t="str">
        <f>FactAction!B3</f>
        <v>Reduksjon i konsulentbruk og eksterne tjenester</v>
      </c>
      <c r="B42" s="8">
        <f>FactAction!C3</f>
        <v>1900</v>
      </c>
      <c r="C42" s="21">
        <f>FactAction!D3</f>
        <v>-3</v>
      </c>
      <c r="D42" s="21">
        <f>FactAction!E3</f>
        <v>-2</v>
      </c>
      <c r="E42" s="21">
        <f>ABS(C42)-ABS(D42)</f>
        <v>1</v>
      </c>
      <c r="F42" s="8" t="str">
        <f>FactAction!G3</f>
        <v>Pågår</v>
      </c>
      <c r="G42" s="8" t="str">
        <f>FactAction!I3</f>
        <v>🟡 Pågår</v>
      </c>
      <c r="H42" s="8"/>
      <c r="I42" s="8"/>
      <c r="J42" s="8"/>
      <c r="K42" s="8"/>
      <c r="L42" s="8"/>
      <c r="M42" s="8"/>
      <c r="N42" s="8"/>
    </row>
    <row r="43" spans="1:14" ht="34" customHeight="1" x14ac:dyDescent="0.35">
      <c r="A43" s="25" t="str">
        <f>FactAction!B4</f>
        <v>Studieporteføljejustering og sammenslåing av emner (SAM)</v>
      </c>
      <c r="B43" s="8">
        <f>FactAction!C4</f>
        <v>1400</v>
      </c>
      <c r="C43" s="21">
        <f>FactAction!D4</f>
        <v>-3.5</v>
      </c>
      <c r="D43" s="21">
        <f>FactAction!E4</f>
        <v>-2</v>
      </c>
      <c r="E43" s="21">
        <f>ABS(C43)-ABS(D43)</f>
        <v>1.5</v>
      </c>
      <c r="F43" s="8" t="str">
        <f>FactAction!G4</f>
        <v>Vedtatt</v>
      </c>
      <c r="G43" s="8" t="str">
        <f>FactAction!I4</f>
        <v>🟢 Vedtatt</v>
      </c>
      <c r="H43" s="8"/>
      <c r="I43" s="8"/>
      <c r="J43" s="8"/>
      <c r="K43" s="8"/>
      <c r="L43" s="8"/>
      <c r="M43" s="8"/>
      <c r="N43" s="8"/>
    </row>
    <row r="44" spans="1:14" ht="34" customHeight="1" x14ac:dyDescent="0.35">
      <c r="A44" s="25" t="str">
        <f>FactAction!B5</f>
        <v>Skjerpet prosjektoppfølging og TDI-kostnadsdekning (BOA)</v>
      </c>
      <c r="B44" s="8">
        <f>FactAction!C5</f>
        <v>1000</v>
      </c>
      <c r="C44" s="21">
        <f>FactAction!D5</f>
        <v>-2.5</v>
      </c>
      <c r="D44" s="21">
        <f>FactAction!E5</f>
        <v>-1</v>
      </c>
      <c r="E44" s="21">
        <f>ABS(C44)-ABS(D44)</f>
        <v>1.5</v>
      </c>
      <c r="F44" s="8" t="str">
        <f>FactAction!G5</f>
        <v>Pågår</v>
      </c>
      <c r="G44" s="8" t="str">
        <f>FactAction!I5</f>
        <v>🟡 Pågår</v>
      </c>
      <c r="H44" s="8"/>
      <c r="I44" s="8"/>
      <c r="J44" s="8"/>
      <c r="K44" s="8"/>
      <c r="L44" s="8"/>
      <c r="M44" s="8"/>
      <c r="N44" s="8"/>
    </row>
    <row r="45" spans="1:14" ht="34" customHeight="1" x14ac:dyDescent="0.35">
      <c r="A45" s="25" t="str">
        <f>FactAction!B6</f>
        <v>Optimalisering av praksisavtaler og RETHOS-rammer (HEL)</v>
      </c>
      <c r="B45" s="8">
        <f>FactAction!C6</f>
        <v>1300</v>
      </c>
      <c r="C45" s="21">
        <f>FactAction!D6</f>
        <v>-2</v>
      </c>
      <c r="D45" s="21">
        <f>FactAction!E6</f>
        <v>-0.5</v>
      </c>
      <c r="E45" s="21">
        <f>ABS(C45)-ABS(D45)</f>
        <v>1.5</v>
      </c>
      <c r="F45" s="8" t="str">
        <f>FactAction!G6</f>
        <v>Risiko</v>
      </c>
      <c r="G45" s="8" t="str">
        <f>FactAction!I6</f>
        <v>🔴 Risiko</v>
      </c>
      <c r="H45" s="8"/>
      <c r="I45" s="8"/>
      <c r="J45" s="8"/>
      <c r="K45" s="8"/>
      <c r="L45" s="8"/>
      <c r="M45" s="8"/>
      <c r="N45" s="8"/>
    </row>
  </sheetData>
  <mergeCells count="13">
    <mergeCell ref="A39:G39"/>
    <mergeCell ref="A10:C11"/>
    <mergeCell ref="D10:F11"/>
    <mergeCell ref="G10:I11"/>
    <mergeCell ref="J10:L11"/>
    <mergeCell ref="A13:D13"/>
    <mergeCell ref="A29:G29"/>
    <mergeCell ref="A1:N2"/>
    <mergeCell ref="A3:N3"/>
    <mergeCell ref="A6:C7"/>
    <mergeCell ref="D6:F7"/>
    <mergeCell ref="G6:I7"/>
    <mergeCell ref="J6:L7"/>
  </mergeCells>
  <conditionalFormatting sqref="D31:D36">
    <cfRule type="expression" dxfId="45" priority="5">
      <formula>D31&lt;0</formula>
    </cfRule>
  </conditionalFormatting>
  <conditionalFormatting sqref="D31:D36">
    <cfRule type="expression" dxfId="44" priority="6">
      <formula>D31&gt;=0</formula>
    </cfRule>
  </conditionalFormatting>
  <conditionalFormatting sqref="F31:F36">
    <cfRule type="expression" dxfId="41" priority="7">
      <formula>F31&gt;120000</formula>
    </cfRule>
  </conditionalFormatting>
  <conditionalFormatting sqref="F31:F36">
    <cfRule type="expression" dxfId="40" priority="8">
      <formula>AND(F31&gt;90000,F31&lt;=120000)</formula>
    </cfRule>
  </conditionalFormatting>
  <conditionalFormatting sqref="F31:F36">
    <cfRule type="expression" dxfId="39" priority="9">
      <formula>F31&lt;=90000</formula>
    </cfRule>
  </conditionalFormatting>
  <conditionalFormatting sqref="E41:E45">
    <cfRule type="expression" dxfId="35" priority="10">
      <formula>E41&gt;1</formula>
    </cfRule>
  </conditionalFormatting>
  <conditionalFormatting sqref="E41:E45">
    <cfRule type="expression" dxfId="34" priority="11">
      <formula>AND(E41&gt;0.5,E41&lt;=1)</formula>
    </cfRule>
  </conditionalFormatting>
  <conditionalFormatting sqref="E41:E45">
    <cfRule type="expression" dxfId="33" priority="12">
      <formula>E41&lt;=0.5</formula>
    </cfRule>
  </conditionalFormatting>
  <conditionalFormatting sqref="G10">
    <cfRule type="expression" dxfId="32" priority="13">
      <formula>G10&lt;0.9</formula>
    </cfRule>
  </conditionalFormatting>
  <conditionalFormatting sqref="G10">
    <cfRule type="expression" dxfId="31" priority="14">
      <formula>AND(G10&gt;=0.9,G10&lt;1)</formula>
    </cfRule>
  </conditionalFormatting>
  <conditionalFormatting sqref="G10">
    <cfRule type="expression" dxfId="30" priority="15">
      <formula>G10&gt;=1</formula>
    </cfRule>
  </conditionalFormatting>
  <conditionalFormatting sqref="J10">
    <cfRule type="expression" dxfId="29" priority="16">
      <formula>J10&lt;0.9</formula>
    </cfRule>
  </conditionalFormatting>
  <conditionalFormatting sqref="J10">
    <cfRule type="expression" dxfId="28" priority="17">
      <formula>AND(J10&gt;=0.9,J10&lt;1)</formula>
    </cfRule>
  </conditionalFormatting>
  <conditionalFormatting sqref="J10">
    <cfRule type="expression" dxfId="27" priority="18">
      <formula>J10&gt;=1</formula>
    </cfRule>
  </conditionalFormatting>
  <conditionalFormatting sqref="G31:G36">
    <cfRule type="expression" dxfId="26" priority="19">
      <formula>ISNUMBER(SEARCH("🔴",$G31))</formula>
    </cfRule>
  </conditionalFormatting>
  <conditionalFormatting sqref="G31:G36">
    <cfRule type="expression" dxfId="25" priority="20">
      <formula>ISNUMBER(SEARCH("🟡",$G31))</formula>
    </cfRule>
  </conditionalFormatting>
  <conditionalFormatting sqref="G31:G36">
    <cfRule type="expression" dxfId="24" priority="21">
      <formula>ISNUMBER(SEARCH("🟢",$G31))</formula>
    </cfRule>
  </conditionalFormatting>
  <conditionalFormatting sqref="G41:G45">
    <cfRule type="expression" dxfId="23" priority="22">
      <formula>ISNUMBER(SEARCH("🔴",$G41))</formula>
    </cfRule>
  </conditionalFormatting>
  <conditionalFormatting sqref="G41:G45">
    <cfRule type="expression" dxfId="22" priority="23">
      <formula>ISNUMBER(SEARCH("🟡",$G41))</formula>
    </cfRule>
  </conditionalFormatting>
  <conditionalFormatting sqref="G41:G45">
    <cfRule type="expression" dxfId="21" priority="24">
      <formula>ISNUMBER(SEARCH("🟢",$G41))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FED-F4CD-4BFC-A21D-FAD41230CC9F}">
  <dimension ref="A1:S23"/>
  <sheetViews>
    <sheetView showGridLines="0" workbookViewId="0">
      <selection activeCell="A21" sqref="A21:J21"/>
    </sheetView>
  </sheetViews>
  <sheetFormatPr defaultRowHeight="14.5" x14ac:dyDescent="0.35"/>
  <cols>
    <col min="1" max="1" width="45.453125" customWidth="1"/>
    <col min="2" max="9" width="16.36328125" customWidth="1"/>
    <col min="10" max="10" width="23.6328125" customWidth="1"/>
  </cols>
  <sheetData>
    <row r="1" spans="1:19" ht="30" customHeight="1" x14ac:dyDescent="0.35">
      <c r="A1" s="9" t="s">
        <v>520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30" customHeight="1" x14ac:dyDescent="0.3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24" customHeight="1" x14ac:dyDescent="0.35">
      <c r="A3" s="10" t="s">
        <v>521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19" x14ac:dyDescent="0.35">
      <c r="A5" s="11" t="s">
        <v>341</v>
      </c>
      <c r="B5" s="11" t="s">
        <v>15</v>
      </c>
      <c r="C5" s="11" t="s">
        <v>35</v>
      </c>
      <c r="D5" s="11" t="s">
        <v>512</v>
      </c>
      <c r="E5" s="11" t="s">
        <v>522</v>
      </c>
      <c r="F5" s="11" t="s">
        <v>243</v>
      </c>
      <c r="G5" s="11" t="s">
        <v>289</v>
      </c>
      <c r="H5" s="11" t="s">
        <v>523</v>
      </c>
      <c r="I5" s="11" t="s">
        <v>524</v>
      </c>
      <c r="J5" s="11" t="s">
        <v>514</v>
      </c>
      <c r="K5" s="8"/>
      <c r="L5" s="8"/>
      <c r="M5" s="8"/>
      <c r="N5" s="8"/>
      <c r="O5" s="8"/>
      <c r="P5" s="8"/>
      <c r="Q5" s="8"/>
      <c r="R5" s="8"/>
      <c r="S5" s="8"/>
    </row>
    <row r="6" spans="1:19" x14ac:dyDescent="0.35">
      <c r="A6" s="8" t="str">
        <f>FactFacultyKPI!B2</f>
        <v>Handelshøyskolen (HHU)</v>
      </c>
      <c r="B6" s="19">
        <f>FactFacultyKPI!E2</f>
        <v>276.60000000000002</v>
      </c>
      <c r="C6" s="19">
        <f>FactFacultyKPI!I2</f>
        <v>274.39999999999998</v>
      </c>
      <c r="D6" s="19">
        <f>FactFacultyKPI!J2</f>
        <v>2.2000000000000002</v>
      </c>
      <c r="E6" s="22">
        <f>FactFacultyKPI!K2/100</f>
        <v>0.65400000000000003</v>
      </c>
      <c r="F6" s="19">
        <f>FactFacultyKPI!N2</f>
        <v>230</v>
      </c>
      <c r="G6" s="19">
        <f>FactFacultyKPI!P2</f>
        <v>3450</v>
      </c>
      <c r="H6" s="19">
        <f>FactFacultyKPI!R2</f>
        <v>22.3</v>
      </c>
      <c r="I6" s="20">
        <f>FactFacultyKPI!S2</f>
        <v>87948</v>
      </c>
      <c r="J6" s="8" t="str">
        <f>FactFacultyKPI!T2</f>
        <v>🟢 I balanse</v>
      </c>
      <c r="K6" s="8"/>
      <c r="L6" s="8"/>
      <c r="M6" s="8"/>
      <c r="N6" s="8"/>
      <c r="O6" s="8"/>
      <c r="P6" s="8"/>
      <c r="Q6" s="8"/>
      <c r="R6" s="8"/>
      <c r="S6" s="8"/>
    </row>
    <row r="7" spans="1:19" x14ac:dyDescent="0.35">
      <c r="A7" s="8" t="str">
        <f>FactFacultyKPI!B3</f>
        <v>Fakultet for teknologi og realfag (TEK)</v>
      </c>
      <c r="B7" s="19">
        <f>FactFacultyKPI!E3</f>
        <v>400.8</v>
      </c>
      <c r="C7" s="19">
        <f>FactFacultyKPI!I3</f>
        <v>402.7</v>
      </c>
      <c r="D7" s="19">
        <f>FactFacultyKPI!J3</f>
        <v>-1.9</v>
      </c>
      <c r="E7" s="22">
        <f>FactFacultyKPI!K3/100</f>
        <v>0.63300000000000001</v>
      </c>
      <c r="F7" s="19">
        <f>FactFacultyKPI!N3</f>
        <v>325</v>
      </c>
      <c r="G7" s="19">
        <f>FactFacultyKPI!P3</f>
        <v>3210</v>
      </c>
      <c r="H7" s="19">
        <f>FactFacultyKPI!R3</f>
        <v>14</v>
      </c>
      <c r="I7" s="20">
        <f>FactFacultyKPI!S3</f>
        <v>136972</v>
      </c>
      <c r="J7" s="8" t="str">
        <f>FactFacultyKPI!T3</f>
        <v>🟡 Moderat avvik</v>
      </c>
      <c r="K7" s="8"/>
      <c r="L7" s="8"/>
      <c r="M7" s="8"/>
      <c r="N7" s="8"/>
      <c r="O7" s="8"/>
      <c r="P7" s="8"/>
      <c r="Q7" s="8"/>
      <c r="R7" s="8"/>
      <c r="S7" s="8"/>
    </row>
    <row r="8" spans="1:19" x14ac:dyDescent="0.35">
      <c r="A8" s="8" t="str">
        <f>FactFacultyKPI!B4</f>
        <v>Fakultet for helse- og idrettsvitenskap (HEL)</v>
      </c>
      <c r="B8" s="19">
        <f>FactFacultyKPI!E4</f>
        <v>323.60000000000002</v>
      </c>
      <c r="C8" s="19">
        <f>FactFacultyKPI!I4</f>
        <v>328.9</v>
      </c>
      <c r="D8" s="19">
        <f>FactFacultyKPI!J4</f>
        <v>-5.3</v>
      </c>
      <c r="E8" s="22">
        <f>FactFacultyKPI!K4/100</f>
        <v>0.66</v>
      </c>
      <c r="F8" s="19">
        <f>FactFacultyKPI!N4</f>
        <v>275</v>
      </c>
      <c r="G8" s="19">
        <f>FactFacultyKPI!P4</f>
        <v>3100</v>
      </c>
      <c r="H8" s="19">
        <f>FactFacultyKPI!R4</f>
        <v>15.9</v>
      </c>
      <c r="I8" s="20">
        <f>FactFacultyKPI!S4</f>
        <v>115403</v>
      </c>
      <c r="J8" s="8" t="str">
        <f>FactFacultyKPI!T4</f>
        <v>🔴 Merforbruk</v>
      </c>
      <c r="K8" s="8"/>
      <c r="L8" s="8"/>
      <c r="M8" s="8"/>
      <c r="N8" s="8"/>
      <c r="O8" s="8"/>
      <c r="P8" s="8"/>
      <c r="Q8" s="8"/>
      <c r="R8" s="8"/>
      <c r="S8" s="8"/>
    </row>
    <row r="9" spans="1:19" x14ac:dyDescent="0.35">
      <c r="A9" s="8" t="str">
        <f>FactFacultyKPI!B5</f>
        <v>Fakultet for samfunnsvitenskap (SAM)</v>
      </c>
      <c r="B9" s="19">
        <f>FactFacultyKPI!E5</f>
        <v>184.3</v>
      </c>
      <c r="C9" s="19">
        <f>FactFacultyKPI!I5</f>
        <v>181.3</v>
      </c>
      <c r="D9" s="19">
        <f>FactFacultyKPI!J5</f>
        <v>3</v>
      </c>
      <c r="E9" s="22">
        <f>FactFacultyKPI!K5/100</f>
        <v>0.67700000000000005</v>
      </c>
      <c r="F9" s="19">
        <f>FactFacultyKPI!N5</f>
        <v>160</v>
      </c>
      <c r="G9" s="19">
        <f>FactFacultyKPI!P5</f>
        <v>2320</v>
      </c>
      <c r="H9" s="19">
        <f>FactFacultyKPI!R5</f>
        <v>20.2</v>
      </c>
      <c r="I9" s="20">
        <f>FactFacultyKPI!S5</f>
        <v>85924</v>
      </c>
      <c r="J9" s="8" t="str">
        <f>FactFacultyKPI!T5</f>
        <v>🟢 Overskudd</v>
      </c>
      <c r="K9" s="8"/>
      <c r="L9" s="8"/>
      <c r="M9" s="8"/>
      <c r="N9" s="8"/>
      <c r="O9" s="8"/>
      <c r="P9" s="8"/>
      <c r="Q9" s="8"/>
      <c r="R9" s="8"/>
      <c r="S9" s="8"/>
    </row>
    <row r="10" spans="1:19" x14ac:dyDescent="0.35">
      <c r="A10" s="8" t="str">
        <f>FactFacultyKPI!B6</f>
        <v>Fakultet for humaniora og pedagogikk (HUM)</v>
      </c>
      <c r="B10" s="19">
        <f>FactFacultyKPI!E6</f>
        <v>139.30000000000001</v>
      </c>
      <c r="C10" s="19">
        <f>FactFacultyKPI!I6</f>
        <v>139.6</v>
      </c>
      <c r="D10" s="19">
        <f>FactFacultyKPI!J6</f>
        <v>-0.3</v>
      </c>
      <c r="E10" s="22">
        <f>FactFacultyKPI!K6/100</f>
        <v>0.67599999999999993</v>
      </c>
      <c r="F10" s="19">
        <f>FactFacultyKPI!N6</f>
        <v>130</v>
      </c>
      <c r="G10" s="19">
        <f>FactFacultyKPI!P6</f>
        <v>1920</v>
      </c>
      <c r="H10" s="19">
        <f>FactFacultyKPI!R6</f>
        <v>20.2</v>
      </c>
      <c r="I10" s="20">
        <f>FactFacultyKPI!S6</f>
        <v>80693</v>
      </c>
      <c r="J10" s="8" t="str">
        <f>FactFacultyKPI!T6</f>
        <v>🟢 I balanse</v>
      </c>
      <c r="K10" s="8"/>
      <c r="L10" s="8"/>
      <c r="M10" s="8"/>
      <c r="N10" s="8"/>
      <c r="O10" s="8"/>
      <c r="P10" s="8"/>
      <c r="Q10" s="8"/>
      <c r="R10" s="8"/>
      <c r="S10" s="8"/>
    </row>
    <row r="11" spans="1:19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19" x14ac:dyDescent="0.3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19" x14ac:dyDescent="0.3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19" x14ac:dyDescent="0.35">
      <c r="A14" s="14" t="s">
        <v>525</v>
      </c>
      <c r="B14" s="14"/>
      <c r="C14" s="14"/>
      <c r="D14" s="14"/>
      <c r="E14" s="14"/>
      <c r="F14" s="14"/>
      <c r="G14" s="14"/>
      <c r="H14" s="14"/>
      <c r="I14" s="14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19" x14ac:dyDescent="0.35">
      <c r="A15" s="15" t="s">
        <v>526</v>
      </c>
      <c r="B15" s="15"/>
      <c r="C15" s="15"/>
      <c r="D15" s="15" t="s">
        <v>527</v>
      </c>
      <c r="E15" s="15"/>
      <c r="F15" s="15"/>
      <c r="G15" s="15" t="s">
        <v>528</v>
      </c>
      <c r="H15" s="15"/>
      <c r="I15" s="15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19" x14ac:dyDescent="0.35">
      <c r="A16" s="23">
        <f>MIN(D6:D10)</f>
        <v>-5.3</v>
      </c>
      <c r="B16" s="23"/>
      <c r="C16" s="23"/>
      <c r="D16" s="23">
        <f>MAX(D6:D10)</f>
        <v>3</v>
      </c>
      <c r="E16" s="23"/>
      <c r="F16" s="23"/>
      <c r="G16" s="24">
        <f>MAX(I6:I10)</f>
        <v>136972</v>
      </c>
      <c r="H16" s="24"/>
      <c r="I16" s="24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x14ac:dyDescent="0.35">
      <c r="A17" s="23"/>
      <c r="B17" s="23"/>
      <c r="C17" s="23"/>
      <c r="D17" s="23"/>
      <c r="E17" s="23"/>
      <c r="F17" s="23"/>
      <c r="G17" s="24"/>
      <c r="H17" s="24"/>
      <c r="I17" s="24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x14ac:dyDescent="0.3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x14ac:dyDescent="0.3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1:19" x14ac:dyDescent="0.35">
      <c r="A20" s="14" t="s">
        <v>529</v>
      </c>
      <c r="B20" s="14"/>
      <c r="C20" s="14"/>
      <c r="D20" s="14"/>
      <c r="E20" s="14"/>
      <c r="F20" s="14"/>
      <c r="G20" s="14"/>
      <c r="H20" s="14"/>
      <c r="I20" s="14"/>
      <c r="J20" s="14"/>
      <c r="K20" s="8"/>
      <c r="L20" s="8"/>
      <c r="M20" s="8"/>
      <c r="N20" s="8"/>
      <c r="O20" s="8"/>
      <c r="P20" s="8"/>
      <c r="Q20" s="8"/>
      <c r="R20" s="8"/>
      <c r="S20" s="8"/>
    </row>
    <row r="21" spans="1:19" ht="25" customHeight="1" x14ac:dyDescent="0.35">
      <c r="A21" s="7" t="str">
        <f>"Kritisk resultat: "&amp;INDEX(A6:A10,MATCH(MIN(D6:D10),D6:D10,0))&amp;" ("&amp;TEXT(MIN(D6:D10),"0.0")&amp;" MNOK)."</f>
        <v>Kritisk resultat: Fakultet for helse- og idrettsvitenskap (HEL) (-5.3 MNOK).</v>
      </c>
      <c r="B21" s="7"/>
      <c r="C21" s="7"/>
      <c r="D21" s="7"/>
      <c r="E21" s="7"/>
      <c r="F21" s="7"/>
      <c r="G21" s="7"/>
      <c r="H21" s="7"/>
      <c r="I21" s="7"/>
      <c r="J21" s="7"/>
      <c r="K21" s="8"/>
      <c r="L21" s="8"/>
      <c r="M21" s="8"/>
      <c r="N21" s="8"/>
      <c r="O21" s="8"/>
      <c r="P21" s="8"/>
      <c r="Q21" s="8"/>
      <c r="R21" s="8"/>
      <c r="S21" s="8"/>
    </row>
    <row r="22" spans="1:19" ht="25" customHeight="1" x14ac:dyDescent="0.35">
      <c r="A22" s="7" t="str">
        <f>"Kostnadsnivå: "&amp;INDEX(A6:A10,MATCH(MAX(I6:I10),I6:I10,0))&amp;" har høyest kostnad per SPE60 ("&amp;TEXT(MAX(I6:I10),"#,##0")&amp;" NOK)."</f>
        <v>Kostnadsnivå: Fakultet for teknologi og realfag (TEK) har høyest kostnad per SPE60 (136,972 NOK).</v>
      </c>
      <c r="B22" s="7"/>
      <c r="C22" s="7"/>
      <c r="D22" s="7"/>
      <c r="E22" s="7"/>
      <c r="F22" s="7"/>
      <c r="G22" s="7"/>
      <c r="H22" s="7"/>
      <c r="I22" s="7"/>
      <c r="J22" s="7"/>
      <c r="K22" s="8"/>
      <c r="L22" s="8"/>
      <c r="M22" s="8"/>
      <c r="N22" s="8"/>
      <c r="O22" s="8"/>
      <c r="P22" s="8"/>
      <c r="Q22" s="8"/>
      <c r="R22" s="8"/>
      <c r="S22" s="8"/>
    </row>
    <row r="23" spans="1:19" ht="25" customHeight="1" x14ac:dyDescent="0.35">
      <c r="A23" s="7" t="str">
        <f>COUNTIF(J6:J10,"🟢*")&amp;" av 5 fakulteter har grønn RAG-status; "&amp;COUNTIF(J6:J10,"🔴*")&amp;" er røde."</f>
        <v>3 av 5 fakulteter har grønn RAG-status; 1 er røde.</v>
      </c>
      <c r="B23" s="7"/>
      <c r="C23" s="7"/>
      <c r="D23" s="7"/>
      <c r="E23" s="7"/>
      <c r="F23" s="7"/>
      <c r="G23" s="7"/>
      <c r="H23" s="7"/>
      <c r="I23" s="7"/>
      <c r="J23" s="7"/>
      <c r="K23" s="8"/>
      <c r="L23" s="8"/>
      <c r="M23" s="8"/>
      <c r="N23" s="8"/>
      <c r="O23" s="8"/>
      <c r="P23" s="8"/>
      <c r="Q23" s="8"/>
      <c r="R23" s="8"/>
      <c r="S23" s="8"/>
    </row>
  </sheetData>
  <mergeCells count="13">
    <mergeCell ref="A20:J20"/>
    <mergeCell ref="A21:J21"/>
    <mergeCell ref="A22:J22"/>
    <mergeCell ref="A23:J23"/>
    <mergeCell ref="A1:S2"/>
    <mergeCell ref="A3:S3"/>
    <mergeCell ref="A14:I14"/>
    <mergeCell ref="A15:C15"/>
    <mergeCell ref="A16:C17"/>
    <mergeCell ref="D15:F15"/>
    <mergeCell ref="D16:F17"/>
    <mergeCell ref="G15:I15"/>
    <mergeCell ref="G16:I17"/>
  </mergeCells>
  <conditionalFormatting sqref="D6:D10">
    <cfRule type="expression" dxfId="43" priority="1">
      <formula>D6&lt;0</formula>
    </cfRule>
  </conditionalFormatting>
  <conditionalFormatting sqref="D6:D10">
    <cfRule type="expression" dxfId="42" priority="2">
      <formula>D6&gt;=0</formula>
    </cfRule>
  </conditionalFormatting>
  <conditionalFormatting sqref="I6:I10">
    <cfRule type="expression" dxfId="38" priority="3">
      <formula>I6&gt;120000</formula>
    </cfRule>
  </conditionalFormatting>
  <conditionalFormatting sqref="I6:I10">
    <cfRule type="expression" dxfId="37" priority="4">
      <formula>AND(I6&gt;90000,I6&lt;=120000)</formula>
    </cfRule>
  </conditionalFormatting>
  <conditionalFormatting sqref="I6:I10">
    <cfRule type="expression" dxfId="36" priority="5">
      <formula>I6&lt;=90000</formula>
    </cfRule>
  </conditionalFormatting>
  <conditionalFormatting sqref="J6:J10">
    <cfRule type="expression" dxfId="20" priority="6">
      <formula>ISNUMBER(SEARCH("🔴",$J6))</formula>
    </cfRule>
  </conditionalFormatting>
  <conditionalFormatting sqref="J6:J10">
    <cfRule type="expression" dxfId="19" priority="7">
      <formula>ISNUMBER(SEARCH("🟡",$J6))</formula>
    </cfRule>
  </conditionalFormatting>
  <conditionalFormatting sqref="J6:J10">
    <cfRule type="expression" dxfId="18" priority="8">
      <formula>ISNUMBER(SEARCH("🟢",$J6))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2C76E-D6CE-4E10-8EE8-C20557E8C9B7}">
  <dimension ref="A1:L4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bestFit="1" customWidth="1"/>
    <col min="2" max="2" width="34.453125" bestFit="1" customWidth="1"/>
    <col min="3" max="3" width="19.90625" customWidth="1"/>
    <col min="4" max="4" width="27.08984375" bestFit="1" customWidth="1"/>
    <col min="5" max="5" width="20.36328125" bestFit="1" customWidth="1"/>
    <col min="6" max="6" width="52.36328125" bestFit="1" customWidth="1"/>
    <col min="7" max="7" width="22.08984375" bestFit="1" customWidth="1"/>
    <col min="8" max="8" width="34.453125" bestFit="1" customWidth="1"/>
    <col min="9" max="9" width="19.54296875" customWidth="1"/>
    <col min="10" max="10" width="34.453125" bestFit="1" customWidth="1"/>
    <col min="11" max="11" width="11.54296875" bestFit="1" customWidth="1"/>
    <col min="12" max="12" width="19.90625" bestFit="1" customWidth="1"/>
  </cols>
  <sheetData>
    <row r="1" spans="1:12" ht="28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5">
      <c r="A2" s="2">
        <v>3030</v>
      </c>
      <c r="B2" s="2" t="s">
        <v>12</v>
      </c>
      <c r="C2" s="2">
        <v>3</v>
      </c>
      <c r="D2" s="2" t="s">
        <v>13</v>
      </c>
      <c r="E2" s="2">
        <v>30</v>
      </c>
      <c r="F2" s="2" t="s">
        <v>14</v>
      </c>
      <c r="G2" s="2">
        <v>303</v>
      </c>
      <c r="H2" s="2" t="s">
        <v>12</v>
      </c>
      <c r="I2" s="2">
        <v>3030</v>
      </c>
      <c r="J2" s="2" t="s">
        <v>12</v>
      </c>
      <c r="K2" s="2" t="s">
        <v>15</v>
      </c>
      <c r="L2" s="2" t="s">
        <v>16</v>
      </c>
    </row>
    <row r="3" spans="1:12" x14ac:dyDescent="0.35">
      <c r="A3" s="2">
        <v>3130</v>
      </c>
      <c r="B3" s="2" t="s">
        <v>17</v>
      </c>
      <c r="C3" s="2">
        <v>3</v>
      </c>
      <c r="D3" s="2" t="s">
        <v>13</v>
      </c>
      <c r="E3" s="2">
        <v>31</v>
      </c>
      <c r="F3" s="2" t="s">
        <v>18</v>
      </c>
      <c r="G3" s="2">
        <v>313</v>
      </c>
      <c r="H3" s="2" t="s">
        <v>17</v>
      </c>
      <c r="I3" s="2">
        <v>3130</v>
      </c>
      <c r="J3" s="2" t="s">
        <v>17</v>
      </c>
      <c r="K3" s="2" t="s">
        <v>15</v>
      </c>
      <c r="L3" s="2" t="s">
        <v>16</v>
      </c>
    </row>
    <row r="4" spans="1:12" x14ac:dyDescent="0.35">
      <c r="A4" s="2">
        <v>3230</v>
      </c>
      <c r="B4" s="2" t="s">
        <v>19</v>
      </c>
      <c r="C4" s="2">
        <v>3</v>
      </c>
      <c r="D4" s="2" t="s">
        <v>13</v>
      </c>
      <c r="E4" s="2">
        <v>32</v>
      </c>
      <c r="F4" s="2" t="s">
        <v>20</v>
      </c>
      <c r="G4" s="2">
        <v>323</v>
      </c>
      <c r="H4" s="2" t="s">
        <v>19</v>
      </c>
      <c r="I4" s="2">
        <v>3230</v>
      </c>
      <c r="J4" s="2" t="s">
        <v>19</v>
      </c>
      <c r="K4" s="2" t="s">
        <v>15</v>
      </c>
      <c r="L4" s="2" t="s">
        <v>16</v>
      </c>
    </row>
    <row r="5" spans="1:12" x14ac:dyDescent="0.35">
      <c r="A5" s="2">
        <v>3400</v>
      </c>
      <c r="B5" s="2" t="s">
        <v>21</v>
      </c>
      <c r="C5" s="2">
        <v>3</v>
      </c>
      <c r="D5" s="2" t="s">
        <v>13</v>
      </c>
      <c r="E5" s="2">
        <v>34</v>
      </c>
      <c r="F5" s="2" t="s">
        <v>22</v>
      </c>
      <c r="G5" s="2">
        <v>340</v>
      </c>
      <c r="H5" s="2" t="s">
        <v>21</v>
      </c>
      <c r="I5" s="2">
        <v>3400</v>
      </c>
      <c r="J5" s="2" t="s">
        <v>21</v>
      </c>
      <c r="K5" s="2" t="s">
        <v>15</v>
      </c>
      <c r="L5" s="2" t="s">
        <v>23</v>
      </c>
    </row>
    <row r="6" spans="1:12" x14ac:dyDescent="0.35">
      <c r="A6" s="2">
        <v>3410</v>
      </c>
      <c r="B6" s="2" t="s">
        <v>24</v>
      </c>
      <c r="C6" s="2">
        <v>3</v>
      </c>
      <c r="D6" s="2" t="s">
        <v>13</v>
      </c>
      <c r="E6" s="2">
        <v>34</v>
      </c>
      <c r="F6" s="2" t="s">
        <v>22</v>
      </c>
      <c r="G6" s="2">
        <v>341</v>
      </c>
      <c r="H6" s="2" t="s">
        <v>24</v>
      </c>
      <c r="I6" s="2">
        <v>3410</v>
      </c>
      <c r="J6" s="2" t="s">
        <v>24</v>
      </c>
      <c r="K6" s="2" t="s">
        <v>15</v>
      </c>
      <c r="L6" s="2" t="s">
        <v>23</v>
      </c>
    </row>
    <row r="7" spans="1:12" x14ac:dyDescent="0.35">
      <c r="A7" s="2">
        <v>3420</v>
      </c>
      <c r="B7" s="2" t="s">
        <v>25</v>
      </c>
      <c r="C7" s="2">
        <v>3</v>
      </c>
      <c r="D7" s="2" t="s">
        <v>13</v>
      </c>
      <c r="E7" s="2">
        <v>34</v>
      </c>
      <c r="F7" s="2" t="s">
        <v>22</v>
      </c>
      <c r="G7" s="2">
        <v>342</v>
      </c>
      <c r="H7" s="2" t="s">
        <v>25</v>
      </c>
      <c r="I7" s="2">
        <v>3420</v>
      </c>
      <c r="J7" s="2" t="s">
        <v>25</v>
      </c>
      <c r="K7" s="2" t="s">
        <v>15</v>
      </c>
      <c r="L7" s="2" t="s">
        <v>23</v>
      </c>
    </row>
    <row r="8" spans="1:12" x14ac:dyDescent="0.35">
      <c r="A8" s="2">
        <v>3450</v>
      </c>
      <c r="B8" s="2" t="s">
        <v>26</v>
      </c>
      <c r="C8" s="2">
        <v>3</v>
      </c>
      <c r="D8" s="2" t="s">
        <v>13</v>
      </c>
      <c r="E8" s="2">
        <v>34</v>
      </c>
      <c r="F8" s="2" t="s">
        <v>22</v>
      </c>
      <c r="G8" s="2">
        <v>345</v>
      </c>
      <c r="H8" s="2" t="s">
        <v>26</v>
      </c>
      <c r="I8" s="2">
        <v>3450</v>
      </c>
      <c r="J8" s="2" t="s">
        <v>26</v>
      </c>
      <c r="K8" s="2" t="s">
        <v>15</v>
      </c>
      <c r="L8" s="2" t="s">
        <v>23</v>
      </c>
    </row>
    <row r="9" spans="1:12" x14ac:dyDescent="0.35">
      <c r="A9" s="2">
        <v>3490</v>
      </c>
      <c r="B9" s="2" t="s">
        <v>27</v>
      </c>
      <c r="C9" s="2">
        <v>3</v>
      </c>
      <c r="D9" s="2" t="s">
        <v>13</v>
      </c>
      <c r="E9" s="2">
        <v>34</v>
      </c>
      <c r="F9" s="2" t="s">
        <v>22</v>
      </c>
      <c r="G9" s="2">
        <v>349</v>
      </c>
      <c r="H9" s="2" t="s">
        <v>27</v>
      </c>
      <c r="I9" s="2">
        <v>3490</v>
      </c>
      <c r="J9" s="2" t="s">
        <v>27</v>
      </c>
      <c r="K9" s="2" t="s">
        <v>15</v>
      </c>
      <c r="L9" s="2" t="s">
        <v>23</v>
      </c>
    </row>
    <row r="10" spans="1:12" x14ac:dyDescent="0.35">
      <c r="A10" s="2">
        <v>3670</v>
      </c>
      <c r="B10" s="2" t="s">
        <v>28</v>
      </c>
      <c r="C10" s="2">
        <v>3</v>
      </c>
      <c r="D10" s="2" t="s">
        <v>13</v>
      </c>
      <c r="E10" s="2">
        <v>36</v>
      </c>
      <c r="F10" s="2" t="s">
        <v>29</v>
      </c>
      <c r="G10" s="2">
        <v>367</v>
      </c>
      <c r="H10" s="2" t="s">
        <v>28</v>
      </c>
      <c r="I10" s="2">
        <v>3670</v>
      </c>
      <c r="J10" s="2" t="s">
        <v>28</v>
      </c>
      <c r="K10" s="2" t="s">
        <v>15</v>
      </c>
      <c r="L10" s="2" t="s">
        <v>30</v>
      </c>
    </row>
    <row r="11" spans="1:12" x14ac:dyDescent="0.35">
      <c r="A11" s="2">
        <v>3900</v>
      </c>
      <c r="B11" s="2" t="s">
        <v>31</v>
      </c>
      <c r="C11" s="2">
        <v>3</v>
      </c>
      <c r="D11" s="2" t="s">
        <v>13</v>
      </c>
      <c r="E11" s="2">
        <v>39</v>
      </c>
      <c r="F11" s="2" t="s">
        <v>31</v>
      </c>
      <c r="G11" s="2">
        <v>390</v>
      </c>
      <c r="H11" s="2" t="s">
        <v>31</v>
      </c>
      <c r="I11" s="2">
        <v>3900</v>
      </c>
      <c r="J11" s="2" t="s">
        <v>31</v>
      </c>
      <c r="K11" s="2" t="s">
        <v>15</v>
      </c>
      <c r="L11" s="2" t="s">
        <v>31</v>
      </c>
    </row>
    <row r="12" spans="1:12" x14ac:dyDescent="0.35">
      <c r="A12" s="2">
        <v>5000</v>
      </c>
      <c r="B12" s="2" t="s">
        <v>32</v>
      </c>
      <c r="C12" s="2">
        <v>5</v>
      </c>
      <c r="D12" s="2" t="s">
        <v>33</v>
      </c>
      <c r="E12" s="2">
        <v>50</v>
      </c>
      <c r="F12" s="2" t="s">
        <v>34</v>
      </c>
      <c r="G12" s="2">
        <v>500</v>
      </c>
      <c r="H12" s="2" t="s">
        <v>32</v>
      </c>
      <c r="I12" s="2">
        <v>5000</v>
      </c>
      <c r="J12" s="2" t="s">
        <v>32</v>
      </c>
      <c r="K12" s="2" t="s">
        <v>35</v>
      </c>
      <c r="L12" s="2" t="s">
        <v>36</v>
      </c>
    </row>
    <row r="13" spans="1:12" x14ac:dyDescent="0.35">
      <c r="A13" s="2">
        <v>5050</v>
      </c>
      <c r="B13" s="2" t="s">
        <v>37</v>
      </c>
      <c r="C13" s="2">
        <v>5</v>
      </c>
      <c r="D13" s="2" t="s">
        <v>33</v>
      </c>
      <c r="E13" s="2">
        <v>50</v>
      </c>
      <c r="F13" s="2" t="s">
        <v>34</v>
      </c>
      <c r="G13" s="2">
        <v>505</v>
      </c>
      <c r="H13" s="2" t="s">
        <v>37</v>
      </c>
      <c r="I13" s="2">
        <v>5050</v>
      </c>
      <c r="J13" s="2" t="s">
        <v>37</v>
      </c>
      <c r="K13" s="2" t="s">
        <v>35</v>
      </c>
      <c r="L13" s="2" t="s">
        <v>36</v>
      </c>
    </row>
    <row r="14" spans="1:12" x14ac:dyDescent="0.35">
      <c r="A14" s="2">
        <v>5100</v>
      </c>
      <c r="B14" s="2" t="s">
        <v>38</v>
      </c>
      <c r="C14" s="2">
        <v>5</v>
      </c>
      <c r="D14" s="2" t="s">
        <v>33</v>
      </c>
      <c r="E14" s="2">
        <v>51</v>
      </c>
      <c r="F14" s="2" t="s">
        <v>39</v>
      </c>
      <c r="G14" s="2">
        <v>510</v>
      </c>
      <c r="H14" s="2" t="s">
        <v>38</v>
      </c>
      <c r="I14" s="2">
        <v>5100</v>
      </c>
      <c r="J14" s="2" t="s">
        <v>38</v>
      </c>
      <c r="K14" s="2" t="s">
        <v>35</v>
      </c>
      <c r="L14" s="2" t="s">
        <v>36</v>
      </c>
    </row>
    <row r="15" spans="1:12" x14ac:dyDescent="0.35">
      <c r="A15" s="2">
        <v>5080</v>
      </c>
      <c r="B15" s="2" t="s">
        <v>40</v>
      </c>
      <c r="C15" s="2">
        <v>5</v>
      </c>
      <c r="D15" s="2" t="s">
        <v>33</v>
      </c>
      <c r="E15" s="2">
        <v>50</v>
      </c>
      <c r="F15" s="2" t="s">
        <v>34</v>
      </c>
      <c r="G15" s="2">
        <v>508</v>
      </c>
      <c r="H15" s="2" t="s">
        <v>40</v>
      </c>
      <c r="I15" s="2">
        <v>5080</v>
      </c>
      <c r="J15" s="2" t="s">
        <v>40</v>
      </c>
      <c r="K15" s="2" t="s">
        <v>35</v>
      </c>
      <c r="L15" s="2" t="s">
        <v>36</v>
      </c>
    </row>
    <row r="16" spans="1:12" x14ac:dyDescent="0.35">
      <c r="A16" s="2">
        <v>5400</v>
      </c>
      <c r="B16" s="2" t="s">
        <v>41</v>
      </c>
      <c r="C16" s="2">
        <v>5</v>
      </c>
      <c r="D16" s="2" t="s">
        <v>33</v>
      </c>
      <c r="E16" s="2">
        <v>54</v>
      </c>
      <c r="F16" s="2" t="s">
        <v>42</v>
      </c>
      <c r="G16" s="2">
        <v>540</v>
      </c>
      <c r="H16" s="2" t="s">
        <v>41</v>
      </c>
      <c r="I16" s="2">
        <v>5400</v>
      </c>
      <c r="J16" s="2" t="s">
        <v>41</v>
      </c>
      <c r="K16" s="2" t="s">
        <v>35</v>
      </c>
      <c r="L16" s="2" t="s">
        <v>36</v>
      </c>
    </row>
    <row r="17" spans="1:12" x14ac:dyDescent="0.35">
      <c r="A17" s="2">
        <v>5420</v>
      </c>
      <c r="B17" s="2" t="s">
        <v>43</v>
      </c>
      <c r="C17" s="2">
        <v>5</v>
      </c>
      <c r="D17" s="2" t="s">
        <v>33</v>
      </c>
      <c r="E17" s="2">
        <v>54</v>
      </c>
      <c r="F17" s="2" t="s">
        <v>42</v>
      </c>
      <c r="G17" s="2">
        <v>542</v>
      </c>
      <c r="H17" s="2" t="s">
        <v>43</v>
      </c>
      <c r="I17" s="2">
        <v>5420</v>
      </c>
      <c r="J17" s="2" t="s">
        <v>43</v>
      </c>
      <c r="K17" s="2" t="s">
        <v>35</v>
      </c>
      <c r="L17" s="2" t="s">
        <v>36</v>
      </c>
    </row>
    <row r="18" spans="1:12" x14ac:dyDescent="0.35">
      <c r="A18" s="2">
        <v>5800</v>
      </c>
      <c r="B18" s="2" t="s">
        <v>44</v>
      </c>
      <c r="C18" s="2">
        <v>5</v>
      </c>
      <c r="D18" s="2" t="s">
        <v>33</v>
      </c>
      <c r="E18" s="2">
        <v>58</v>
      </c>
      <c r="F18" s="2" t="s">
        <v>45</v>
      </c>
      <c r="G18" s="2">
        <v>580</v>
      </c>
      <c r="H18" s="2" t="s">
        <v>44</v>
      </c>
      <c r="I18" s="2">
        <v>5800</v>
      </c>
      <c r="J18" s="2" t="s">
        <v>44</v>
      </c>
      <c r="K18" s="2" t="s">
        <v>35</v>
      </c>
      <c r="L18" s="2" t="s">
        <v>36</v>
      </c>
    </row>
    <row r="19" spans="1:12" x14ac:dyDescent="0.35">
      <c r="A19" s="2">
        <v>5810</v>
      </c>
      <c r="B19" s="2" t="s">
        <v>46</v>
      </c>
      <c r="C19" s="2">
        <v>5</v>
      </c>
      <c r="D19" s="2" t="s">
        <v>33</v>
      </c>
      <c r="E19" s="2">
        <v>58</v>
      </c>
      <c r="F19" s="2" t="s">
        <v>45</v>
      </c>
      <c r="G19" s="2">
        <v>581</v>
      </c>
      <c r="H19" s="2" t="s">
        <v>46</v>
      </c>
      <c r="I19" s="2">
        <v>5810</v>
      </c>
      <c r="J19" s="2" t="s">
        <v>46</v>
      </c>
      <c r="K19" s="2" t="s">
        <v>35</v>
      </c>
      <c r="L19" s="2" t="s">
        <v>36</v>
      </c>
    </row>
    <row r="20" spans="1:12" x14ac:dyDescent="0.35">
      <c r="A20" s="2">
        <v>6000</v>
      </c>
      <c r="B20" s="2" t="s">
        <v>47</v>
      </c>
      <c r="C20" s="2">
        <v>6</v>
      </c>
      <c r="D20" s="2" t="s">
        <v>48</v>
      </c>
      <c r="E20" s="2">
        <v>60</v>
      </c>
      <c r="F20" s="2" t="s">
        <v>49</v>
      </c>
      <c r="G20" s="2">
        <v>600</v>
      </c>
      <c r="H20" s="2" t="s">
        <v>47</v>
      </c>
      <c r="I20" s="2">
        <v>6000</v>
      </c>
      <c r="J20" s="2" t="s">
        <v>47</v>
      </c>
      <c r="K20" s="2" t="s">
        <v>35</v>
      </c>
      <c r="L20" s="2" t="s">
        <v>50</v>
      </c>
    </row>
    <row r="21" spans="1:12" x14ac:dyDescent="0.35">
      <c r="A21" s="2">
        <v>6050</v>
      </c>
      <c r="B21" s="2" t="s">
        <v>51</v>
      </c>
      <c r="C21" s="2">
        <v>6</v>
      </c>
      <c r="D21" s="2" t="s">
        <v>48</v>
      </c>
      <c r="E21" s="2">
        <v>60</v>
      </c>
      <c r="F21" s="2" t="s">
        <v>49</v>
      </c>
      <c r="G21" s="2">
        <v>605</v>
      </c>
      <c r="H21" s="2" t="s">
        <v>51</v>
      </c>
      <c r="I21" s="2">
        <v>6050</v>
      </c>
      <c r="J21" s="2" t="s">
        <v>51</v>
      </c>
      <c r="K21" s="2" t="s">
        <v>35</v>
      </c>
      <c r="L21" s="2" t="s">
        <v>50</v>
      </c>
    </row>
    <row r="22" spans="1:12" x14ac:dyDescent="0.35">
      <c r="A22" s="2">
        <v>6300</v>
      </c>
      <c r="B22" s="2" t="s">
        <v>52</v>
      </c>
      <c r="C22" s="2">
        <v>6</v>
      </c>
      <c r="D22" s="2" t="s">
        <v>48</v>
      </c>
      <c r="E22" s="2">
        <v>63</v>
      </c>
      <c r="F22" s="2" t="s">
        <v>53</v>
      </c>
      <c r="G22" s="2">
        <v>630</v>
      </c>
      <c r="H22" s="2" t="s">
        <v>52</v>
      </c>
      <c r="I22" s="2">
        <v>6300</v>
      </c>
      <c r="J22" s="2" t="s">
        <v>52</v>
      </c>
      <c r="K22" s="2" t="s">
        <v>35</v>
      </c>
      <c r="L22" s="2" t="s">
        <v>54</v>
      </c>
    </row>
    <row r="23" spans="1:12" x14ac:dyDescent="0.35">
      <c r="A23" s="2">
        <v>6310</v>
      </c>
      <c r="B23" s="2" t="s">
        <v>55</v>
      </c>
      <c r="C23" s="2">
        <v>6</v>
      </c>
      <c r="D23" s="2" t="s">
        <v>48</v>
      </c>
      <c r="E23" s="2">
        <v>63</v>
      </c>
      <c r="F23" s="2" t="s">
        <v>53</v>
      </c>
      <c r="G23" s="2">
        <v>631</v>
      </c>
      <c r="H23" s="2" t="s">
        <v>55</v>
      </c>
      <c r="I23" s="2">
        <v>6310</v>
      </c>
      <c r="J23" s="2" t="s">
        <v>55</v>
      </c>
      <c r="K23" s="2" t="s">
        <v>35</v>
      </c>
      <c r="L23" s="2" t="s">
        <v>54</v>
      </c>
    </row>
    <row r="24" spans="1:12" x14ac:dyDescent="0.35">
      <c r="A24" s="2">
        <v>6340</v>
      </c>
      <c r="B24" s="2" t="s">
        <v>56</v>
      </c>
      <c r="C24" s="2">
        <v>6</v>
      </c>
      <c r="D24" s="2" t="s">
        <v>48</v>
      </c>
      <c r="E24" s="2">
        <v>63</v>
      </c>
      <c r="F24" s="2" t="s">
        <v>53</v>
      </c>
      <c r="G24" s="2">
        <v>634</v>
      </c>
      <c r="H24" s="2" t="s">
        <v>56</v>
      </c>
      <c r="I24" s="2">
        <v>6340</v>
      </c>
      <c r="J24" s="2" t="s">
        <v>56</v>
      </c>
      <c r="K24" s="2" t="s">
        <v>35</v>
      </c>
      <c r="L24" s="2" t="s">
        <v>54</v>
      </c>
    </row>
    <row r="25" spans="1:12" x14ac:dyDescent="0.35">
      <c r="A25" s="2">
        <v>6360</v>
      </c>
      <c r="B25" s="2" t="s">
        <v>57</v>
      </c>
      <c r="C25" s="2">
        <v>6</v>
      </c>
      <c r="D25" s="2" t="s">
        <v>48</v>
      </c>
      <c r="E25" s="2">
        <v>63</v>
      </c>
      <c r="F25" s="2" t="s">
        <v>53</v>
      </c>
      <c r="G25" s="2">
        <v>636</v>
      </c>
      <c r="H25" s="2" t="s">
        <v>57</v>
      </c>
      <c r="I25" s="2">
        <v>6360</v>
      </c>
      <c r="J25" s="2" t="s">
        <v>57</v>
      </c>
      <c r="K25" s="2" t="s">
        <v>35</v>
      </c>
      <c r="L25" s="2" t="s">
        <v>54</v>
      </c>
    </row>
    <row r="26" spans="1:12" x14ac:dyDescent="0.35">
      <c r="A26" s="2">
        <v>6420</v>
      </c>
      <c r="B26" s="2" t="s">
        <v>58</v>
      </c>
      <c r="C26" s="2">
        <v>6</v>
      </c>
      <c r="D26" s="2" t="s">
        <v>48</v>
      </c>
      <c r="E26" s="2">
        <v>64</v>
      </c>
      <c r="F26" s="2" t="s">
        <v>59</v>
      </c>
      <c r="G26" s="2">
        <v>642</v>
      </c>
      <c r="H26" s="2" t="s">
        <v>58</v>
      </c>
      <c r="I26" s="2">
        <v>6420</v>
      </c>
      <c r="J26" s="2" t="s">
        <v>58</v>
      </c>
      <c r="K26" s="2" t="s">
        <v>35</v>
      </c>
      <c r="L26" s="2" t="s">
        <v>54</v>
      </c>
    </row>
    <row r="27" spans="1:12" x14ac:dyDescent="0.35">
      <c r="A27" s="2">
        <v>6540</v>
      </c>
      <c r="B27" s="2" t="s">
        <v>60</v>
      </c>
      <c r="C27" s="2">
        <v>6</v>
      </c>
      <c r="D27" s="2" t="s">
        <v>48</v>
      </c>
      <c r="E27" s="2">
        <v>65</v>
      </c>
      <c r="F27" s="2" t="s">
        <v>61</v>
      </c>
      <c r="G27" s="2">
        <v>654</v>
      </c>
      <c r="H27" s="2" t="s">
        <v>60</v>
      </c>
      <c r="I27" s="2">
        <v>6540</v>
      </c>
      <c r="J27" s="2" t="s">
        <v>60</v>
      </c>
      <c r="K27" s="2" t="s">
        <v>35</v>
      </c>
      <c r="L27" s="2" t="s">
        <v>54</v>
      </c>
    </row>
    <row r="28" spans="1:12" x14ac:dyDescent="0.35">
      <c r="A28" s="2">
        <v>6550</v>
      </c>
      <c r="B28" s="2" t="s">
        <v>62</v>
      </c>
      <c r="C28" s="2">
        <v>6</v>
      </c>
      <c r="D28" s="2" t="s">
        <v>48</v>
      </c>
      <c r="E28" s="2">
        <v>65</v>
      </c>
      <c r="F28" s="2" t="s">
        <v>61</v>
      </c>
      <c r="G28" s="2">
        <v>655</v>
      </c>
      <c r="H28" s="2" t="s">
        <v>62</v>
      </c>
      <c r="I28" s="2">
        <v>6550</v>
      </c>
      <c r="J28" s="2" t="s">
        <v>62</v>
      </c>
      <c r="K28" s="2" t="s">
        <v>35</v>
      </c>
      <c r="L28" s="2" t="s">
        <v>54</v>
      </c>
    </row>
    <row r="29" spans="1:12" x14ac:dyDescent="0.35">
      <c r="A29" s="2">
        <v>6630</v>
      </c>
      <c r="B29" s="2" t="s">
        <v>63</v>
      </c>
      <c r="C29" s="2">
        <v>6</v>
      </c>
      <c r="D29" s="2" t="s">
        <v>48</v>
      </c>
      <c r="E29" s="2">
        <v>66</v>
      </c>
      <c r="F29" s="2" t="s">
        <v>64</v>
      </c>
      <c r="G29" s="2">
        <v>663</v>
      </c>
      <c r="H29" s="2" t="s">
        <v>63</v>
      </c>
      <c r="I29" s="2">
        <v>6630</v>
      </c>
      <c r="J29" s="2" t="s">
        <v>63</v>
      </c>
      <c r="K29" s="2" t="s">
        <v>35</v>
      </c>
      <c r="L29" s="2" t="s">
        <v>54</v>
      </c>
    </row>
    <row r="30" spans="1:12" x14ac:dyDescent="0.35">
      <c r="A30" s="2">
        <v>6700</v>
      </c>
      <c r="B30" s="2" t="s">
        <v>65</v>
      </c>
      <c r="C30" s="2">
        <v>6</v>
      </c>
      <c r="D30" s="2" t="s">
        <v>48</v>
      </c>
      <c r="E30" s="2">
        <v>67</v>
      </c>
      <c r="F30" s="2" t="s">
        <v>66</v>
      </c>
      <c r="G30" s="2">
        <v>670</v>
      </c>
      <c r="H30" s="2" t="s">
        <v>65</v>
      </c>
      <c r="I30" s="2">
        <v>6700</v>
      </c>
      <c r="J30" s="2" t="s">
        <v>65</v>
      </c>
      <c r="K30" s="2" t="s">
        <v>35</v>
      </c>
      <c r="L30" s="2" t="s">
        <v>54</v>
      </c>
    </row>
    <row r="31" spans="1:12" x14ac:dyDescent="0.35">
      <c r="A31" s="2">
        <v>6710</v>
      </c>
      <c r="B31" s="2" t="s">
        <v>67</v>
      </c>
      <c r="C31" s="2">
        <v>6</v>
      </c>
      <c r="D31" s="2" t="s">
        <v>48</v>
      </c>
      <c r="E31" s="2">
        <v>67</v>
      </c>
      <c r="F31" s="2" t="s">
        <v>66</v>
      </c>
      <c r="G31" s="2">
        <v>671</v>
      </c>
      <c r="H31" s="2" t="s">
        <v>67</v>
      </c>
      <c r="I31" s="2">
        <v>6710</v>
      </c>
      <c r="J31" s="2" t="s">
        <v>67</v>
      </c>
      <c r="K31" s="2" t="s">
        <v>35</v>
      </c>
      <c r="L31" s="2" t="s">
        <v>54</v>
      </c>
    </row>
    <row r="32" spans="1:12" x14ac:dyDescent="0.35">
      <c r="A32" s="2">
        <v>6720</v>
      </c>
      <c r="B32" s="2" t="s">
        <v>68</v>
      </c>
      <c r="C32" s="2">
        <v>6</v>
      </c>
      <c r="D32" s="2" t="s">
        <v>48</v>
      </c>
      <c r="E32" s="2">
        <v>67</v>
      </c>
      <c r="F32" s="2" t="s">
        <v>66</v>
      </c>
      <c r="G32" s="2">
        <v>672</v>
      </c>
      <c r="H32" s="2" t="s">
        <v>68</v>
      </c>
      <c r="I32" s="2">
        <v>6720</v>
      </c>
      <c r="J32" s="2" t="s">
        <v>68</v>
      </c>
      <c r="K32" s="2" t="s">
        <v>35</v>
      </c>
      <c r="L32" s="2" t="s">
        <v>54</v>
      </c>
    </row>
    <row r="33" spans="1:12" x14ac:dyDescent="0.35">
      <c r="A33" s="2">
        <v>6730</v>
      </c>
      <c r="B33" s="2" t="s">
        <v>69</v>
      </c>
      <c r="C33" s="2">
        <v>6</v>
      </c>
      <c r="D33" s="2" t="s">
        <v>48</v>
      </c>
      <c r="E33" s="2">
        <v>67</v>
      </c>
      <c r="F33" s="2" t="s">
        <v>66</v>
      </c>
      <c r="G33" s="2">
        <v>673</v>
      </c>
      <c r="H33" s="2" t="s">
        <v>69</v>
      </c>
      <c r="I33" s="2">
        <v>6730</v>
      </c>
      <c r="J33" s="2" t="s">
        <v>69</v>
      </c>
      <c r="K33" s="2" t="s">
        <v>35</v>
      </c>
      <c r="L33" s="2" t="s">
        <v>54</v>
      </c>
    </row>
    <row r="34" spans="1:12" x14ac:dyDescent="0.35">
      <c r="A34" s="2">
        <v>6740</v>
      </c>
      <c r="B34" s="2" t="s">
        <v>70</v>
      </c>
      <c r="C34" s="2">
        <v>6</v>
      </c>
      <c r="D34" s="2" t="s">
        <v>48</v>
      </c>
      <c r="E34" s="2">
        <v>67</v>
      </c>
      <c r="F34" s="2" t="s">
        <v>66</v>
      </c>
      <c r="G34" s="2">
        <v>674</v>
      </c>
      <c r="H34" s="2" t="s">
        <v>70</v>
      </c>
      <c r="I34" s="2">
        <v>6740</v>
      </c>
      <c r="J34" s="2" t="s">
        <v>70</v>
      </c>
      <c r="K34" s="2" t="s">
        <v>35</v>
      </c>
      <c r="L34" s="2" t="s">
        <v>54</v>
      </c>
    </row>
    <row r="35" spans="1:12" x14ac:dyDescent="0.35">
      <c r="A35" s="2">
        <v>6750</v>
      </c>
      <c r="B35" s="2" t="s">
        <v>71</v>
      </c>
      <c r="C35" s="2">
        <v>6</v>
      </c>
      <c r="D35" s="2" t="s">
        <v>48</v>
      </c>
      <c r="E35" s="2">
        <v>67</v>
      </c>
      <c r="F35" s="2" t="s">
        <v>66</v>
      </c>
      <c r="G35" s="2">
        <v>675</v>
      </c>
      <c r="H35" s="2" t="s">
        <v>71</v>
      </c>
      <c r="I35" s="2">
        <v>6750</v>
      </c>
      <c r="J35" s="2" t="s">
        <v>71</v>
      </c>
      <c r="K35" s="2" t="s">
        <v>35</v>
      </c>
      <c r="L35" s="2" t="s">
        <v>54</v>
      </c>
    </row>
    <row r="36" spans="1:12" x14ac:dyDescent="0.35">
      <c r="A36" s="2">
        <v>6800</v>
      </c>
      <c r="B36" s="2" t="s">
        <v>72</v>
      </c>
      <c r="C36" s="2">
        <v>6</v>
      </c>
      <c r="D36" s="2" t="s">
        <v>48</v>
      </c>
      <c r="E36" s="2">
        <v>68</v>
      </c>
      <c r="F36" s="2" t="s">
        <v>73</v>
      </c>
      <c r="G36" s="2">
        <v>680</v>
      </c>
      <c r="H36" s="2" t="s">
        <v>72</v>
      </c>
      <c r="I36" s="2">
        <v>6800</v>
      </c>
      <c r="J36" s="2" t="s">
        <v>72</v>
      </c>
      <c r="K36" s="2" t="s">
        <v>35</v>
      </c>
      <c r="L36" s="2" t="s">
        <v>54</v>
      </c>
    </row>
    <row r="37" spans="1:12" x14ac:dyDescent="0.35">
      <c r="A37" s="2">
        <v>6840</v>
      </c>
      <c r="B37" s="2" t="s">
        <v>74</v>
      </c>
      <c r="C37" s="2">
        <v>6</v>
      </c>
      <c r="D37" s="2" t="s">
        <v>48</v>
      </c>
      <c r="E37" s="2">
        <v>68</v>
      </c>
      <c r="F37" s="2" t="s">
        <v>73</v>
      </c>
      <c r="G37" s="2">
        <v>684</v>
      </c>
      <c r="H37" s="2" t="s">
        <v>74</v>
      </c>
      <c r="I37" s="2">
        <v>6840</v>
      </c>
      <c r="J37" s="2" t="s">
        <v>74</v>
      </c>
      <c r="K37" s="2" t="s">
        <v>35</v>
      </c>
      <c r="L37" s="2" t="s">
        <v>54</v>
      </c>
    </row>
    <row r="38" spans="1:12" x14ac:dyDescent="0.35">
      <c r="A38" s="2">
        <v>6860</v>
      </c>
      <c r="B38" s="2" t="s">
        <v>75</v>
      </c>
      <c r="C38" s="2">
        <v>6</v>
      </c>
      <c r="D38" s="2" t="s">
        <v>48</v>
      </c>
      <c r="E38" s="2">
        <v>68</v>
      </c>
      <c r="F38" s="2" t="s">
        <v>73</v>
      </c>
      <c r="G38" s="2">
        <v>686</v>
      </c>
      <c r="H38" s="2" t="s">
        <v>75</v>
      </c>
      <c r="I38" s="2">
        <v>6860</v>
      </c>
      <c r="J38" s="2" t="s">
        <v>75</v>
      </c>
      <c r="K38" s="2" t="s">
        <v>35</v>
      </c>
      <c r="L38" s="2" t="s">
        <v>54</v>
      </c>
    </row>
    <row r="39" spans="1:12" x14ac:dyDescent="0.35">
      <c r="A39" s="2">
        <v>6870</v>
      </c>
      <c r="B39" s="2" t="s">
        <v>76</v>
      </c>
      <c r="C39" s="2">
        <v>6</v>
      </c>
      <c r="D39" s="2" t="s">
        <v>48</v>
      </c>
      <c r="E39" s="2">
        <v>68</v>
      </c>
      <c r="F39" s="2" t="s">
        <v>73</v>
      </c>
      <c r="G39" s="2">
        <v>687</v>
      </c>
      <c r="H39" s="2" t="s">
        <v>76</v>
      </c>
      <c r="I39" s="2">
        <v>6870</v>
      </c>
      <c r="J39" s="2" t="s">
        <v>76</v>
      </c>
      <c r="K39" s="2" t="s">
        <v>35</v>
      </c>
      <c r="L39" s="2" t="s">
        <v>54</v>
      </c>
    </row>
    <row r="40" spans="1:12" x14ac:dyDescent="0.35">
      <c r="A40" s="2">
        <v>6900</v>
      </c>
      <c r="B40" s="2" t="s">
        <v>77</v>
      </c>
      <c r="C40" s="2">
        <v>6</v>
      </c>
      <c r="D40" s="2" t="s">
        <v>48</v>
      </c>
      <c r="E40" s="2">
        <v>69</v>
      </c>
      <c r="F40" s="2" t="s">
        <v>78</v>
      </c>
      <c r="G40" s="2">
        <v>690</v>
      </c>
      <c r="H40" s="2" t="s">
        <v>77</v>
      </c>
      <c r="I40" s="2">
        <v>6900</v>
      </c>
      <c r="J40" s="2" t="s">
        <v>77</v>
      </c>
      <c r="K40" s="2" t="s">
        <v>35</v>
      </c>
      <c r="L40" s="2" t="s">
        <v>54</v>
      </c>
    </row>
    <row r="41" spans="1:12" x14ac:dyDescent="0.35">
      <c r="A41" s="2">
        <v>7100</v>
      </c>
      <c r="B41" s="2" t="s">
        <v>79</v>
      </c>
      <c r="C41" s="2">
        <v>7</v>
      </c>
      <c r="D41" s="2" t="s">
        <v>80</v>
      </c>
      <c r="E41" s="2">
        <v>71</v>
      </c>
      <c r="F41" s="2" t="s">
        <v>81</v>
      </c>
      <c r="G41" s="2">
        <v>710</v>
      </c>
      <c r="H41" s="2" t="s">
        <v>79</v>
      </c>
      <c r="I41" s="2">
        <v>7100</v>
      </c>
      <c r="J41" s="2" t="s">
        <v>79</v>
      </c>
      <c r="K41" s="2" t="s">
        <v>35</v>
      </c>
      <c r="L41" s="2" t="s">
        <v>54</v>
      </c>
    </row>
    <row r="42" spans="1:12" x14ac:dyDescent="0.35">
      <c r="A42" s="2">
        <v>7130</v>
      </c>
      <c r="B42" s="2" t="s">
        <v>82</v>
      </c>
      <c r="C42" s="2">
        <v>7</v>
      </c>
      <c r="D42" s="2" t="s">
        <v>80</v>
      </c>
      <c r="E42" s="2">
        <v>71</v>
      </c>
      <c r="F42" s="2" t="s">
        <v>81</v>
      </c>
      <c r="G42" s="2">
        <v>713</v>
      </c>
      <c r="H42" s="2" t="s">
        <v>82</v>
      </c>
      <c r="I42" s="2">
        <v>7130</v>
      </c>
      <c r="J42" s="2" t="s">
        <v>82</v>
      </c>
      <c r="K42" s="2" t="s">
        <v>35</v>
      </c>
      <c r="L42" s="2" t="s">
        <v>54</v>
      </c>
    </row>
    <row r="43" spans="1:12" x14ac:dyDescent="0.35">
      <c r="A43" s="2">
        <v>7150</v>
      </c>
      <c r="B43" s="2" t="s">
        <v>83</v>
      </c>
      <c r="C43" s="2">
        <v>7</v>
      </c>
      <c r="D43" s="2" t="s">
        <v>80</v>
      </c>
      <c r="E43" s="2">
        <v>71</v>
      </c>
      <c r="F43" s="2" t="s">
        <v>81</v>
      </c>
      <c r="G43" s="2">
        <v>715</v>
      </c>
      <c r="H43" s="2" t="s">
        <v>83</v>
      </c>
      <c r="I43" s="2">
        <v>7150</v>
      </c>
      <c r="J43" s="2" t="s">
        <v>83</v>
      </c>
      <c r="K43" s="2" t="s">
        <v>35</v>
      </c>
      <c r="L43" s="2" t="s">
        <v>54</v>
      </c>
    </row>
    <row r="44" spans="1:12" x14ac:dyDescent="0.35">
      <c r="A44" s="2">
        <v>7320</v>
      </c>
      <c r="B44" s="2" t="s">
        <v>84</v>
      </c>
      <c r="C44" s="2">
        <v>7</v>
      </c>
      <c r="D44" s="2" t="s">
        <v>80</v>
      </c>
      <c r="E44" s="2">
        <v>73</v>
      </c>
      <c r="F44" s="2" t="s">
        <v>85</v>
      </c>
      <c r="G44" s="2">
        <v>732</v>
      </c>
      <c r="H44" s="2" t="s">
        <v>84</v>
      </c>
      <c r="I44" s="2">
        <v>7320</v>
      </c>
      <c r="J44" s="2" t="s">
        <v>84</v>
      </c>
      <c r="K44" s="2" t="s">
        <v>35</v>
      </c>
      <c r="L44" s="2" t="s">
        <v>54</v>
      </c>
    </row>
    <row r="45" spans="1:12" x14ac:dyDescent="0.35">
      <c r="A45" s="2">
        <v>7400</v>
      </c>
      <c r="B45" s="2" t="s">
        <v>86</v>
      </c>
      <c r="C45" s="2">
        <v>7</v>
      </c>
      <c r="D45" s="2" t="s">
        <v>80</v>
      </c>
      <c r="E45" s="2">
        <v>74</v>
      </c>
      <c r="F45" s="2" t="s">
        <v>87</v>
      </c>
      <c r="G45" s="2">
        <v>740</v>
      </c>
      <c r="H45" s="2" t="s">
        <v>86</v>
      </c>
      <c r="I45" s="2">
        <v>7400</v>
      </c>
      <c r="J45" s="2" t="s">
        <v>86</v>
      </c>
      <c r="K45" s="2" t="s">
        <v>35</v>
      </c>
      <c r="L45" s="2" t="s">
        <v>54</v>
      </c>
    </row>
    <row r="46" spans="1:12" x14ac:dyDescent="0.35">
      <c r="A46" s="2">
        <v>7600</v>
      </c>
      <c r="B46" s="2" t="s">
        <v>88</v>
      </c>
      <c r="C46" s="2">
        <v>7</v>
      </c>
      <c r="D46" s="2" t="s">
        <v>80</v>
      </c>
      <c r="E46" s="2">
        <v>76</v>
      </c>
      <c r="F46" s="2" t="s">
        <v>89</v>
      </c>
      <c r="G46" s="2">
        <v>760</v>
      </c>
      <c r="H46" s="2" t="s">
        <v>88</v>
      </c>
      <c r="I46" s="2">
        <v>7600</v>
      </c>
      <c r="J46" s="2" t="s">
        <v>88</v>
      </c>
      <c r="K46" s="2" t="s">
        <v>35</v>
      </c>
      <c r="L46" s="2" t="s">
        <v>54</v>
      </c>
    </row>
    <row r="47" spans="1:12" x14ac:dyDescent="0.35">
      <c r="A47" s="2">
        <v>7790</v>
      </c>
      <c r="B47" s="2" t="s">
        <v>90</v>
      </c>
      <c r="C47" s="2">
        <v>7</v>
      </c>
      <c r="D47" s="2" t="s">
        <v>80</v>
      </c>
      <c r="E47" s="2">
        <v>77</v>
      </c>
      <c r="F47" s="2" t="s">
        <v>90</v>
      </c>
      <c r="G47" s="2">
        <v>779</v>
      </c>
      <c r="H47" s="2" t="s">
        <v>90</v>
      </c>
      <c r="I47" s="2">
        <v>7790</v>
      </c>
      <c r="J47" s="2" t="s">
        <v>90</v>
      </c>
      <c r="K47" s="2" t="s">
        <v>35</v>
      </c>
      <c r="L47" s="2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DEBF-E32D-4C82-BFC9-08A37604CDFC}">
  <dimension ref="A1:G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0.08984375" bestFit="1" customWidth="1"/>
    <col min="3" max="3" width="6" bestFit="1" customWidth="1"/>
    <col min="4" max="4" width="17.1796875" bestFit="1" customWidth="1"/>
    <col min="5" max="5" width="14" bestFit="1" customWidth="1"/>
    <col min="6" max="6" width="9" bestFit="1" customWidth="1"/>
    <col min="7" max="7" width="15.6328125" bestFit="1" customWidth="1"/>
  </cols>
  <sheetData>
    <row r="1" spans="1:7" ht="28" customHeight="1" x14ac:dyDescent="0.35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35">
      <c r="A2" s="2">
        <v>202601</v>
      </c>
      <c r="B2" s="3">
        <v>46053</v>
      </c>
      <c r="C2" s="2">
        <v>2026</v>
      </c>
      <c r="D2" s="2">
        <v>1</v>
      </c>
      <c r="E2" s="2" t="s">
        <v>98</v>
      </c>
      <c r="F2" s="2" t="s">
        <v>99</v>
      </c>
      <c r="G2" s="2" t="s">
        <v>100</v>
      </c>
    </row>
    <row r="3" spans="1:7" x14ac:dyDescent="0.35">
      <c r="A3" s="2">
        <v>202602</v>
      </c>
      <c r="B3" s="3">
        <v>46081</v>
      </c>
      <c r="C3" s="2">
        <v>2026</v>
      </c>
      <c r="D3" s="2">
        <v>2</v>
      </c>
      <c r="E3" s="2" t="s">
        <v>101</v>
      </c>
      <c r="F3" s="2" t="s">
        <v>99</v>
      </c>
      <c r="G3" s="2" t="s">
        <v>100</v>
      </c>
    </row>
    <row r="4" spans="1:7" x14ac:dyDescent="0.35">
      <c r="A4" s="2">
        <v>202603</v>
      </c>
      <c r="B4" s="3">
        <v>46112</v>
      </c>
      <c r="C4" s="2">
        <v>2026</v>
      </c>
      <c r="D4" s="2">
        <v>3</v>
      </c>
      <c r="E4" s="2" t="s">
        <v>102</v>
      </c>
      <c r="F4" s="2" t="s">
        <v>99</v>
      </c>
      <c r="G4" s="2" t="s">
        <v>100</v>
      </c>
    </row>
    <row r="5" spans="1:7" x14ac:dyDescent="0.35">
      <c r="A5" s="2">
        <v>202604</v>
      </c>
      <c r="B5" s="3">
        <v>46142</v>
      </c>
      <c r="C5" s="2">
        <v>2026</v>
      </c>
      <c r="D5" s="2">
        <v>4</v>
      </c>
      <c r="E5" s="2" t="s">
        <v>103</v>
      </c>
      <c r="F5" s="2" t="s">
        <v>104</v>
      </c>
      <c r="G5" s="2" t="s">
        <v>100</v>
      </c>
    </row>
    <row r="6" spans="1:7" x14ac:dyDescent="0.35">
      <c r="A6" s="2">
        <v>202605</v>
      </c>
      <c r="B6" s="3">
        <v>46173</v>
      </c>
      <c r="C6" s="2">
        <v>2026</v>
      </c>
      <c r="D6" s="2">
        <v>5</v>
      </c>
      <c r="E6" s="2" t="s">
        <v>105</v>
      </c>
      <c r="F6" s="2" t="s">
        <v>104</v>
      </c>
      <c r="G6" s="2" t="s">
        <v>100</v>
      </c>
    </row>
    <row r="7" spans="1:7" x14ac:dyDescent="0.35">
      <c r="A7" s="2">
        <v>202606</v>
      </c>
      <c r="B7" s="3">
        <v>46203</v>
      </c>
      <c r="C7" s="2">
        <v>2026</v>
      </c>
      <c r="D7" s="2">
        <v>6</v>
      </c>
      <c r="E7" s="2" t="s">
        <v>106</v>
      </c>
      <c r="F7" s="2" t="s">
        <v>104</v>
      </c>
      <c r="G7" s="2" t="s">
        <v>100</v>
      </c>
    </row>
    <row r="8" spans="1:7" x14ac:dyDescent="0.35">
      <c r="A8" s="2">
        <v>202607</v>
      </c>
      <c r="B8" s="3">
        <v>46234</v>
      </c>
      <c r="C8" s="2">
        <v>2026</v>
      </c>
      <c r="D8" s="2">
        <v>7</v>
      </c>
      <c r="E8" s="2" t="s">
        <v>107</v>
      </c>
      <c r="F8" s="2" t="s">
        <v>108</v>
      </c>
      <c r="G8" s="2" t="s">
        <v>100</v>
      </c>
    </row>
    <row r="9" spans="1:7" x14ac:dyDescent="0.35">
      <c r="A9" s="2">
        <v>202608</v>
      </c>
      <c r="B9" s="3">
        <v>46265</v>
      </c>
      <c r="C9" s="2">
        <v>2026</v>
      </c>
      <c r="D9" s="2">
        <v>8</v>
      </c>
      <c r="E9" s="2" t="s">
        <v>109</v>
      </c>
      <c r="F9" s="2" t="s">
        <v>108</v>
      </c>
      <c r="G9" s="2" t="s">
        <v>100</v>
      </c>
    </row>
    <row r="10" spans="1:7" x14ac:dyDescent="0.35">
      <c r="A10" s="2">
        <v>202609</v>
      </c>
      <c r="B10" s="3">
        <v>46295</v>
      </c>
      <c r="C10" s="2">
        <v>2026</v>
      </c>
      <c r="D10" s="2">
        <v>9</v>
      </c>
      <c r="E10" s="2" t="s">
        <v>110</v>
      </c>
      <c r="F10" s="2" t="s">
        <v>108</v>
      </c>
      <c r="G10" s="2" t="s">
        <v>100</v>
      </c>
    </row>
    <row r="11" spans="1:7" x14ac:dyDescent="0.35">
      <c r="A11" s="2">
        <v>202610</v>
      </c>
      <c r="B11" s="3">
        <v>46326</v>
      </c>
      <c r="C11" s="2">
        <v>2026</v>
      </c>
      <c r="D11" s="2">
        <v>10</v>
      </c>
      <c r="E11" s="2" t="s">
        <v>111</v>
      </c>
      <c r="F11" s="2" t="s">
        <v>112</v>
      </c>
      <c r="G11" s="2" t="s">
        <v>113</v>
      </c>
    </row>
    <row r="12" spans="1:7" x14ac:dyDescent="0.35">
      <c r="A12" s="2">
        <v>202611</v>
      </c>
      <c r="B12" s="3">
        <v>46356</v>
      </c>
      <c r="C12" s="2">
        <v>2026</v>
      </c>
      <c r="D12" s="2">
        <v>11</v>
      </c>
      <c r="E12" s="2" t="s">
        <v>114</v>
      </c>
      <c r="F12" s="2" t="s">
        <v>112</v>
      </c>
      <c r="G12" s="2" t="s">
        <v>113</v>
      </c>
    </row>
    <row r="13" spans="1:7" x14ac:dyDescent="0.35">
      <c r="A13" s="2">
        <v>202612</v>
      </c>
      <c r="B13" s="3">
        <v>46387</v>
      </c>
      <c r="C13" s="2">
        <v>2026</v>
      </c>
      <c r="D13" s="2">
        <v>12</v>
      </c>
      <c r="E13" s="2" t="s">
        <v>115</v>
      </c>
      <c r="F13" s="2" t="s">
        <v>112</v>
      </c>
      <c r="G13" s="2" t="s">
        <v>113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13D00-A32B-4EDF-9821-98798B006007}">
  <dimension ref="A1:C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9.453125" bestFit="1" customWidth="1"/>
    <col min="2" max="2" width="23.90625" bestFit="1" customWidth="1"/>
    <col min="3" max="3" width="48.26953125" bestFit="1" customWidth="1"/>
  </cols>
  <sheetData>
    <row r="1" spans="1:3" ht="28" customHeight="1" x14ac:dyDescent="0.35">
      <c r="A1" s="2" t="s">
        <v>116</v>
      </c>
      <c r="B1" s="2" t="s">
        <v>117</v>
      </c>
      <c r="C1" s="2" t="s">
        <v>118</v>
      </c>
    </row>
    <row r="2" spans="1:3" x14ac:dyDescent="0.35">
      <c r="A2" s="2" t="s">
        <v>119</v>
      </c>
      <c r="B2" s="2" t="s">
        <v>120</v>
      </c>
      <c r="C2" s="2" t="s">
        <v>121</v>
      </c>
    </row>
    <row r="3" spans="1:3" x14ac:dyDescent="0.35">
      <c r="A3" s="2" t="s">
        <v>122</v>
      </c>
      <c r="B3" s="2" t="s">
        <v>123</v>
      </c>
      <c r="C3" s="2" t="s">
        <v>124</v>
      </c>
    </row>
    <row r="4" spans="1:3" x14ac:dyDescent="0.35">
      <c r="A4" s="2" t="s">
        <v>125</v>
      </c>
      <c r="B4" s="2" t="s">
        <v>126</v>
      </c>
      <c r="C4" s="2" t="s">
        <v>127</v>
      </c>
    </row>
    <row r="5" spans="1:3" x14ac:dyDescent="0.35">
      <c r="A5" s="2" t="s">
        <v>128</v>
      </c>
      <c r="B5" s="2" t="s">
        <v>129</v>
      </c>
      <c r="C5" s="2" t="s">
        <v>130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84844-359F-4BA8-A919-4962FDF645E8}">
  <dimension ref="A1:L2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.54296875" bestFit="1" customWidth="1"/>
    <col min="2" max="2" width="22.54296875" bestFit="1" customWidth="1"/>
    <col min="3" max="3" width="27.90625" bestFit="1" customWidth="1"/>
    <col min="4" max="4" width="8.54296875" bestFit="1" customWidth="1"/>
    <col min="5" max="5" width="16.81640625" customWidth="1"/>
    <col min="6" max="6" width="10.7265625" bestFit="1" customWidth="1"/>
    <col min="7" max="12" width="30.90625" style="6" customWidth="1"/>
  </cols>
  <sheetData>
    <row r="1" spans="1:12" x14ac:dyDescent="0.35">
      <c r="A1" s="2" t="s">
        <v>131</v>
      </c>
      <c r="B1" s="2" t="s">
        <v>132</v>
      </c>
      <c r="C1" s="2" t="s">
        <v>133</v>
      </c>
      <c r="D1" s="2" t="s">
        <v>134</v>
      </c>
      <c r="E1" s="2" t="s">
        <v>135</v>
      </c>
      <c r="F1" s="2" t="s">
        <v>136</v>
      </c>
      <c r="G1" s="5" t="s">
        <v>118</v>
      </c>
      <c r="H1" s="5" t="s">
        <v>137</v>
      </c>
      <c r="I1" s="5" t="s">
        <v>138</v>
      </c>
      <c r="J1" s="5" t="s">
        <v>139</v>
      </c>
      <c r="K1" s="5" t="s">
        <v>140</v>
      </c>
      <c r="L1" s="5" t="s">
        <v>141</v>
      </c>
    </row>
    <row r="2" spans="1:12" ht="39.5" x14ac:dyDescent="0.35">
      <c r="A2" s="2">
        <v>1</v>
      </c>
      <c r="B2" s="2" t="s">
        <v>142</v>
      </c>
      <c r="C2" s="2" t="s">
        <v>143</v>
      </c>
      <c r="D2" s="2" t="s">
        <v>144</v>
      </c>
      <c r="E2" s="2" t="s">
        <v>145</v>
      </c>
      <c r="F2" s="2">
        <v>10</v>
      </c>
      <c r="G2" s="5" t="s">
        <v>146</v>
      </c>
      <c r="H2" s="5" t="s">
        <v>147</v>
      </c>
      <c r="I2" s="5" t="s">
        <v>148</v>
      </c>
      <c r="J2" s="5" t="s">
        <v>149</v>
      </c>
      <c r="K2" s="5" t="s">
        <v>150</v>
      </c>
      <c r="L2" s="5" t="s">
        <v>151</v>
      </c>
    </row>
    <row r="3" spans="1:12" ht="39.5" x14ac:dyDescent="0.35">
      <c r="A3" s="2">
        <v>2</v>
      </c>
      <c r="B3" s="2" t="s">
        <v>142</v>
      </c>
      <c r="C3" s="2" t="s">
        <v>152</v>
      </c>
      <c r="D3" s="2" t="s">
        <v>144</v>
      </c>
      <c r="E3" s="2" t="s">
        <v>145</v>
      </c>
      <c r="F3" s="2">
        <v>20</v>
      </c>
      <c r="G3" s="5" t="s">
        <v>153</v>
      </c>
      <c r="H3" s="5" t="s">
        <v>154</v>
      </c>
      <c r="I3" s="5" t="s">
        <v>155</v>
      </c>
      <c r="J3" s="5" t="s">
        <v>156</v>
      </c>
      <c r="K3" s="5" t="s">
        <v>157</v>
      </c>
      <c r="L3" s="5" t="s">
        <v>158</v>
      </c>
    </row>
    <row r="4" spans="1:12" ht="39.5" x14ac:dyDescent="0.35">
      <c r="A4" s="2">
        <v>3</v>
      </c>
      <c r="B4" s="2" t="s">
        <v>142</v>
      </c>
      <c r="C4" s="2" t="s">
        <v>159</v>
      </c>
      <c r="D4" s="2" t="s">
        <v>144</v>
      </c>
      <c r="E4" s="2" t="s">
        <v>145</v>
      </c>
      <c r="F4" s="2">
        <v>30</v>
      </c>
      <c r="G4" s="5" t="s">
        <v>160</v>
      </c>
      <c r="H4" s="5" t="s">
        <v>161</v>
      </c>
      <c r="I4" s="5" t="s">
        <v>162</v>
      </c>
      <c r="J4" s="5" t="s">
        <v>163</v>
      </c>
      <c r="K4" s="5" t="s">
        <v>164</v>
      </c>
      <c r="L4" s="5" t="s">
        <v>165</v>
      </c>
    </row>
    <row r="5" spans="1:12" ht="39.5" x14ac:dyDescent="0.35">
      <c r="A5" s="2">
        <v>4</v>
      </c>
      <c r="B5" s="2" t="s">
        <v>142</v>
      </c>
      <c r="C5" s="2" t="s">
        <v>166</v>
      </c>
      <c r="D5" s="2" t="s">
        <v>167</v>
      </c>
      <c r="E5" s="4">
        <v>0</v>
      </c>
      <c r="F5" s="2">
        <v>40</v>
      </c>
      <c r="G5" s="5" t="s">
        <v>168</v>
      </c>
      <c r="H5" s="5" t="s">
        <v>169</v>
      </c>
      <c r="I5" s="5" t="s">
        <v>170</v>
      </c>
      <c r="J5" s="5" t="s">
        <v>171</v>
      </c>
      <c r="K5" s="5" t="s">
        <v>172</v>
      </c>
      <c r="L5" s="5" t="s">
        <v>173</v>
      </c>
    </row>
    <row r="6" spans="1:12" ht="52.5" x14ac:dyDescent="0.35">
      <c r="A6" s="2">
        <v>5</v>
      </c>
      <c r="B6" s="2" t="s">
        <v>174</v>
      </c>
      <c r="C6" s="2" t="s">
        <v>175</v>
      </c>
      <c r="D6" s="2" t="s">
        <v>144</v>
      </c>
      <c r="E6" s="2" t="s">
        <v>145</v>
      </c>
      <c r="F6" s="2">
        <v>50</v>
      </c>
      <c r="G6" s="5" t="s">
        <v>176</v>
      </c>
      <c r="H6" s="5" t="s">
        <v>177</v>
      </c>
      <c r="I6" s="5" t="s">
        <v>178</v>
      </c>
      <c r="J6" s="5" t="s">
        <v>179</v>
      </c>
      <c r="K6" s="5" t="s">
        <v>180</v>
      </c>
      <c r="L6" s="5" t="s">
        <v>181</v>
      </c>
    </row>
    <row r="7" spans="1:12" ht="52.5" x14ac:dyDescent="0.35">
      <c r="A7" s="2">
        <v>6</v>
      </c>
      <c r="B7" s="2" t="s">
        <v>174</v>
      </c>
      <c r="C7" s="2" t="s">
        <v>182</v>
      </c>
      <c r="D7" s="2" t="s">
        <v>144</v>
      </c>
      <c r="E7" s="2" t="s">
        <v>145</v>
      </c>
      <c r="F7" s="2">
        <v>60</v>
      </c>
      <c r="G7" s="5" t="s">
        <v>183</v>
      </c>
      <c r="H7" s="5" t="s">
        <v>184</v>
      </c>
      <c r="I7" s="5" t="s">
        <v>185</v>
      </c>
      <c r="J7" s="5" t="s">
        <v>186</v>
      </c>
      <c r="K7" s="5" t="s">
        <v>187</v>
      </c>
      <c r="L7" s="5" t="s">
        <v>188</v>
      </c>
    </row>
    <row r="8" spans="1:12" ht="39.5" x14ac:dyDescent="0.35">
      <c r="A8" s="2">
        <v>7</v>
      </c>
      <c r="B8" s="2" t="s">
        <v>174</v>
      </c>
      <c r="C8" s="2" t="s">
        <v>189</v>
      </c>
      <c r="D8" s="2" t="s">
        <v>144</v>
      </c>
      <c r="E8" s="2" t="s">
        <v>145</v>
      </c>
      <c r="F8" s="2">
        <v>70</v>
      </c>
      <c r="G8" s="5" t="s">
        <v>190</v>
      </c>
      <c r="H8" s="5" t="s">
        <v>191</v>
      </c>
      <c r="I8" s="5" t="s">
        <v>192</v>
      </c>
      <c r="J8" s="5" t="s">
        <v>193</v>
      </c>
      <c r="K8" s="5" t="s">
        <v>194</v>
      </c>
      <c r="L8" s="5" t="s">
        <v>195</v>
      </c>
    </row>
    <row r="9" spans="1:12" ht="39.5" x14ac:dyDescent="0.35">
      <c r="A9" s="2">
        <v>8</v>
      </c>
      <c r="B9" s="2" t="s">
        <v>174</v>
      </c>
      <c r="C9" s="2" t="s">
        <v>196</v>
      </c>
      <c r="D9" s="2" t="s">
        <v>167</v>
      </c>
      <c r="E9" s="4">
        <v>0</v>
      </c>
      <c r="F9" s="2">
        <v>80</v>
      </c>
      <c r="G9" s="5" t="s">
        <v>197</v>
      </c>
      <c r="H9" s="5" t="s">
        <v>198</v>
      </c>
      <c r="I9" s="5" t="s">
        <v>199</v>
      </c>
      <c r="J9" s="5" t="s">
        <v>200</v>
      </c>
      <c r="K9" s="5" t="s">
        <v>201</v>
      </c>
      <c r="L9" s="5" t="s">
        <v>202</v>
      </c>
    </row>
    <row r="10" spans="1:12" ht="39.5" x14ac:dyDescent="0.35">
      <c r="A10" s="2">
        <v>9</v>
      </c>
      <c r="B10" s="2" t="s">
        <v>203</v>
      </c>
      <c r="C10" s="2" t="s">
        <v>204</v>
      </c>
      <c r="D10" s="2" t="s">
        <v>144</v>
      </c>
      <c r="E10" s="2" t="s">
        <v>205</v>
      </c>
      <c r="F10" s="2">
        <v>90</v>
      </c>
      <c r="G10" s="5" t="s">
        <v>206</v>
      </c>
      <c r="H10" s="5" t="s">
        <v>207</v>
      </c>
      <c r="I10" s="5" t="s">
        <v>208</v>
      </c>
      <c r="J10" s="5" t="s">
        <v>209</v>
      </c>
      <c r="K10" s="5" t="s">
        <v>210</v>
      </c>
      <c r="L10" s="5" t="s">
        <v>211</v>
      </c>
    </row>
    <row r="11" spans="1:12" ht="39.5" x14ac:dyDescent="0.35">
      <c r="A11" s="2">
        <v>10</v>
      </c>
      <c r="B11" s="2" t="s">
        <v>203</v>
      </c>
      <c r="C11" s="2" t="s">
        <v>212</v>
      </c>
      <c r="D11" s="2" t="s">
        <v>144</v>
      </c>
      <c r="E11" s="2" t="s">
        <v>205</v>
      </c>
      <c r="F11" s="2">
        <v>100</v>
      </c>
      <c r="G11" s="5" t="s">
        <v>213</v>
      </c>
      <c r="H11" s="5" t="s">
        <v>214</v>
      </c>
      <c r="I11" s="5" t="s">
        <v>215</v>
      </c>
      <c r="J11" s="5" t="s">
        <v>216</v>
      </c>
      <c r="K11" s="5" t="s">
        <v>217</v>
      </c>
      <c r="L11" s="5" t="s">
        <v>218</v>
      </c>
    </row>
    <row r="12" spans="1:12" ht="39.5" x14ac:dyDescent="0.35">
      <c r="A12" s="2">
        <v>11</v>
      </c>
      <c r="B12" s="2" t="s">
        <v>203</v>
      </c>
      <c r="C12" s="2" t="s">
        <v>219</v>
      </c>
      <c r="D12" s="2" t="s">
        <v>144</v>
      </c>
      <c r="E12" s="2" t="s">
        <v>205</v>
      </c>
      <c r="F12" s="2">
        <v>110</v>
      </c>
      <c r="G12" s="5" t="s">
        <v>220</v>
      </c>
      <c r="H12" s="5" t="s">
        <v>221</v>
      </c>
      <c r="I12" s="5" t="s">
        <v>222</v>
      </c>
      <c r="J12" s="5" t="s">
        <v>223</v>
      </c>
      <c r="K12" s="5" t="s">
        <v>224</v>
      </c>
      <c r="L12" s="5" t="s">
        <v>225</v>
      </c>
    </row>
    <row r="13" spans="1:12" ht="39.5" x14ac:dyDescent="0.35">
      <c r="A13" s="2">
        <v>12</v>
      </c>
      <c r="B13" s="2" t="s">
        <v>203</v>
      </c>
      <c r="C13" s="2" t="s">
        <v>226</v>
      </c>
      <c r="D13" s="2" t="s">
        <v>227</v>
      </c>
      <c r="E13" s="2">
        <v>0</v>
      </c>
      <c r="F13" s="2">
        <v>120</v>
      </c>
      <c r="G13" s="5" t="s">
        <v>228</v>
      </c>
      <c r="H13" s="5" t="s">
        <v>229</v>
      </c>
      <c r="I13" s="5" t="s">
        <v>230</v>
      </c>
      <c r="J13" s="5" t="s">
        <v>231</v>
      </c>
      <c r="K13" s="5" t="s">
        <v>232</v>
      </c>
      <c r="L13" s="5" t="s">
        <v>233</v>
      </c>
    </row>
    <row r="14" spans="1:12" ht="39.5" x14ac:dyDescent="0.35">
      <c r="A14" s="2">
        <v>13</v>
      </c>
      <c r="B14" s="2" t="s">
        <v>203</v>
      </c>
      <c r="C14" s="2" t="s">
        <v>234</v>
      </c>
      <c r="D14" s="2" t="s">
        <v>227</v>
      </c>
      <c r="E14" s="2">
        <v>0</v>
      </c>
      <c r="F14" s="2">
        <v>130</v>
      </c>
      <c r="G14" s="5" t="s">
        <v>235</v>
      </c>
      <c r="H14" s="5" t="s">
        <v>236</v>
      </c>
      <c r="I14" s="5" t="s">
        <v>237</v>
      </c>
      <c r="J14" s="5" t="s">
        <v>238</v>
      </c>
      <c r="K14" s="5" t="s">
        <v>239</v>
      </c>
      <c r="L14" s="5" t="s">
        <v>240</v>
      </c>
    </row>
    <row r="15" spans="1:12" ht="39.5" x14ac:dyDescent="0.35">
      <c r="A15" s="2">
        <v>14</v>
      </c>
      <c r="B15" s="2" t="s">
        <v>241</v>
      </c>
      <c r="C15" s="2" t="s">
        <v>242</v>
      </c>
      <c r="D15" s="2" t="s">
        <v>243</v>
      </c>
      <c r="E15" s="2" t="s">
        <v>205</v>
      </c>
      <c r="F15" s="2">
        <v>140</v>
      </c>
      <c r="G15" s="5" t="s">
        <v>244</v>
      </c>
      <c r="H15" s="5" t="s">
        <v>245</v>
      </c>
      <c r="I15" s="5" t="s">
        <v>246</v>
      </c>
      <c r="J15" s="5" t="s">
        <v>247</v>
      </c>
      <c r="K15" s="5" t="s">
        <v>248</v>
      </c>
      <c r="L15" s="5" t="s">
        <v>249</v>
      </c>
    </row>
    <row r="16" spans="1:12" ht="39.5" x14ac:dyDescent="0.35">
      <c r="A16" s="2">
        <v>15</v>
      </c>
      <c r="B16" s="2" t="s">
        <v>241</v>
      </c>
      <c r="C16" s="2" t="s">
        <v>250</v>
      </c>
      <c r="D16" s="2" t="s">
        <v>243</v>
      </c>
      <c r="E16" s="2" t="s">
        <v>205</v>
      </c>
      <c r="F16" s="2">
        <v>150</v>
      </c>
      <c r="G16" s="5" t="s">
        <v>251</v>
      </c>
      <c r="H16" s="5" t="s">
        <v>252</v>
      </c>
      <c r="I16" s="5" t="s">
        <v>253</v>
      </c>
      <c r="J16" s="5" t="s">
        <v>254</v>
      </c>
      <c r="K16" s="5" t="s">
        <v>255</v>
      </c>
      <c r="L16" s="5" t="s">
        <v>256</v>
      </c>
    </row>
    <row r="17" spans="1:12" ht="39.5" x14ac:dyDescent="0.35">
      <c r="A17" s="2">
        <v>16</v>
      </c>
      <c r="B17" s="2" t="s">
        <v>241</v>
      </c>
      <c r="C17" s="2" t="s">
        <v>257</v>
      </c>
      <c r="D17" s="2" t="s">
        <v>243</v>
      </c>
      <c r="E17" s="2" t="s">
        <v>205</v>
      </c>
      <c r="F17" s="2">
        <v>160</v>
      </c>
      <c r="G17" s="5" t="s">
        <v>258</v>
      </c>
      <c r="H17" s="5" t="s">
        <v>259</v>
      </c>
      <c r="I17" s="5" t="s">
        <v>260</v>
      </c>
      <c r="J17" s="5" t="s">
        <v>261</v>
      </c>
      <c r="K17" s="5" t="s">
        <v>262</v>
      </c>
      <c r="L17" s="5" t="s">
        <v>263</v>
      </c>
    </row>
    <row r="18" spans="1:12" ht="39.5" x14ac:dyDescent="0.35">
      <c r="A18" s="2">
        <v>17</v>
      </c>
      <c r="B18" s="2" t="s">
        <v>241</v>
      </c>
      <c r="C18" s="2" t="s">
        <v>264</v>
      </c>
      <c r="D18" s="2" t="s">
        <v>167</v>
      </c>
      <c r="E18" s="4">
        <v>0</v>
      </c>
      <c r="F18" s="2">
        <v>170</v>
      </c>
      <c r="G18" s="5" t="s">
        <v>265</v>
      </c>
      <c r="H18" s="5" t="s">
        <v>266</v>
      </c>
      <c r="I18" s="5" t="s">
        <v>267</v>
      </c>
      <c r="J18" s="5" t="s">
        <v>268</v>
      </c>
      <c r="K18" s="5" t="s">
        <v>269</v>
      </c>
      <c r="L18" s="5" t="s">
        <v>270</v>
      </c>
    </row>
    <row r="19" spans="1:12" ht="52.5" x14ac:dyDescent="0.35">
      <c r="A19" s="2">
        <v>18</v>
      </c>
      <c r="B19" s="2" t="s">
        <v>241</v>
      </c>
      <c r="C19" s="2" t="s">
        <v>271</v>
      </c>
      <c r="D19" s="2" t="s">
        <v>167</v>
      </c>
      <c r="E19" s="4">
        <v>0</v>
      </c>
      <c r="F19" s="2">
        <v>175</v>
      </c>
      <c r="G19" s="5" t="s">
        <v>272</v>
      </c>
      <c r="H19" s="5" t="s">
        <v>273</v>
      </c>
      <c r="I19" s="5" t="s">
        <v>274</v>
      </c>
      <c r="J19" s="5" t="s">
        <v>275</v>
      </c>
      <c r="K19" s="5" t="s">
        <v>276</v>
      </c>
      <c r="L19" s="5" t="s">
        <v>277</v>
      </c>
    </row>
    <row r="20" spans="1:12" ht="39.5" x14ac:dyDescent="0.35">
      <c r="A20" s="2">
        <v>19</v>
      </c>
      <c r="B20" s="2" t="s">
        <v>278</v>
      </c>
      <c r="C20" s="2" t="s">
        <v>279</v>
      </c>
      <c r="D20" s="2" t="s">
        <v>280</v>
      </c>
      <c r="E20" s="2" t="s">
        <v>281</v>
      </c>
      <c r="F20" s="2">
        <v>180</v>
      </c>
      <c r="G20" s="5" t="s">
        <v>282</v>
      </c>
      <c r="H20" s="5" t="s">
        <v>283</v>
      </c>
      <c r="I20" s="5" t="s">
        <v>284</v>
      </c>
      <c r="J20" s="5" t="s">
        <v>285</v>
      </c>
      <c r="K20" s="5" t="s">
        <v>286</v>
      </c>
      <c r="L20" s="5" t="s">
        <v>287</v>
      </c>
    </row>
    <row r="21" spans="1:12" ht="39.5" x14ac:dyDescent="0.35">
      <c r="A21" s="2">
        <v>20</v>
      </c>
      <c r="B21" s="2" t="s">
        <v>278</v>
      </c>
      <c r="C21" s="2" t="s">
        <v>288</v>
      </c>
      <c r="D21" s="2" t="s">
        <v>289</v>
      </c>
      <c r="E21" s="2" t="s">
        <v>205</v>
      </c>
      <c r="F21" s="2">
        <v>190</v>
      </c>
      <c r="G21" s="5" t="s">
        <v>290</v>
      </c>
      <c r="H21" s="5" t="s">
        <v>291</v>
      </c>
      <c r="I21" s="5" t="s">
        <v>292</v>
      </c>
      <c r="J21" s="5" t="s">
        <v>293</v>
      </c>
      <c r="K21" s="5" t="s">
        <v>294</v>
      </c>
      <c r="L21" s="5" t="s">
        <v>295</v>
      </c>
    </row>
    <row r="22" spans="1:12" ht="39.5" x14ac:dyDescent="0.35">
      <c r="A22" s="2">
        <v>21</v>
      </c>
      <c r="B22" s="2" t="s">
        <v>278</v>
      </c>
      <c r="C22" s="2" t="s">
        <v>296</v>
      </c>
      <c r="D22" s="2" t="s">
        <v>297</v>
      </c>
      <c r="E22" s="2" t="s">
        <v>205</v>
      </c>
      <c r="F22" s="2">
        <v>200</v>
      </c>
      <c r="G22" s="5" t="s">
        <v>298</v>
      </c>
      <c r="H22" s="5" t="s">
        <v>299</v>
      </c>
      <c r="I22" s="5" t="s">
        <v>300</v>
      </c>
      <c r="J22" s="5" t="s">
        <v>301</v>
      </c>
      <c r="K22" s="5" t="s">
        <v>302</v>
      </c>
      <c r="L22" s="5" t="s">
        <v>303</v>
      </c>
    </row>
    <row r="23" spans="1:12" ht="39.5" x14ac:dyDescent="0.35">
      <c r="A23" s="2">
        <v>22</v>
      </c>
      <c r="B23" s="2" t="s">
        <v>278</v>
      </c>
      <c r="C23" s="2" t="s">
        <v>304</v>
      </c>
      <c r="D23" s="2" t="s">
        <v>305</v>
      </c>
      <c r="E23" s="2" t="s">
        <v>281</v>
      </c>
      <c r="F23" s="2">
        <v>210</v>
      </c>
      <c r="G23" s="5" t="s">
        <v>306</v>
      </c>
      <c r="H23" s="5" t="s">
        <v>307</v>
      </c>
      <c r="I23" s="5" t="s">
        <v>308</v>
      </c>
      <c r="J23" s="5" t="s">
        <v>309</v>
      </c>
      <c r="K23" s="5" t="s">
        <v>310</v>
      </c>
      <c r="L23" s="5" t="s">
        <v>311</v>
      </c>
    </row>
    <row r="24" spans="1:12" ht="39.5" x14ac:dyDescent="0.35">
      <c r="A24" s="2">
        <v>23</v>
      </c>
      <c r="B24" s="2" t="s">
        <v>278</v>
      </c>
      <c r="C24" s="2" t="s">
        <v>312</v>
      </c>
      <c r="D24" s="2" t="s">
        <v>144</v>
      </c>
      <c r="E24" s="2" t="s">
        <v>145</v>
      </c>
      <c r="F24" s="2">
        <v>220</v>
      </c>
      <c r="G24" s="5" t="s">
        <v>313</v>
      </c>
      <c r="H24" s="5" t="s">
        <v>314</v>
      </c>
      <c r="I24" s="5" t="s">
        <v>315</v>
      </c>
      <c r="J24" s="5" t="s">
        <v>316</v>
      </c>
      <c r="K24" s="5" t="s">
        <v>317</v>
      </c>
      <c r="L24" s="5" t="s">
        <v>318</v>
      </c>
    </row>
    <row r="25" spans="1:12" ht="39.5" x14ac:dyDescent="0.35">
      <c r="A25" s="2">
        <v>24</v>
      </c>
      <c r="B25" s="2" t="s">
        <v>319</v>
      </c>
      <c r="C25" s="2" t="s">
        <v>320</v>
      </c>
      <c r="D25" s="2" t="s">
        <v>144</v>
      </c>
      <c r="E25" s="2" t="s">
        <v>205</v>
      </c>
      <c r="F25" s="2">
        <v>230</v>
      </c>
      <c r="G25" s="5" t="s">
        <v>321</v>
      </c>
      <c r="H25" s="5" t="s">
        <v>322</v>
      </c>
      <c r="I25" s="5" t="s">
        <v>323</v>
      </c>
      <c r="J25" s="5" t="s">
        <v>324</v>
      </c>
      <c r="K25" s="5" t="s">
        <v>325</v>
      </c>
      <c r="L25" s="5" t="s">
        <v>326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339D-68DF-4902-8B0E-B1AF3119D11E}">
  <dimension ref="A1:H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.36328125" bestFit="1" customWidth="1"/>
    <col min="2" max="2" width="30.90625" bestFit="1" customWidth="1"/>
    <col min="3" max="3" width="10.6328125" bestFit="1" customWidth="1"/>
    <col min="4" max="4" width="17.453125" bestFit="1" customWidth="1"/>
    <col min="5" max="5" width="7.7265625" bestFit="1" customWidth="1"/>
    <col min="6" max="6" width="10.08984375" bestFit="1" customWidth="1"/>
    <col min="7" max="7" width="23.36328125" bestFit="1" customWidth="1"/>
    <col min="8" max="8" width="42.26953125" bestFit="1" customWidth="1"/>
  </cols>
  <sheetData>
    <row r="1" spans="1:8" ht="28" customHeight="1" x14ac:dyDescent="0.35">
      <c r="A1" s="2" t="s">
        <v>327</v>
      </c>
      <c r="B1" s="2" t="s">
        <v>134</v>
      </c>
      <c r="C1" s="2" t="s">
        <v>328</v>
      </c>
      <c r="D1" s="2" t="s">
        <v>329</v>
      </c>
      <c r="E1" s="2" t="s">
        <v>330</v>
      </c>
      <c r="F1" s="2" t="s">
        <v>331</v>
      </c>
      <c r="G1" s="2" t="s">
        <v>332</v>
      </c>
      <c r="H1" s="2" t="s">
        <v>333</v>
      </c>
    </row>
    <row r="2" spans="1:8" x14ac:dyDescent="0.35">
      <c r="A2" s="2">
        <v>1000</v>
      </c>
      <c r="B2" s="2" t="s">
        <v>334</v>
      </c>
      <c r="C2" s="2" t="s">
        <v>335</v>
      </c>
      <c r="D2" s="2"/>
      <c r="E2" s="2">
        <v>1</v>
      </c>
      <c r="F2" s="2" t="s">
        <v>336</v>
      </c>
      <c r="G2" s="2" t="s">
        <v>337</v>
      </c>
      <c r="H2" s="2" t="s">
        <v>338</v>
      </c>
    </row>
    <row r="3" spans="1:8" x14ac:dyDescent="0.35">
      <c r="A3" s="2">
        <v>1100</v>
      </c>
      <c r="B3" s="2" t="s">
        <v>339</v>
      </c>
      <c r="C3" s="2" t="s">
        <v>340</v>
      </c>
      <c r="D3" s="2">
        <v>1000</v>
      </c>
      <c r="E3" s="2">
        <v>2</v>
      </c>
      <c r="F3" s="2" t="s">
        <v>341</v>
      </c>
      <c r="G3" s="2" t="s">
        <v>342</v>
      </c>
      <c r="H3" s="2" t="s">
        <v>343</v>
      </c>
    </row>
    <row r="4" spans="1:8" x14ac:dyDescent="0.35">
      <c r="A4" s="2">
        <v>1200</v>
      </c>
      <c r="B4" s="2" t="s">
        <v>344</v>
      </c>
      <c r="C4" s="2" t="s">
        <v>345</v>
      </c>
      <c r="D4" s="2">
        <v>1000</v>
      </c>
      <c r="E4" s="2">
        <v>2</v>
      </c>
      <c r="F4" s="2" t="s">
        <v>341</v>
      </c>
      <c r="G4" s="2" t="s">
        <v>346</v>
      </c>
      <c r="H4" s="2" t="s">
        <v>347</v>
      </c>
    </row>
    <row r="5" spans="1:8" x14ac:dyDescent="0.35">
      <c r="A5" s="2">
        <v>1300</v>
      </c>
      <c r="B5" s="2" t="s">
        <v>348</v>
      </c>
      <c r="C5" s="2" t="s">
        <v>349</v>
      </c>
      <c r="D5" s="2">
        <v>1000</v>
      </c>
      <c r="E5" s="2">
        <v>2</v>
      </c>
      <c r="F5" s="2" t="s">
        <v>341</v>
      </c>
      <c r="G5" s="2" t="s">
        <v>350</v>
      </c>
      <c r="H5" s="2" t="s">
        <v>351</v>
      </c>
    </row>
    <row r="6" spans="1:8" x14ac:dyDescent="0.35">
      <c r="A6" s="2">
        <v>1400</v>
      </c>
      <c r="B6" s="2" t="s">
        <v>352</v>
      </c>
      <c r="C6" s="2" t="s">
        <v>353</v>
      </c>
      <c r="D6" s="2">
        <v>1000</v>
      </c>
      <c r="E6" s="2">
        <v>2</v>
      </c>
      <c r="F6" s="2" t="s">
        <v>341</v>
      </c>
      <c r="G6" s="2" t="s">
        <v>354</v>
      </c>
      <c r="H6" s="2" t="s">
        <v>355</v>
      </c>
    </row>
    <row r="7" spans="1:8" x14ac:dyDescent="0.35">
      <c r="A7" s="2">
        <v>1500</v>
      </c>
      <c r="B7" s="2" t="s">
        <v>356</v>
      </c>
      <c r="C7" s="2" t="s">
        <v>357</v>
      </c>
      <c r="D7" s="2">
        <v>1000</v>
      </c>
      <c r="E7" s="2">
        <v>2</v>
      </c>
      <c r="F7" s="2" t="s">
        <v>341</v>
      </c>
      <c r="G7" s="2" t="s">
        <v>358</v>
      </c>
      <c r="H7" s="2" t="s">
        <v>359</v>
      </c>
    </row>
    <row r="8" spans="1:8" x14ac:dyDescent="0.35">
      <c r="A8" s="2">
        <v>1900</v>
      </c>
      <c r="B8" s="2" t="s">
        <v>360</v>
      </c>
      <c r="C8" s="2" t="s">
        <v>361</v>
      </c>
      <c r="D8" s="2">
        <v>1000</v>
      </c>
      <c r="E8" s="2">
        <v>2</v>
      </c>
      <c r="F8" s="2" t="s">
        <v>362</v>
      </c>
      <c r="G8" s="2" t="s">
        <v>363</v>
      </c>
      <c r="H8" s="2" t="s">
        <v>364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AA02C-B5CD-4442-BD00-A03594DD3996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.54296875" bestFit="1" customWidth="1"/>
    <col min="2" max="2" width="47.26953125" customWidth="1"/>
    <col min="3" max="3" width="10.36328125" bestFit="1" customWidth="1"/>
    <col min="4" max="4" width="22.08984375" bestFit="1" customWidth="1"/>
    <col min="5" max="5" width="21.54296875" bestFit="1" customWidth="1"/>
    <col min="6" max="6" width="7.54296875" bestFit="1" customWidth="1"/>
    <col min="8" max="8" width="12.08984375" bestFit="1" customWidth="1"/>
    <col min="9" max="9" width="12.90625" bestFit="1" customWidth="1"/>
  </cols>
  <sheetData>
    <row r="1" spans="1:9" ht="28" customHeight="1" x14ac:dyDescent="0.35">
      <c r="A1" s="2" t="s">
        <v>365</v>
      </c>
      <c r="B1" s="2" t="s">
        <v>366</v>
      </c>
      <c r="C1" s="2" t="s">
        <v>327</v>
      </c>
      <c r="D1" s="2" t="s">
        <v>367</v>
      </c>
      <c r="E1" s="2" t="s">
        <v>368</v>
      </c>
      <c r="F1" s="2" t="s">
        <v>369</v>
      </c>
      <c r="G1" s="2" t="s">
        <v>370</v>
      </c>
      <c r="H1" s="2" t="s">
        <v>371</v>
      </c>
      <c r="I1" s="2" t="s">
        <v>141</v>
      </c>
    </row>
    <row r="2" spans="1:9" x14ac:dyDescent="0.35">
      <c r="A2" s="2" t="s">
        <v>372</v>
      </c>
      <c r="B2" s="2" t="s">
        <v>373</v>
      </c>
      <c r="C2" s="2">
        <v>1900</v>
      </c>
      <c r="D2" s="2">
        <v>-4</v>
      </c>
      <c r="E2" s="2">
        <v>-3.5</v>
      </c>
      <c r="F2" s="2" t="s">
        <v>374</v>
      </c>
      <c r="G2" s="2" t="s">
        <v>375</v>
      </c>
      <c r="H2" s="2" t="s">
        <v>376</v>
      </c>
      <c r="I2" s="2" t="s">
        <v>377</v>
      </c>
    </row>
    <row r="3" spans="1:9" x14ac:dyDescent="0.35">
      <c r="A3" s="2" t="s">
        <v>378</v>
      </c>
      <c r="B3" s="2" t="s">
        <v>379</v>
      </c>
      <c r="C3" s="2">
        <v>1900</v>
      </c>
      <c r="D3" s="2">
        <v>-3</v>
      </c>
      <c r="E3" s="2">
        <v>-2</v>
      </c>
      <c r="F3" s="2" t="s">
        <v>380</v>
      </c>
      <c r="G3" s="2" t="s">
        <v>381</v>
      </c>
      <c r="H3" s="2" t="s">
        <v>382</v>
      </c>
      <c r="I3" s="2" t="s">
        <v>383</v>
      </c>
    </row>
    <row r="4" spans="1:9" x14ac:dyDescent="0.35">
      <c r="A4" s="2" t="s">
        <v>384</v>
      </c>
      <c r="B4" s="2" t="s">
        <v>385</v>
      </c>
      <c r="C4" s="2">
        <v>1400</v>
      </c>
      <c r="D4" s="2">
        <v>-3.5</v>
      </c>
      <c r="E4" s="2">
        <v>-2</v>
      </c>
      <c r="F4" s="2" t="s">
        <v>386</v>
      </c>
      <c r="G4" s="2" t="s">
        <v>387</v>
      </c>
      <c r="H4" s="2" t="s">
        <v>354</v>
      </c>
      <c r="I4" s="2" t="s">
        <v>388</v>
      </c>
    </row>
    <row r="5" spans="1:9" x14ac:dyDescent="0.35">
      <c r="A5" s="2" t="s">
        <v>389</v>
      </c>
      <c r="B5" s="2" t="s">
        <v>390</v>
      </c>
      <c r="C5" s="2">
        <v>1000</v>
      </c>
      <c r="D5" s="2">
        <v>-2.5</v>
      </c>
      <c r="E5" s="2">
        <v>-1</v>
      </c>
      <c r="F5" s="2" t="s">
        <v>380</v>
      </c>
      <c r="G5" s="2" t="s">
        <v>381</v>
      </c>
      <c r="H5" s="2" t="s">
        <v>391</v>
      </c>
      <c r="I5" s="2" t="s">
        <v>383</v>
      </c>
    </row>
    <row r="6" spans="1:9" x14ac:dyDescent="0.35">
      <c r="A6" s="2" t="s">
        <v>392</v>
      </c>
      <c r="B6" s="2" t="s">
        <v>393</v>
      </c>
      <c r="C6" s="2">
        <v>1300</v>
      </c>
      <c r="D6" s="2">
        <v>-2</v>
      </c>
      <c r="E6" s="2">
        <v>-0.5</v>
      </c>
      <c r="F6" s="2" t="s">
        <v>394</v>
      </c>
      <c r="G6" s="2" t="s">
        <v>395</v>
      </c>
      <c r="H6" s="2" t="s">
        <v>350</v>
      </c>
      <c r="I6" s="2" t="s">
        <v>396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FEF-DE1A-4F4A-9C66-6AE35720A4B4}">
  <dimension ref="A1:K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0.36328125" bestFit="1" customWidth="1"/>
    <col min="3" max="3" width="24.90625" bestFit="1" customWidth="1"/>
    <col min="4" max="4" width="23.7265625" bestFit="1" customWidth="1"/>
    <col min="5" max="5" width="22.7265625" bestFit="1" customWidth="1"/>
    <col min="6" max="6" width="33" customWidth="1"/>
    <col min="7" max="7" width="34.1796875" bestFit="1" customWidth="1"/>
    <col min="8" max="8" width="32.7265625" bestFit="1" customWidth="1"/>
    <col min="9" max="9" width="28" bestFit="1" customWidth="1"/>
    <col min="10" max="10" width="32" bestFit="1" customWidth="1"/>
    <col min="11" max="11" width="34.1796875" bestFit="1" customWidth="1"/>
  </cols>
  <sheetData>
    <row r="1" spans="1:11" ht="28" customHeight="1" x14ac:dyDescent="0.35">
      <c r="A1" s="2" t="s">
        <v>91</v>
      </c>
      <c r="B1" s="2" t="s">
        <v>327</v>
      </c>
      <c r="C1" s="2" t="s">
        <v>397</v>
      </c>
      <c r="D1" s="2" t="s">
        <v>398</v>
      </c>
      <c r="E1" s="2" t="s">
        <v>399</v>
      </c>
      <c r="F1" s="2" t="s">
        <v>400</v>
      </c>
      <c r="G1" s="2" t="s">
        <v>401</v>
      </c>
      <c r="H1" s="2" t="s">
        <v>402</v>
      </c>
      <c r="I1" s="2" t="s">
        <v>403</v>
      </c>
      <c r="J1" s="2" t="s">
        <v>404</v>
      </c>
      <c r="K1" s="2" t="s">
        <v>405</v>
      </c>
    </row>
    <row r="2" spans="1:11" x14ac:dyDescent="0.35">
      <c r="A2" s="2">
        <v>202601</v>
      </c>
      <c r="B2" s="2">
        <v>1000</v>
      </c>
      <c r="C2" s="2">
        <v>121</v>
      </c>
      <c r="D2" s="2">
        <v>111</v>
      </c>
      <c r="E2" s="2">
        <v>114.5</v>
      </c>
      <c r="F2" s="2">
        <v>1433</v>
      </c>
      <c r="G2" s="2">
        <v>1444</v>
      </c>
      <c r="H2" s="2">
        <v>1329.5</v>
      </c>
      <c r="I2" s="2">
        <v>0.97</v>
      </c>
      <c r="J2" s="2">
        <v>0.92</v>
      </c>
      <c r="K2" s="2">
        <v>-11</v>
      </c>
    </row>
    <row r="3" spans="1:11" x14ac:dyDescent="0.35">
      <c r="A3" s="2">
        <v>202602</v>
      </c>
      <c r="B3" s="2">
        <v>1000</v>
      </c>
      <c r="C3" s="2">
        <v>243</v>
      </c>
      <c r="D3" s="2">
        <v>223</v>
      </c>
      <c r="E3" s="2">
        <v>229</v>
      </c>
      <c r="F3" s="2">
        <v>1433</v>
      </c>
      <c r="G3" s="2">
        <v>1444</v>
      </c>
      <c r="H3" s="2">
        <v>1215</v>
      </c>
      <c r="I3" s="2">
        <v>0.97</v>
      </c>
      <c r="J3" s="2">
        <v>0.92</v>
      </c>
      <c r="K3" s="2">
        <v>-11</v>
      </c>
    </row>
    <row r="4" spans="1:11" x14ac:dyDescent="0.35">
      <c r="A4" s="2">
        <v>202603</v>
      </c>
      <c r="B4" s="2">
        <v>1000</v>
      </c>
      <c r="C4" s="2">
        <v>371</v>
      </c>
      <c r="D4" s="2">
        <v>341</v>
      </c>
      <c r="E4" s="2">
        <v>350</v>
      </c>
      <c r="F4" s="2">
        <v>1433</v>
      </c>
      <c r="G4" s="2">
        <v>1444</v>
      </c>
      <c r="H4" s="2">
        <v>1094</v>
      </c>
      <c r="I4" s="2">
        <v>0.97</v>
      </c>
      <c r="J4" s="2">
        <v>0.92</v>
      </c>
      <c r="K4" s="2">
        <v>-11</v>
      </c>
    </row>
    <row r="5" spans="1:11" x14ac:dyDescent="0.35">
      <c r="A5" s="2">
        <v>202604</v>
      </c>
      <c r="B5" s="2">
        <v>1000</v>
      </c>
      <c r="C5" s="2">
        <v>498</v>
      </c>
      <c r="D5" s="2">
        <v>458</v>
      </c>
      <c r="E5" s="2">
        <v>469.5</v>
      </c>
      <c r="F5" s="2">
        <v>1433</v>
      </c>
      <c r="G5" s="2">
        <v>1444</v>
      </c>
      <c r="H5" s="2">
        <v>974.5</v>
      </c>
      <c r="I5" s="2">
        <v>0.98</v>
      </c>
      <c r="J5" s="2">
        <v>0.92</v>
      </c>
      <c r="K5" s="2">
        <v>-11</v>
      </c>
    </row>
    <row r="6" spans="1:11" x14ac:dyDescent="0.35">
      <c r="A6" s="2">
        <v>202605</v>
      </c>
      <c r="B6" s="2">
        <v>1000</v>
      </c>
      <c r="C6" s="2">
        <v>629</v>
      </c>
      <c r="D6" s="2">
        <v>578</v>
      </c>
      <c r="E6" s="2">
        <v>593.5</v>
      </c>
      <c r="F6" s="2">
        <v>1433</v>
      </c>
      <c r="G6" s="2">
        <v>1444</v>
      </c>
      <c r="H6" s="2">
        <v>850.5</v>
      </c>
      <c r="I6" s="2">
        <v>0.97</v>
      </c>
      <c r="J6" s="2">
        <v>0.92</v>
      </c>
      <c r="K6" s="2">
        <v>-11</v>
      </c>
    </row>
    <row r="7" spans="1:11" x14ac:dyDescent="0.35">
      <c r="A7" s="2">
        <v>202606</v>
      </c>
      <c r="B7" s="2">
        <v>1000</v>
      </c>
      <c r="C7" s="2">
        <v>774</v>
      </c>
      <c r="D7" s="2">
        <v>711</v>
      </c>
      <c r="E7" s="2">
        <v>758.5</v>
      </c>
      <c r="F7" s="2">
        <v>1433</v>
      </c>
      <c r="G7" s="2">
        <v>1444</v>
      </c>
      <c r="H7" s="2">
        <v>685.5</v>
      </c>
      <c r="I7" s="2">
        <v>0.94</v>
      </c>
      <c r="J7" s="2">
        <v>0.92</v>
      </c>
      <c r="K7" s="2">
        <v>-11</v>
      </c>
    </row>
    <row r="8" spans="1:11" x14ac:dyDescent="0.35">
      <c r="A8" s="2">
        <v>202607</v>
      </c>
      <c r="B8" s="2">
        <v>1000</v>
      </c>
      <c r="C8" s="2">
        <v>869</v>
      </c>
      <c r="D8" s="2">
        <v>799</v>
      </c>
      <c r="E8" s="2">
        <v>848</v>
      </c>
      <c r="F8" s="2">
        <v>1433</v>
      </c>
      <c r="G8" s="2">
        <v>1444</v>
      </c>
      <c r="H8" s="2">
        <v>596</v>
      </c>
      <c r="I8" s="2">
        <v>0.94</v>
      </c>
      <c r="J8" s="2">
        <v>0.92</v>
      </c>
      <c r="K8" s="2">
        <v>-11</v>
      </c>
    </row>
    <row r="9" spans="1:11" x14ac:dyDescent="0.35">
      <c r="A9" s="2">
        <v>202608</v>
      </c>
      <c r="B9" s="2">
        <v>1000</v>
      </c>
      <c r="C9" s="2">
        <v>992</v>
      </c>
      <c r="D9" s="2">
        <v>912</v>
      </c>
      <c r="E9" s="2">
        <v>966</v>
      </c>
      <c r="F9" s="2">
        <v>1433</v>
      </c>
      <c r="G9" s="2">
        <v>1444</v>
      </c>
      <c r="H9" s="2">
        <v>478</v>
      </c>
      <c r="I9" s="2">
        <v>0.94</v>
      </c>
      <c r="J9" s="2">
        <v>0.92</v>
      </c>
      <c r="K9" s="2">
        <v>-11</v>
      </c>
    </row>
    <row r="10" spans="1:11" x14ac:dyDescent="0.35">
      <c r="A10" s="2">
        <v>202609</v>
      </c>
      <c r="B10" s="2">
        <v>1000</v>
      </c>
      <c r="C10" s="2">
        <v>1124</v>
      </c>
      <c r="D10" s="2">
        <v>1034</v>
      </c>
      <c r="E10" s="2">
        <v>1092</v>
      </c>
      <c r="F10" s="2">
        <v>1433</v>
      </c>
      <c r="G10" s="2">
        <v>1444</v>
      </c>
      <c r="H10" s="2">
        <v>352</v>
      </c>
      <c r="I10" s="2">
        <v>0.95</v>
      </c>
      <c r="J10" s="2">
        <v>0.92</v>
      </c>
      <c r="K10" s="2">
        <v>-11</v>
      </c>
    </row>
    <row r="11" spans="1:11" x14ac:dyDescent="0.35">
      <c r="A11" s="2">
        <v>202610</v>
      </c>
      <c r="B11" s="2">
        <v>1000</v>
      </c>
      <c r="C11" s="2">
        <v>1256</v>
      </c>
      <c r="D11" s="2">
        <v>1155.5</v>
      </c>
      <c r="E11" s="2">
        <v>1218.5</v>
      </c>
      <c r="F11" s="2">
        <v>1433</v>
      </c>
      <c r="G11" s="2">
        <v>1444</v>
      </c>
      <c r="H11" s="2">
        <v>225.5</v>
      </c>
      <c r="I11" s="2">
        <v>0.95</v>
      </c>
      <c r="J11" s="2">
        <v>0.92</v>
      </c>
      <c r="K11" s="2">
        <v>-11</v>
      </c>
    </row>
    <row r="12" spans="1:11" x14ac:dyDescent="0.35">
      <c r="A12" s="2">
        <v>202611</v>
      </c>
      <c r="B12" s="2">
        <v>1000</v>
      </c>
      <c r="C12" s="2">
        <v>1387.8</v>
      </c>
      <c r="D12" s="2">
        <v>1276.8</v>
      </c>
      <c r="E12" s="2">
        <v>1344</v>
      </c>
      <c r="F12" s="2">
        <v>1433</v>
      </c>
      <c r="G12" s="2">
        <v>1444</v>
      </c>
      <c r="H12" s="2">
        <v>100</v>
      </c>
      <c r="I12" s="2">
        <v>0.95</v>
      </c>
      <c r="J12" s="2">
        <v>0.92</v>
      </c>
      <c r="K12" s="2">
        <v>-11</v>
      </c>
    </row>
    <row r="13" spans="1:11" x14ac:dyDescent="0.35">
      <c r="A13" s="2">
        <v>202612</v>
      </c>
      <c r="B13" s="2">
        <v>1000</v>
      </c>
      <c r="C13" s="2">
        <v>1507.8</v>
      </c>
      <c r="D13" s="2">
        <v>1344</v>
      </c>
      <c r="E13" s="2">
        <v>1444</v>
      </c>
      <c r="F13" s="2">
        <v>1433</v>
      </c>
      <c r="G13" s="2">
        <v>1444</v>
      </c>
      <c r="H13" s="2">
        <v>0</v>
      </c>
      <c r="I13" s="2">
        <v>0.93</v>
      </c>
      <c r="J13" s="2">
        <v>0.89</v>
      </c>
      <c r="K13" s="2">
        <v>-11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4285-31A9-4C84-ABAA-CFBD2F83FBC1}">
  <dimension ref="A1:T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.36328125" bestFit="1" customWidth="1"/>
    <col min="2" max="2" width="36.453125" bestFit="1" customWidth="1"/>
    <col min="3" max="3" width="24.08984375" bestFit="1" customWidth="1"/>
    <col min="4" max="4" width="25.7265625" bestFit="1" customWidth="1"/>
    <col min="5" max="5" width="20.453125" bestFit="1" customWidth="1"/>
    <col min="6" max="6" width="23" bestFit="1" customWidth="1"/>
    <col min="7" max="7" width="22.36328125" bestFit="1" customWidth="1"/>
    <col min="8" max="8" width="26.26953125" bestFit="1" customWidth="1"/>
    <col min="9" max="9" width="21.26953125" bestFit="1" customWidth="1"/>
    <col min="10" max="10" width="21.81640625" bestFit="1" customWidth="1"/>
    <col min="11" max="11" width="16.6328125" bestFit="1" customWidth="1"/>
    <col min="12" max="12" width="13.36328125" bestFit="1" customWidth="1"/>
    <col min="13" max="13" width="13.1796875" bestFit="1" customWidth="1"/>
    <col min="14" max="14" width="15.36328125" bestFit="1" customWidth="1"/>
    <col min="15" max="15" width="15.54296875" bestFit="1" customWidth="1"/>
    <col min="16" max="16" width="17.453125" bestFit="1" customWidth="1"/>
    <col min="17" max="17" width="23" bestFit="1" customWidth="1"/>
    <col min="18" max="18" width="23.1796875" bestFit="1" customWidth="1"/>
    <col min="19" max="19" width="23.453125" bestFit="1" customWidth="1"/>
    <col min="20" max="20" width="25.1796875" bestFit="1" customWidth="1"/>
  </cols>
  <sheetData>
    <row r="1" spans="1:20" ht="28" customHeight="1" x14ac:dyDescent="0.35">
      <c r="A1" s="2" t="s">
        <v>327</v>
      </c>
      <c r="B1" s="2" t="s">
        <v>341</v>
      </c>
      <c r="C1" s="2" t="s">
        <v>406</v>
      </c>
      <c r="D1" s="2" t="s">
        <v>407</v>
      </c>
      <c r="E1" s="2" t="s">
        <v>408</v>
      </c>
      <c r="F1" s="2" t="s">
        <v>409</v>
      </c>
      <c r="G1" s="2" t="s">
        <v>410</v>
      </c>
      <c r="H1" s="2" t="s">
        <v>411</v>
      </c>
      <c r="I1" s="2" t="s">
        <v>412</v>
      </c>
      <c r="J1" s="2" t="s">
        <v>413</v>
      </c>
      <c r="K1" s="2" t="s">
        <v>414</v>
      </c>
      <c r="L1" s="2" t="s">
        <v>415</v>
      </c>
      <c r="M1" s="2" t="s">
        <v>416</v>
      </c>
      <c r="N1" s="2" t="s">
        <v>417</v>
      </c>
      <c r="O1" s="2" t="s">
        <v>418</v>
      </c>
      <c r="P1" s="2" t="s">
        <v>419</v>
      </c>
      <c r="Q1" s="2" t="s">
        <v>420</v>
      </c>
      <c r="R1" s="2" t="s">
        <v>421</v>
      </c>
      <c r="S1" s="2" t="s">
        <v>422</v>
      </c>
      <c r="T1" s="2" t="s">
        <v>141</v>
      </c>
    </row>
    <row r="2" spans="1:20" x14ac:dyDescent="0.35">
      <c r="A2" s="2">
        <v>1100</v>
      </c>
      <c r="B2" s="2" t="s">
        <v>423</v>
      </c>
      <c r="C2" s="2">
        <v>246.8</v>
      </c>
      <c r="D2" s="2">
        <v>29.8</v>
      </c>
      <c r="E2" s="2">
        <v>276.60000000000002</v>
      </c>
      <c r="F2" s="2">
        <v>179.4</v>
      </c>
      <c r="G2" s="2">
        <v>64.599999999999994</v>
      </c>
      <c r="H2" s="2">
        <v>30.4</v>
      </c>
      <c r="I2" s="2">
        <v>274.39999999999998</v>
      </c>
      <c r="J2" s="2">
        <v>2.2000000000000002</v>
      </c>
      <c r="K2" s="2">
        <v>65.400000000000006</v>
      </c>
      <c r="L2" s="2">
        <v>155</v>
      </c>
      <c r="M2" s="2">
        <v>75</v>
      </c>
      <c r="N2" s="2">
        <v>230</v>
      </c>
      <c r="O2" s="2">
        <v>252</v>
      </c>
      <c r="P2" s="2">
        <v>3450</v>
      </c>
      <c r="Q2" s="2">
        <v>3120</v>
      </c>
      <c r="R2" s="2">
        <v>22.3</v>
      </c>
      <c r="S2" s="2">
        <v>87948</v>
      </c>
      <c r="T2" s="2" t="s">
        <v>424</v>
      </c>
    </row>
    <row r="3" spans="1:20" x14ac:dyDescent="0.35">
      <c r="A3" s="2">
        <v>1200</v>
      </c>
      <c r="B3" s="2" t="s">
        <v>425</v>
      </c>
      <c r="C3" s="2">
        <v>333.2</v>
      </c>
      <c r="D3" s="2">
        <v>67.599999999999994</v>
      </c>
      <c r="E3" s="2">
        <v>400.8</v>
      </c>
      <c r="F3" s="2">
        <v>254.9</v>
      </c>
      <c r="G3" s="2">
        <v>91.8</v>
      </c>
      <c r="H3" s="2">
        <v>56</v>
      </c>
      <c r="I3" s="2">
        <v>402.7</v>
      </c>
      <c r="J3" s="2">
        <v>-1.9</v>
      </c>
      <c r="K3" s="2">
        <v>63.3</v>
      </c>
      <c r="L3" s="2">
        <v>230</v>
      </c>
      <c r="M3" s="2">
        <v>95</v>
      </c>
      <c r="N3" s="2">
        <v>325</v>
      </c>
      <c r="O3" s="2">
        <v>358</v>
      </c>
      <c r="P3" s="2">
        <v>3210</v>
      </c>
      <c r="Q3" s="2">
        <v>2940</v>
      </c>
      <c r="R3" s="2">
        <v>14</v>
      </c>
      <c r="S3" s="2">
        <v>136972</v>
      </c>
      <c r="T3" s="2" t="s">
        <v>426</v>
      </c>
    </row>
    <row r="4" spans="1:20" x14ac:dyDescent="0.35">
      <c r="A4" s="2">
        <v>1300</v>
      </c>
      <c r="B4" s="2" t="s">
        <v>427</v>
      </c>
      <c r="C4" s="2">
        <v>283.8</v>
      </c>
      <c r="D4" s="2">
        <v>39.799999999999997</v>
      </c>
      <c r="E4" s="2">
        <v>323.60000000000002</v>
      </c>
      <c r="F4" s="2">
        <v>217.1</v>
      </c>
      <c r="G4" s="2">
        <v>78.2</v>
      </c>
      <c r="H4" s="2">
        <v>33.6</v>
      </c>
      <c r="I4" s="2">
        <v>328.9</v>
      </c>
      <c r="J4" s="2">
        <v>-5.3</v>
      </c>
      <c r="K4" s="2">
        <v>66</v>
      </c>
      <c r="L4" s="2">
        <v>195</v>
      </c>
      <c r="M4" s="2">
        <v>80</v>
      </c>
      <c r="N4" s="2">
        <v>275</v>
      </c>
      <c r="O4" s="2">
        <v>301</v>
      </c>
      <c r="P4" s="2">
        <v>3100</v>
      </c>
      <c r="Q4" s="2">
        <v>2850</v>
      </c>
      <c r="R4" s="2">
        <v>15.9</v>
      </c>
      <c r="S4" s="2">
        <v>115403</v>
      </c>
      <c r="T4" s="2" t="s">
        <v>165</v>
      </c>
    </row>
    <row r="5" spans="1:20" x14ac:dyDescent="0.35">
      <c r="A5" s="2">
        <v>1400</v>
      </c>
      <c r="B5" s="2" t="s">
        <v>428</v>
      </c>
      <c r="C5" s="2">
        <v>160.4</v>
      </c>
      <c r="D5" s="2">
        <v>23.9</v>
      </c>
      <c r="E5" s="2">
        <v>184.3</v>
      </c>
      <c r="F5" s="2">
        <v>122.7</v>
      </c>
      <c r="G5" s="2">
        <v>44.2</v>
      </c>
      <c r="H5" s="2">
        <v>14.4</v>
      </c>
      <c r="I5" s="2">
        <v>181.3</v>
      </c>
      <c r="J5" s="2">
        <v>3</v>
      </c>
      <c r="K5" s="2">
        <v>67.7</v>
      </c>
      <c r="L5" s="2">
        <v>115</v>
      </c>
      <c r="M5" s="2">
        <v>45</v>
      </c>
      <c r="N5" s="2">
        <v>160</v>
      </c>
      <c r="O5" s="2">
        <v>176</v>
      </c>
      <c r="P5" s="2">
        <v>2320</v>
      </c>
      <c r="Q5" s="2">
        <v>2110</v>
      </c>
      <c r="R5" s="2">
        <v>20.2</v>
      </c>
      <c r="S5" s="2">
        <v>85924</v>
      </c>
      <c r="T5" s="2" t="s">
        <v>429</v>
      </c>
    </row>
    <row r="6" spans="1:20" x14ac:dyDescent="0.35">
      <c r="A6" s="2">
        <v>1500</v>
      </c>
      <c r="B6" s="2" t="s">
        <v>430</v>
      </c>
      <c r="C6" s="2">
        <v>123.4</v>
      </c>
      <c r="D6" s="2">
        <v>15.9</v>
      </c>
      <c r="E6" s="2">
        <v>139.30000000000001</v>
      </c>
      <c r="F6" s="2">
        <v>94.4</v>
      </c>
      <c r="G6" s="2">
        <v>34</v>
      </c>
      <c r="H6" s="2">
        <v>11.2</v>
      </c>
      <c r="I6" s="2">
        <v>139.6</v>
      </c>
      <c r="J6" s="2">
        <v>-0.3</v>
      </c>
      <c r="K6" s="2">
        <v>67.599999999999994</v>
      </c>
      <c r="L6" s="2">
        <v>95</v>
      </c>
      <c r="M6" s="2">
        <v>35</v>
      </c>
      <c r="N6" s="2">
        <v>130</v>
      </c>
      <c r="O6" s="2">
        <v>142</v>
      </c>
      <c r="P6" s="2">
        <v>1920</v>
      </c>
      <c r="Q6" s="2">
        <v>1730</v>
      </c>
      <c r="R6" s="2">
        <v>20.2</v>
      </c>
      <c r="S6" s="2">
        <v>80693</v>
      </c>
      <c r="T6" s="2" t="s">
        <v>424</v>
      </c>
    </row>
    <row r="7" spans="1:20" x14ac:dyDescent="0.35">
      <c r="A7" s="2">
        <v>1900</v>
      </c>
      <c r="B7" s="2" t="s">
        <v>431</v>
      </c>
      <c r="C7" s="2">
        <v>86.4</v>
      </c>
      <c r="D7" s="2">
        <v>22</v>
      </c>
      <c r="E7" s="2">
        <v>108.4</v>
      </c>
      <c r="F7" s="2">
        <v>75.5</v>
      </c>
      <c r="G7" s="2">
        <v>27.2</v>
      </c>
      <c r="H7" s="2">
        <v>14.4</v>
      </c>
      <c r="I7" s="2">
        <v>117.1</v>
      </c>
      <c r="J7" s="2">
        <v>-8.6999999999999993</v>
      </c>
      <c r="K7" s="2">
        <v>64.5</v>
      </c>
      <c r="L7" s="2">
        <v>0</v>
      </c>
      <c r="M7" s="2">
        <v>120</v>
      </c>
      <c r="N7" s="2">
        <v>120</v>
      </c>
      <c r="O7" s="2">
        <v>129</v>
      </c>
      <c r="P7" s="2">
        <v>0</v>
      </c>
      <c r="Q7" s="2">
        <v>0</v>
      </c>
      <c r="R7" s="2">
        <v>0</v>
      </c>
      <c r="S7" s="2">
        <v>0</v>
      </c>
      <c r="T7" s="2" t="s">
        <v>432</v>
      </c>
    </row>
    <row r="8" spans="1:20" x14ac:dyDescent="0.35">
      <c r="A8" s="2">
        <v>1000</v>
      </c>
      <c r="B8" s="2" t="s">
        <v>433</v>
      </c>
      <c r="C8" s="2">
        <v>1234</v>
      </c>
      <c r="D8" s="2">
        <v>199</v>
      </c>
      <c r="E8" s="2">
        <v>1433</v>
      </c>
      <c r="F8" s="2">
        <v>944</v>
      </c>
      <c r="G8" s="2">
        <v>340</v>
      </c>
      <c r="H8" s="2">
        <v>160</v>
      </c>
      <c r="I8" s="2">
        <v>1444</v>
      </c>
      <c r="J8" s="2">
        <v>-11</v>
      </c>
      <c r="K8" s="2">
        <v>65.400000000000006</v>
      </c>
      <c r="L8" s="2">
        <v>790</v>
      </c>
      <c r="M8" s="2">
        <v>450</v>
      </c>
      <c r="N8" s="2">
        <v>1240</v>
      </c>
      <c r="O8" s="2">
        <v>1358</v>
      </c>
      <c r="P8" s="2">
        <v>14000</v>
      </c>
      <c r="Q8" s="2">
        <v>12750</v>
      </c>
      <c r="R8" s="2">
        <v>17.7</v>
      </c>
      <c r="S8" s="2">
        <v>113255</v>
      </c>
      <c r="T8" s="2" t="s">
        <v>434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F58A-BCA6-4DD5-AC81-4400EC4F604F}">
  <dimension ref="A1:J7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0.36328125" bestFit="1" customWidth="1"/>
    <col min="3" max="3" width="13.36328125" bestFit="1" customWidth="1"/>
    <col min="4" max="4" width="13.1796875" bestFit="1" customWidth="1"/>
    <col min="5" max="5" width="17.1796875" bestFit="1" customWidth="1"/>
    <col min="6" max="6" width="18.26953125" customWidth="1"/>
    <col min="7" max="7" width="15.54296875" bestFit="1" customWidth="1"/>
    <col min="8" max="8" width="19.453125" bestFit="1" customWidth="1"/>
    <col min="9" max="9" width="17.26953125" bestFit="1" customWidth="1"/>
    <col min="10" max="10" width="19.453125" bestFit="1" customWidth="1"/>
  </cols>
  <sheetData>
    <row r="1" spans="1:10" ht="28" customHeight="1" x14ac:dyDescent="0.35">
      <c r="A1" s="2" t="s">
        <v>91</v>
      </c>
      <c r="B1" s="2" t="s">
        <v>327</v>
      </c>
      <c r="C1" s="2" t="s">
        <v>415</v>
      </c>
      <c r="D1" s="2" t="s">
        <v>416</v>
      </c>
      <c r="E1" s="2" t="s">
        <v>435</v>
      </c>
      <c r="F1" s="2" t="s">
        <v>436</v>
      </c>
      <c r="G1" s="2" t="s">
        <v>418</v>
      </c>
      <c r="H1" s="2" t="s">
        <v>437</v>
      </c>
      <c r="I1" s="2" t="s">
        <v>438</v>
      </c>
      <c r="J1" s="2" t="s">
        <v>116</v>
      </c>
    </row>
    <row r="2" spans="1:10" x14ac:dyDescent="0.35">
      <c r="A2" s="2">
        <v>202601</v>
      </c>
      <c r="B2" s="2">
        <v>1100</v>
      </c>
      <c r="C2" s="2">
        <v>155</v>
      </c>
      <c r="D2" s="2">
        <v>75</v>
      </c>
      <c r="E2" s="2">
        <v>230</v>
      </c>
      <c r="F2" s="2">
        <v>234</v>
      </c>
      <c r="G2" s="2">
        <v>252</v>
      </c>
      <c r="H2" s="2">
        <v>4</v>
      </c>
      <c r="I2" s="2">
        <v>67.400000000000006</v>
      </c>
      <c r="J2" s="2" t="s">
        <v>122</v>
      </c>
    </row>
    <row r="3" spans="1:10" x14ac:dyDescent="0.35">
      <c r="A3" s="2">
        <v>202601</v>
      </c>
      <c r="B3" s="2">
        <v>1200</v>
      </c>
      <c r="C3" s="2">
        <v>230</v>
      </c>
      <c r="D3" s="2">
        <v>95</v>
      </c>
      <c r="E3" s="2">
        <v>325</v>
      </c>
      <c r="F3" s="2">
        <v>333</v>
      </c>
      <c r="G3" s="2">
        <v>358</v>
      </c>
      <c r="H3" s="2">
        <v>8</v>
      </c>
      <c r="I3" s="2">
        <v>70.8</v>
      </c>
      <c r="J3" s="2" t="s">
        <v>122</v>
      </c>
    </row>
    <row r="4" spans="1:10" x14ac:dyDescent="0.35">
      <c r="A4" s="2">
        <v>202601</v>
      </c>
      <c r="B4" s="2">
        <v>1300</v>
      </c>
      <c r="C4" s="2">
        <v>195</v>
      </c>
      <c r="D4" s="2">
        <v>80</v>
      </c>
      <c r="E4" s="2">
        <v>275</v>
      </c>
      <c r="F4" s="2">
        <v>280</v>
      </c>
      <c r="G4" s="2">
        <v>301</v>
      </c>
      <c r="H4" s="2">
        <v>5</v>
      </c>
      <c r="I4" s="2">
        <v>70.900000000000006</v>
      </c>
      <c r="J4" s="2" t="s">
        <v>122</v>
      </c>
    </row>
    <row r="5" spans="1:10" x14ac:dyDescent="0.35">
      <c r="A5" s="2">
        <v>202601</v>
      </c>
      <c r="B5" s="2">
        <v>1400</v>
      </c>
      <c r="C5" s="2">
        <v>115</v>
      </c>
      <c r="D5" s="2">
        <v>45</v>
      </c>
      <c r="E5" s="2">
        <v>160</v>
      </c>
      <c r="F5" s="2">
        <v>163</v>
      </c>
      <c r="G5" s="2">
        <v>176</v>
      </c>
      <c r="H5" s="2">
        <v>3</v>
      </c>
      <c r="I5" s="2">
        <v>71.900000000000006</v>
      </c>
      <c r="J5" s="2" t="s">
        <v>122</v>
      </c>
    </row>
    <row r="6" spans="1:10" x14ac:dyDescent="0.35">
      <c r="A6" s="2">
        <v>202601</v>
      </c>
      <c r="B6" s="2">
        <v>1500</v>
      </c>
      <c r="C6" s="2">
        <v>95</v>
      </c>
      <c r="D6" s="2">
        <v>35</v>
      </c>
      <c r="E6" s="2">
        <v>130</v>
      </c>
      <c r="F6" s="2">
        <v>132</v>
      </c>
      <c r="G6" s="2">
        <v>142</v>
      </c>
      <c r="H6" s="2">
        <v>2</v>
      </c>
      <c r="I6" s="2">
        <v>73.099999999999994</v>
      </c>
      <c r="J6" s="2" t="s">
        <v>122</v>
      </c>
    </row>
    <row r="7" spans="1:10" x14ac:dyDescent="0.35">
      <c r="A7" s="2">
        <v>202601</v>
      </c>
      <c r="B7" s="2">
        <v>1900</v>
      </c>
      <c r="C7" s="2">
        <v>0</v>
      </c>
      <c r="D7" s="2">
        <v>120</v>
      </c>
      <c r="E7" s="2">
        <v>120</v>
      </c>
      <c r="F7" s="2">
        <v>123</v>
      </c>
      <c r="G7" s="2">
        <v>129</v>
      </c>
      <c r="H7" s="2">
        <v>3</v>
      </c>
      <c r="I7" s="2">
        <v>0</v>
      </c>
      <c r="J7" s="2" t="s">
        <v>122</v>
      </c>
    </row>
    <row r="8" spans="1:10" x14ac:dyDescent="0.35">
      <c r="A8" s="2">
        <v>202602</v>
      </c>
      <c r="B8" s="2">
        <v>1100</v>
      </c>
      <c r="C8" s="2">
        <v>155</v>
      </c>
      <c r="D8" s="2">
        <v>75</v>
      </c>
      <c r="E8" s="2">
        <v>230</v>
      </c>
      <c r="F8" s="2">
        <v>234</v>
      </c>
      <c r="G8" s="2">
        <v>252</v>
      </c>
      <c r="H8" s="2">
        <v>4</v>
      </c>
      <c r="I8" s="2">
        <v>67.400000000000006</v>
      </c>
      <c r="J8" s="2" t="s">
        <v>122</v>
      </c>
    </row>
    <row r="9" spans="1:10" x14ac:dyDescent="0.35">
      <c r="A9" s="2">
        <v>202602</v>
      </c>
      <c r="B9" s="2">
        <v>1200</v>
      </c>
      <c r="C9" s="2">
        <v>230</v>
      </c>
      <c r="D9" s="2">
        <v>95</v>
      </c>
      <c r="E9" s="2">
        <v>325</v>
      </c>
      <c r="F9" s="2">
        <v>333</v>
      </c>
      <c r="G9" s="2">
        <v>358</v>
      </c>
      <c r="H9" s="2">
        <v>8</v>
      </c>
      <c r="I9" s="2">
        <v>70.8</v>
      </c>
      <c r="J9" s="2" t="s">
        <v>122</v>
      </c>
    </row>
    <row r="10" spans="1:10" x14ac:dyDescent="0.35">
      <c r="A10" s="2">
        <v>202602</v>
      </c>
      <c r="B10" s="2">
        <v>1300</v>
      </c>
      <c r="C10" s="2">
        <v>195</v>
      </c>
      <c r="D10" s="2">
        <v>80</v>
      </c>
      <c r="E10" s="2">
        <v>275</v>
      </c>
      <c r="F10" s="2">
        <v>280</v>
      </c>
      <c r="G10" s="2">
        <v>301</v>
      </c>
      <c r="H10" s="2">
        <v>5</v>
      </c>
      <c r="I10" s="2">
        <v>70.900000000000006</v>
      </c>
      <c r="J10" s="2" t="s">
        <v>122</v>
      </c>
    </row>
    <row r="11" spans="1:10" x14ac:dyDescent="0.35">
      <c r="A11" s="2">
        <v>202602</v>
      </c>
      <c r="B11" s="2">
        <v>1400</v>
      </c>
      <c r="C11" s="2">
        <v>115</v>
      </c>
      <c r="D11" s="2">
        <v>45</v>
      </c>
      <c r="E11" s="2">
        <v>160</v>
      </c>
      <c r="F11" s="2">
        <v>163</v>
      </c>
      <c r="G11" s="2">
        <v>176</v>
      </c>
      <c r="H11" s="2">
        <v>3</v>
      </c>
      <c r="I11" s="2">
        <v>71.900000000000006</v>
      </c>
      <c r="J11" s="2" t="s">
        <v>122</v>
      </c>
    </row>
    <row r="12" spans="1:10" x14ac:dyDescent="0.35">
      <c r="A12" s="2">
        <v>202602</v>
      </c>
      <c r="B12" s="2">
        <v>1500</v>
      </c>
      <c r="C12" s="2">
        <v>95</v>
      </c>
      <c r="D12" s="2">
        <v>35</v>
      </c>
      <c r="E12" s="2">
        <v>130</v>
      </c>
      <c r="F12" s="2">
        <v>132</v>
      </c>
      <c r="G12" s="2">
        <v>142</v>
      </c>
      <c r="H12" s="2">
        <v>2</v>
      </c>
      <c r="I12" s="2">
        <v>73.099999999999994</v>
      </c>
      <c r="J12" s="2" t="s">
        <v>122</v>
      </c>
    </row>
    <row r="13" spans="1:10" x14ac:dyDescent="0.35">
      <c r="A13" s="2">
        <v>202602</v>
      </c>
      <c r="B13" s="2">
        <v>1900</v>
      </c>
      <c r="C13" s="2">
        <v>0</v>
      </c>
      <c r="D13" s="2">
        <v>120</v>
      </c>
      <c r="E13" s="2">
        <v>120</v>
      </c>
      <c r="F13" s="2">
        <v>123</v>
      </c>
      <c r="G13" s="2">
        <v>129</v>
      </c>
      <c r="H13" s="2">
        <v>3</v>
      </c>
      <c r="I13" s="2">
        <v>0</v>
      </c>
      <c r="J13" s="2" t="s">
        <v>122</v>
      </c>
    </row>
    <row r="14" spans="1:10" x14ac:dyDescent="0.35">
      <c r="A14" s="2">
        <v>202603</v>
      </c>
      <c r="B14" s="2">
        <v>1100</v>
      </c>
      <c r="C14" s="2">
        <v>155</v>
      </c>
      <c r="D14" s="2">
        <v>75</v>
      </c>
      <c r="E14" s="2">
        <v>230</v>
      </c>
      <c r="F14" s="2">
        <v>234</v>
      </c>
      <c r="G14" s="2">
        <v>252</v>
      </c>
      <c r="H14" s="2">
        <v>4</v>
      </c>
      <c r="I14" s="2">
        <v>67.400000000000006</v>
      </c>
      <c r="J14" s="2" t="s">
        <v>122</v>
      </c>
    </row>
    <row r="15" spans="1:10" x14ac:dyDescent="0.35">
      <c r="A15" s="2">
        <v>202603</v>
      </c>
      <c r="B15" s="2">
        <v>1200</v>
      </c>
      <c r="C15" s="2">
        <v>230</v>
      </c>
      <c r="D15" s="2">
        <v>95</v>
      </c>
      <c r="E15" s="2">
        <v>325</v>
      </c>
      <c r="F15" s="2">
        <v>333</v>
      </c>
      <c r="G15" s="2">
        <v>358</v>
      </c>
      <c r="H15" s="2">
        <v>8</v>
      </c>
      <c r="I15" s="2">
        <v>70.8</v>
      </c>
      <c r="J15" s="2" t="s">
        <v>122</v>
      </c>
    </row>
    <row r="16" spans="1:10" x14ac:dyDescent="0.35">
      <c r="A16" s="2">
        <v>202603</v>
      </c>
      <c r="B16" s="2">
        <v>1300</v>
      </c>
      <c r="C16" s="2">
        <v>195</v>
      </c>
      <c r="D16" s="2">
        <v>80</v>
      </c>
      <c r="E16" s="2">
        <v>275</v>
      </c>
      <c r="F16" s="2">
        <v>280</v>
      </c>
      <c r="G16" s="2">
        <v>301</v>
      </c>
      <c r="H16" s="2">
        <v>5</v>
      </c>
      <c r="I16" s="2">
        <v>70.900000000000006</v>
      </c>
      <c r="J16" s="2" t="s">
        <v>122</v>
      </c>
    </row>
    <row r="17" spans="1:10" x14ac:dyDescent="0.35">
      <c r="A17" s="2">
        <v>202603</v>
      </c>
      <c r="B17" s="2">
        <v>1400</v>
      </c>
      <c r="C17" s="2">
        <v>115</v>
      </c>
      <c r="D17" s="2">
        <v>45</v>
      </c>
      <c r="E17" s="2">
        <v>160</v>
      </c>
      <c r="F17" s="2">
        <v>163</v>
      </c>
      <c r="G17" s="2">
        <v>176</v>
      </c>
      <c r="H17" s="2">
        <v>3</v>
      </c>
      <c r="I17" s="2">
        <v>71.900000000000006</v>
      </c>
      <c r="J17" s="2" t="s">
        <v>122</v>
      </c>
    </row>
    <row r="18" spans="1:10" x14ac:dyDescent="0.35">
      <c r="A18" s="2">
        <v>202603</v>
      </c>
      <c r="B18" s="2">
        <v>1500</v>
      </c>
      <c r="C18" s="2">
        <v>95</v>
      </c>
      <c r="D18" s="2">
        <v>35</v>
      </c>
      <c r="E18" s="2">
        <v>130</v>
      </c>
      <c r="F18" s="2">
        <v>132</v>
      </c>
      <c r="G18" s="2">
        <v>142</v>
      </c>
      <c r="H18" s="2">
        <v>2</v>
      </c>
      <c r="I18" s="2">
        <v>73.099999999999994</v>
      </c>
      <c r="J18" s="2" t="s">
        <v>122</v>
      </c>
    </row>
    <row r="19" spans="1:10" x14ac:dyDescent="0.35">
      <c r="A19" s="2">
        <v>202603</v>
      </c>
      <c r="B19" s="2">
        <v>1900</v>
      </c>
      <c r="C19" s="2">
        <v>0</v>
      </c>
      <c r="D19" s="2">
        <v>120</v>
      </c>
      <c r="E19" s="2">
        <v>120</v>
      </c>
      <c r="F19" s="2">
        <v>123</v>
      </c>
      <c r="G19" s="2">
        <v>129</v>
      </c>
      <c r="H19" s="2">
        <v>3</v>
      </c>
      <c r="I19" s="2">
        <v>0</v>
      </c>
      <c r="J19" s="2" t="s">
        <v>122</v>
      </c>
    </row>
    <row r="20" spans="1:10" x14ac:dyDescent="0.35">
      <c r="A20" s="2">
        <v>202604</v>
      </c>
      <c r="B20" s="2">
        <v>1100</v>
      </c>
      <c r="C20" s="2">
        <v>155</v>
      </c>
      <c r="D20" s="2">
        <v>75</v>
      </c>
      <c r="E20" s="2">
        <v>230</v>
      </c>
      <c r="F20" s="2">
        <v>234</v>
      </c>
      <c r="G20" s="2">
        <v>252</v>
      </c>
      <c r="H20" s="2">
        <v>4</v>
      </c>
      <c r="I20" s="2">
        <v>67.400000000000006</v>
      </c>
      <c r="J20" s="2" t="s">
        <v>122</v>
      </c>
    </row>
    <row r="21" spans="1:10" x14ac:dyDescent="0.35">
      <c r="A21" s="2">
        <v>202604</v>
      </c>
      <c r="B21" s="2">
        <v>1200</v>
      </c>
      <c r="C21" s="2">
        <v>230</v>
      </c>
      <c r="D21" s="2">
        <v>95</v>
      </c>
      <c r="E21" s="2">
        <v>325</v>
      </c>
      <c r="F21" s="2">
        <v>333</v>
      </c>
      <c r="G21" s="2">
        <v>358</v>
      </c>
      <c r="H21" s="2">
        <v>8</v>
      </c>
      <c r="I21" s="2">
        <v>70.8</v>
      </c>
      <c r="J21" s="2" t="s">
        <v>122</v>
      </c>
    </row>
    <row r="22" spans="1:10" x14ac:dyDescent="0.35">
      <c r="A22" s="2">
        <v>202604</v>
      </c>
      <c r="B22" s="2">
        <v>1300</v>
      </c>
      <c r="C22" s="2">
        <v>195</v>
      </c>
      <c r="D22" s="2">
        <v>80</v>
      </c>
      <c r="E22" s="2">
        <v>275</v>
      </c>
      <c r="F22" s="2">
        <v>280</v>
      </c>
      <c r="G22" s="2">
        <v>301</v>
      </c>
      <c r="H22" s="2">
        <v>5</v>
      </c>
      <c r="I22" s="2">
        <v>70.900000000000006</v>
      </c>
      <c r="J22" s="2" t="s">
        <v>122</v>
      </c>
    </row>
    <row r="23" spans="1:10" x14ac:dyDescent="0.35">
      <c r="A23" s="2">
        <v>202604</v>
      </c>
      <c r="B23" s="2">
        <v>1400</v>
      </c>
      <c r="C23" s="2">
        <v>115</v>
      </c>
      <c r="D23" s="2">
        <v>45</v>
      </c>
      <c r="E23" s="2">
        <v>160</v>
      </c>
      <c r="F23" s="2">
        <v>163</v>
      </c>
      <c r="G23" s="2">
        <v>176</v>
      </c>
      <c r="H23" s="2">
        <v>3</v>
      </c>
      <c r="I23" s="2">
        <v>71.900000000000006</v>
      </c>
      <c r="J23" s="2" t="s">
        <v>122</v>
      </c>
    </row>
    <row r="24" spans="1:10" x14ac:dyDescent="0.35">
      <c r="A24" s="2">
        <v>202604</v>
      </c>
      <c r="B24" s="2">
        <v>1500</v>
      </c>
      <c r="C24" s="2">
        <v>95</v>
      </c>
      <c r="D24" s="2">
        <v>35</v>
      </c>
      <c r="E24" s="2">
        <v>130</v>
      </c>
      <c r="F24" s="2">
        <v>132</v>
      </c>
      <c r="G24" s="2">
        <v>142</v>
      </c>
      <c r="H24" s="2">
        <v>2</v>
      </c>
      <c r="I24" s="2">
        <v>73.099999999999994</v>
      </c>
      <c r="J24" s="2" t="s">
        <v>122</v>
      </c>
    </row>
    <row r="25" spans="1:10" x14ac:dyDescent="0.35">
      <c r="A25" s="2">
        <v>202604</v>
      </c>
      <c r="B25" s="2">
        <v>1900</v>
      </c>
      <c r="C25" s="2">
        <v>0</v>
      </c>
      <c r="D25" s="2">
        <v>120</v>
      </c>
      <c r="E25" s="2">
        <v>120</v>
      </c>
      <c r="F25" s="2">
        <v>123</v>
      </c>
      <c r="G25" s="2">
        <v>129</v>
      </c>
      <c r="H25" s="2">
        <v>3</v>
      </c>
      <c r="I25" s="2">
        <v>0</v>
      </c>
      <c r="J25" s="2" t="s">
        <v>122</v>
      </c>
    </row>
    <row r="26" spans="1:10" x14ac:dyDescent="0.35">
      <c r="A26" s="2">
        <v>202605</v>
      </c>
      <c r="B26" s="2">
        <v>1100</v>
      </c>
      <c r="C26" s="2">
        <v>155</v>
      </c>
      <c r="D26" s="2">
        <v>75</v>
      </c>
      <c r="E26" s="2">
        <v>230</v>
      </c>
      <c r="F26" s="2">
        <v>234</v>
      </c>
      <c r="G26" s="2">
        <v>252</v>
      </c>
      <c r="H26" s="2">
        <v>4</v>
      </c>
      <c r="I26" s="2">
        <v>67.400000000000006</v>
      </c>
      <c r="J26" s="2" t="s">
        <v>122</v>
      </c>
    </row>
    <row r="27" spans="1:10" x14ac:dyDescent="0.35">
      <c r="A27" s="2">
        <v>202605</v>
      </c>
      <c r="B27" s="2">
        <v>1200</v>
      </c>
      <c r="C27" s="2">
        <v>230</v>
      </c>
      <c r="D27" s="2">
        <v>95</v>
      </c>
      <c r="E27" s="2">
        <v>325</v>
      </c>
      <c r="F27" s="2">
        <v>333</v>
      </c>
      <c r="G27" s="2">
        <v>358</v>
      </c>
      <c r="H27" s="2">
        <v>8</v>
      </c>
      <c r="I27" s="2">
        <v>70.8</v>
      </c>
      <c r="J27" s="2" t="s">
        <v>122</v>
      </c>
    </row>
    <row r="28" spans="1:10" x14ac:dyDescent="0.35">
      <c r="A28" s="2">
        <v>202605</v>
      </c>
      <c r="B28" s="2">
        <v>1300</v>
      </c>
      <c r="C28" s="2">
        <v>195</v>
      </c>
      <c r="D28" s="2">
        <v>80</v>
      </c>
      <c r="E28" s="2">
        <v>275</v>
      </c>
      <c r="F28" s="2">
        <v>280</v>
      </c>
      <c r="G28" s="2">
        <v>301</v>
      </c>
      <c r="H28" s="2">
        <v>5</v>
      </c>
      <c r="I28" s="2">
        <v>70.900000000000006</v>
      </c>
      <c r="J28" s="2" t="s">
        <v>122</v>
      </c>
    </row>
    <row r="29" spans="1:10" x14ac:dyDescent="0.35">
      <c r="A29" s="2">
        <v>202605</v>
      </c>
      <c r="B29" s="2">
        <v>1400</v>
      </c>
      <c r="C29" s="2">
        <v>115</v>
      </c>
      <c r="D29" s="2">
        <v>45</v>
      </c>
      <c r="E29" s="2">
        <v>160</v>
      </c>
      <c r="F29" s="2">
        <v>163</v>
      </c>
      <c r="G29" s="2">
        <v>176</v>
      </c>
      <c r="H29" s="2">
        <v>3</v>
      </c>
      <c r="I29" s="2">
        <v>71.900000000000006</v>
      </c>
      <c r="J29" s="2" t="s">
        <v>122</v>
      </c>
    </row>
    <row r="30" spans="1:10" x14ac:dyDescent="0.35">
      <c r="A30" s="2">
        <v>202605</v>
      </c>
      <c r="B30" s="2">
        <v>1500</v>
      </c>
      <c r="C30" s="2">
        <v>95</v>
      </c>
      <c r="D30" s="2">
        <v>35</v>
      </c>
      <c r="E30" s="2">
        <v>130</v>
      </c>
      <c r="F30" s="2">
        <v>132</v>
      </c>
      <c r="G30" s="2">
        <v>142</v>
      </c>
      <c r="H30" s="2">
        <v>2</v>
      </c>
      <c r="I30" s="2">
        <v>73.099999999999994</v>
      </c>
      <c r="J30" s="2" t="s">
        <v>122</v>
      </c>
    </row>
    <row r="31" spans="1:10" x14ac:dyDescent="0.35">
      <c r="A31" s="2">
        <v>202605</v>
      </c>
      <c r="B31" s="2">
        <v>1900</v>
      </c>
      <c r="C31" s="2">
        <v>0</v>
      </c>
      <c r="D31" s="2">
        <v>120</v>
      </c>
      <c r="E31" s="2">
        <v>120</v>
      </c>
      <c r="F31" s="2">
        <v>123</v>
      </c>
      <c r="G31" s="2">
        <v>129</v>
      </c>
      <c r="H31" s="2">
        <v>3</v>
      </c>
      <c r="I31" s="2">
        <v>0</v>
      </c>
      <c r="J31" s="2" t="s">
        <v>122</v>
      </c>
    </row>
    <row r="32" spans="1:10" x14ac:dyDescent="0.35">
      <c r="A32" s="2">
        <v>202606</v>
      </c>
      <c r="B32" s="2">
        <v>1100</v>
      </c>
      <c r="C32" s="2">
        <v>155</v>
      </c>
      <c r="D32" s="2">
        <v>75</v>
      </c>
      <c r="E32" s="2">
        <v>230</v>
      </c>
      <c r="F32" s="2">
        <v>234</v>
      </c>
      <c r="G32" s="2">
        <v>252</v>
      </c>
      <c r="H32" s="2">
        <v>4</v>
      </c>
      <c r="I32" s="2">
        <v>67.400000000000006</v>
      </c>
      <c r="J32" s="2" t="s">
        <v>122</v>
      </c>
    </row>
    <row r="33" spans="1:10" x14ac:dyDescent="0.35">
      <c r="A33" s="2">
        <v>202606</v>
      </c>
      <c r="B33" s="2">
        <v>1200</v>
      </c>
      <c r="C33" s="2">
        <v>230</v>
      </c>
      <c r="D33" s="2">
        <v>95</v>
      </c>
      <c r="E33" s="2">
        <v>325</v>
      </c>
      <c r="F33" s="2">
        <v>333</v>
      </c>
      <c r="G33" s="2">
        <v>358</v>
      </c>
      <c r="H33" s="2">
        <v>8</v>
      </c>
      <c r="I33" s="2">
        <v>70.8</v>
      </c>
      <c r="J33" s="2" t="s">
        <v>122</v>
      </c>
    </row>
    <row r="34" spans="1:10" x14ac:dyDescent="0.35">
      <c r="A34" s="2">
        <v>202606</v>
      </c>
      <c r="B34" s="2">
        <v>1300</v>
      </c>
      <c r="C34" s="2">
        <v>195</v>
      </c>
      <c r="D34" s="2">
        <v>80</v>
      </c>
      <c r="E34" s="2">
        <v>275</v>
      </c>
      <c r="F34" s="2">
        <v>280</v>
      </c>
      <c r="G34" s="2">
        <v>301</v>
      </c>
      <c r="H34" s="2">
        <v>5</v>
      </c>
      <c r="I34" s="2">
        <v>70.900000000000006</v>
      </c>
      <c r="J34" s="2" t="s">
        <v>122</v>
      </c>
    </row>
    <row r="35" spans="1:10" x14ac:dyDescent="0.35">
      <c r="A35" s="2">
        <v>202606</v>
      </c>
      <c r="B35" s="2">
        <v>1400</v>
      </c>
      <c r="C35" s="2">
        <v>115</v>
      </c>
      <c r="D35" s="2">
        <v>45</v>
      </c>
      <c r="E35" s="2">
        <v>160</v>
      </c>
      <c r="F35" s="2">
        <v>163</v>
      </c>
      <c r="G35" s="2">
        <v>176</v>
      </c>
      <c r="H35" s="2">
        <v>3</v>
      </c>
      <c r="I35" s="2">
        <v>71.900000000000006</v>
      </c>
      <c r="J35" s="2" t="s">
        <v>122</v>
      </c>
    </row>
    <row r="36" spans="1:10" x14ac:dyDescent="0.35">
      <c r="A36" s="2">
        <v>202606</v>
      </c>
      <c r="B36" s="2">
        <v>1500</v>
      </c>
      <c r="C36" s="2">
        <v>95</v>
      </c>
      <c r="D36" s="2">
        <v>35</v>
      </c>
      <c r="E36" s="2">
        <v>130</v>
      </c>
      <c r="F36" s="2">
        <v>132</v>
      </c>
      <c r="G36" s="2">
        <v>142</v>
      </c>
      <c r="H36" s="2">
        <v>2</v>
      </c>
      <c r="I36" s="2">
        <v>73.099999999999994</v>
      </c>
      <c r="J36" s="2" t="s">
        <v>122</v>
      </c>
    </row>
    <row r="37" spans="1:10" x14ac:dyDescent="0.35">
      <c r="A37" s="2">
        <v>202606</v>
      </c>
      <c r="B37" s="2">
        <v>1900</v>
      </c>
      <c r="C37" s="2">
        <v>0</v>
      </c>
      <c r="D37" s="2">
        <v>120</v>
      </c>
      <c r="E37" s="2">
        <v>120</v>
      </c>
      <c r="F37" s="2">
        <v>123</v>
      </c>
      <c r="G37" s="2">
        <v>129</v>
      </c>
      <c r="H37" s="2">
        <v>3</v>
      </c>
      <c r="I37" s="2">
        <v>0</v>
      </c>
      <c r="J37" s="2" t="s">
        <v>122</v>
      </c>
    </row>
    <row r="38" spans="1:10" x14ac:dyDescent="0.35">
      <c r="A38" s="2">
        <v>202607</v>
      </c>
      <c r="B38" s="2">
        <v>1100</v>
      </c>
      <c r="C38" s="2">
        <v>155</v>
      </c>
      <c r="D38" s="2">
        <v>75</v>
      </c>
      <c r="E38" s="2">
        <v>229.5</v>
      </c>
      <c r="F38" s="2">
        <v>234</v>
      </c>
      <c r="G38" s="2">
        <v>252</v>
      </c>
      <c r="H38" s="2">
        <v>4</v>
      </c>
      <c r="I38" s="2">
        <v>67.400000000000006</v>
      </c>
      <c r="J38" s="2" t="s">
        <v>122</v>
      </c>
    </row>
    <row r="39" spans="1:10" x14ac:dyDescent="0.35">
      <c r="A39" s="2">
        <v>202607</v>
      </c>
      <c r="B39" s="2">
        <v>1200</v>
      </c>
      <c r="C39" s="2">
        <v>230</v>
      </c>
      <c r="D39" s="2">
        <v>95</v>
      </c>
      <c r="E39" s="2">
        <v>324.5</v>
      </c>
      <c r="F39" s="2">
        <v>333</v>
      </c>
      <c r="G39" s="2">
        <v>358</v>
      </c>
      <c r="H39" s="2">
        <v>8</v>
      </c>
      <c r="I39" s="2">
        <v>70.8</v>
      </c>
      <c r="J39" s="2" t="s">
        <v>122</v>
      </c>
    </row>
    <row r="40" spans="1:10" x14ac:dyDescent="0.35">
      <c r="A40" s="2">
        <v>202607</v>
      </c>
      <c r="B40" s="2">
        <v>1300</v>
      </c>
      <c r="C40" s="2">
        <v>195</v>
      </c>
      <c r="D40" s="2">
        <v>80</v>
      </c>
      <c r="E40" s="2">
        <v>274.5</v>
      </c>
      <c r="F40" s="2">
        <v>280</v>
      </c>
      <c r="G40" s="2">
        <v>301</v>
      </c>
      <c r="H40" s="2">
        <v>5</v>
      </c>
      <c r="I40" s="2">
        <v>70.900000000000006</v>
      </c>
      <c r="J40" s="2" t="s">
        <v>122</v>
      </c>
    </row>
    <row r="41" spans="1:10" x14ac:dyDescent="0.35">
      <c r="A41" s="2">
        <v>202607</v>
      </c>
      <c r="B41" s="2">
        <v>1400</v>
      </c>
      <c r="C41" s="2">
        <v>115</v>
      </c>
      <c r="D41" s="2">
        <v>45</v>
      </c>
      <c r="E41" s="2">
        <v>159.5</v>
      </c>
      <c r="F41" s="2">
        <v>163</v>
      </c>
      <c r="G41" s="2">
        <v>176</v>
      </c>
      <c r="H41" s="2">
        <v>3</v>
      </c>
      <c r="I41" s="2">
        <v>71.900000000000006</v>
      </c>
      <c r="J41" s="2" t="s">
        <v>122</v>
      </c>
    </row>
    <row r="42" spans="1:10" x14ac:dyDescent="0.35">
      <c r="A42" s="2">
        <v>202607</v>
      </c>
      <c r="B42" s="2">
        <v>1500</v>
      </c>
      <c r="C42" s="2">
        <v>95</v>
      </c>
      <c r="D42" s="2">
        <v>35</v>
      </c>
      <c r="E42" s="2">
        <v>129.5</v>
      </c>
      <c r="F42" s="2">
        <v>132</v>
      </c>
      <c r="G42" s="2">
        <v>142</v>
      </c>
      <c r="H42" s="2">
        <v>2</v>
      </c>
      <c r="I42" s="2">
        <v>73.099999999999994</v>
      </c>
      <c r="J42" s="2" t="s">
        <v>122</v>
      </c>
    </row>
    <row r="43" spans="1:10" x14ac:dyDescent="0.35">
      <c r="A43" s="2">
        <v>202607</v>
      </c>
      <c r="B43" s="2">
        <v>1900</v>
      </c>
      <c r="C43" s="2">
        <v>0</v>
      </c>
      <c r="D43" s="2">
        <v>120</v>
      </c>
      <c r="E43" s="2">
        <v>119.5</v>
      </c>
      <c r="F43" s="2">
        <v>123</v>
      </c>
      <c r="G43" s="2">
        <v>129</v>
      </c>
      <c r="H43" s="2">
        <v>3</v>
      </c>
      <c r="I43" s="2">
        <v>0</v>
      </c>
      <c r="J43" s="2" t="s">
        <v>122</v>
      </c>
    </row>
    <row r="44" spans="1:10" x14ac:dyDescent="0.35">
      <c r="A44" s="2">
        <v>202608</v>
      </c>
      <c r="B44" s="2">
        <v>1100</v>
      </c>
      <c r="C44" s="2">
        <v>155</v>
      </c>
      <c r="D44" s="2">
        <v>75</v>
      </c>
      <c r="E44" s="2">
        <v>229.5</v>
      </c>
      <c r="F44" s="2">
        <v>234</v>
      </c>
      <c r="G44" s="2">
        <v>252</v>
      </c>
      <c r="H44" s="2">
        <v>4</v>
      </c>
      <c r="I44" s="2">
        <v>67.400000000000006</v>
      </c>
      <c r="J44" s="2" t="s">
        <v>122</v>
      </c>
    </row>
    <row r="45" spans="1:10" x14ac:dyDescent="0.35">
      <c r="A45" s="2">
        <v>202608</v>
      </c>
      <c r="B45" s="2">
        <v>1200</v>
      </c>
      <c r="C45" s="2">
        <v>230</v>
      </c>
      <c r="D45" s="2">
        <v>95</v>
      </c>
      <c r="E45" s="2">
        <v>324.5</v>
      </c>
      <c r="F45" s="2">
        <v>333</v>
      </c>
      <c r="G45" s="2">
        <v>358</v>
      </c>
      <c r="H45" s="2">
        <v>8</v>
      </c>
      <c r="I45" s="2">
        <v>70.8</v>
      </c>
      <c r="J45" s="2" t="s">
        <v>122</v>
      </c>
    </row>
    <row r="46" spans="1:10" x14ac:dyDescent="0.35">
      <c r="A46" s="2">
        <v>202608</v>
      </c>
      <c r="B46" s="2">
        <v>1300</v>
      </c>
      <c r="C46" s="2">
        <v>195</v>
      </c>
      <c r="D46" s="2">
        <v>80</v>
      </c>
      <c r="E46" s="2">
        <v>274.5</v>
      </c>
      <c r="F46" s="2">
        <v>280</v>
      </c>
      <c r="G46" s="2">
        <v>301</v>
      </c>
      <c r="H46" s="2">
        <v>5</v>
      </c>
      <c r="I46" s="2">
        <v>70.900000000000006</v>
      </c>
      <c r="J46" s="2" t="s">
        <v>122</v>
      </c>
    </row>
    <row r="47" spans="1:10" x14ac:dyDescent="0.35">
      <c r="A47" s="2">
        <v>202608</v>
      </c>
      <c r="B47" s="2">
        <v>1400</v>
      </c>
      <c r="C47" s="2">
        <v>115</v>
      </c>
      <c r="D47" s="2">
        <v>45</v>
      </c>
      <c r="E47" s="2">
        <v>159.5</v>
      </c>
      <c r="F47" s="2">
        <v>163</v>
      </c>
      <c r="G47" s="2">
        <v>176</v>
      </c>
      <c r="H47" s="2">
        <v>3</v>
      </c>
      <c r="I47" s="2">
        <v>71.900000000000006</v>
      </c>
      <c r="J47" s="2" t="s">
        <v>122</v>
      </c>
    </row>
    <row r="48" spans="1:10" x14ac:dyDescent="0.35">
      <c r="A48" s="2">
        <v>202608</v>
      </c>
      <c r="B48" s="2">
        <v>1500</v>
      </c>
      <c r="C48" s="2">
        <v>95</v>
      </c>
      <c r="D48" s="2">
        <v>35</v>
      </c>
      <c r="E48" s="2">
        <v>129.5</v>
      </c>
      <c r="F48" s="2">
        <v>132</v>
      </c>
      <c r="G48" s="2">
        <v>142</v>
      </c>
      <c r="H48" s="2">
        <v>2</v>
      </c>
      <c r="I48" s="2">
        <v>73.099999999999994</v>
      </c>
      <c r="J48" s="2" t="s">
        <v>122</v>
      </c>
    </row>
    <row r="49" spans="1:10" x14ac:dyDescent="0.35">
      <c r="A49" s="2">
        <v>202608</v>
      </c>
      <c r="B49" s="2">
        <v>1900</v>
      </c>
      <c r="C49" s="2">
        <v>0</v>
      </c>
      <c r="D49" s="2">
        <v>120</v>
      </c>
      <c r="E49" s="2">
        <v>119.5</v>
      </c>
      <c r="F49" s="2">
        <v>123</v>
      </c>
      <c r="G49" s="2">
        <v>129</v>
      </c>
      <c r="H49" s="2">
        <v>3</v>
      </c>
      <c r="I49" s="2">
        <v>0</v>
      </c>
      <c r="J49" s="2" t="s">
        <v>122</v>
      </c>
    </row>
    <row r="50" spans="1:10" x14ac:dyDescent="0.35">
      <c r="A50" s="2">
        <v>202609</v>
      </c>
      <c r="B50" s="2">
        <v>1100</v>
      </c>
      <c r="C50" s="2">
        <v>155</v>
      </c>
      <c r="D50" s="2">
        <v>75</v>
      </c>
      <c r="E50" s="2">
        <v>230</v>
      </c>
      <c r="F50" s="2">
        <v>234</v>
      </c>
      <c r="G50" s="2">
        <v>252</v>
      </c>
      <c r="H50" s="2">
        <v>4</v>
      </c>
      <c r="I50" s="2">
        <v>67.400000000000006</v>
      </c>
      <c r="J50" s="2" t="s">
        <v>122</v>
      </c>
    </row>
    <row r="51" spans="1:10" x14ac:dyDescent="0.35">
      <c r="A51" s="2">
        <v>202609</v>
      </c>
      <c r="B51" s="2">
        <v>1200</v>
      </c>
      <c r="C51" s="2">
        <v>230</v>
      </c>
      <c r="D51" s="2">
        <v>95</v>
      </c>
      <c r="E51" s="2">
        <v>325</v>
      </c>
      <c r="F51" s="2">
        <v>333</v>
      </c>
      <c r="G51" s="2">
        <v>358</v>
      </c>
      <c r="H51" s="2">
        <v>8</v>
      </c>
      <c r="I51" s="2">
        <v>70.8</v>
      </c>
      <c r="J51" s="2" t="s">
        <v>122</v>
      </c>
    </row>
    <row r="52" spans="1:10" x14ac:dyDescent="0.35">
      <c r="A52" s="2">
        <v>202609</v>
      </c>
      <c r="B52" s="2">
        <v>1300</v>
      </c>
      <c r="C52" s="2">
        <v>195</v>
      </c>
      <c r="D52" s="2">
        <v>80</v>
      </c>
      <c r="E52" s="2">
        <v>275</v>
      </c>
      <c r="F52" s="2">
        <v>280</v>
      </c>
      <c r="G52" s="2">
        <v>301</v>
      </c>
      <c r="H52" s="2">
        <v>5</v>
      </c>
      <c r="I52" s="2">
        <v>70.900000000000006</v>
      </c>
      <c r="J52" s="2" t="s">
        <v>122</v>
      </c>
    </row>
    <row r="53" spans="1:10" x14ac:dyDescent="0.35">
      <c r="A53" s="2">
        <v>202609</v>
      </c>
      <c r="B53" s="2">
        <v>1400</v>
      </c>
      <c r="C53" s="2">
        <v>115</v>
      </c>
      <c r="D53" s="2">
        <v>45</v>
      </c>
      <c r="E53" s="2">
        <v>160</v>
      </c>
      <c r="F53" s="2">
        <v>163</v>
      </c>
      <c r="G53" s="2">
        <v>176</v>
      </c>
      <c r="H53" s="2">
        <v>3</v>
      </c>
      <c r="I53" s="2">
        <v>71.900000000000006</v>
      </c>
      <c r="J53" s="2" t="s">
        <v>122</v>
      </c>
    </row>
    <row r="54" spans="1:10" x14ac:dyDescent="0.35">
      <c r="A54" s="2">
        <v>202609</v>
      </c>
      <c r="B54" s="2">
        <v>1500</v>
      </c>
      <c r="C54" s="2">
        <v>95</v>
      </c>
      <c r="D54" s="2">
        <v>35</v>
      </c>
      <c r="E54" s="2">
        <v>130</v>
      </c>
      <c r="F54" s="2">
        <v>132</v>
      </c>
      <c r="G54" s="2">
        <v>142</v>
      </c>
      <c r="H54" s="2">
        <v>2</v>
      </c>
      <c r="I54" s="2">
        <v>73.099999999999994</v>
      </c>
      <c r="J54" s="2" t="s">
        <v>122</v>
      </c>
    </row>
    <row r="55" spans="1:10" x14ac:dyDescent="0.35">
      <c r="A55" s="2">
        <v>202609</v>
      </c>
      <c r="B55" s="2">
        <v>1900</v>
      </c>
      <c r="C55" s="2">
        <v>0</v>
      </c>
      <c r="D55" s="2">
        <v>120</v>
      </c>
      <c r="E55" s="2">
        <v>120</v>
      </c>
      <c r="F55" s="2">
        <v>123</v>
      </c>
      <c r="G55" s="2">
        <v>129</v>
      </c>
      <c r="H55" s="2">
        <v>3</v>
      </c>
      <c r="I55" s="2">
        <v>0</v>
      </c>
      <c r="J55" s="2" t="s">
        <v>122</v>
      </c>
    </row>
    <row r="56" spans="1:10" x14ac:dyDescent="0.35">
      <c r="A56" s="2">
        <v>202610</v>
      </c>
      <c r="B56" s="2">
        <v>1100</v>
      </c>
      <c r="C56" s="2">
        <v>155</v>
      </c>
      <c r="D56" s="2">
        <v>75</v>
      </c>
      <c r="E56" s="2">
        <v>230</v>
      </c>
      <c r="F56" s="2">
        <v>234</v>
      </c>
      <c r="G56" s="2">
        <v>252</v>
      </c>
      <c r="H56" s="2">
        <v>4</v>
      </c>
      <c r="I56" s="2">
        <v>67.400000000000006</v>
      </c>
      <c r="J56" s="2" t="s">
        <v>125</v>
      </c>
    </row>
    <row r="57" spans="1:10" x14ac:dyDescent="0.35">
      <c r="A57" s="2">
        <v>202610</v>
      </c>
      <c r="B57" s="2">
        <v>1200</v>
      </c>
      <c r="C57" s="2">
        <v>230</v>
      </c>
      <c r="D57" s="2">
        <v>95</v>
      </c>
      <c r="E57" s="2">
        <v>325</v>
      </c>
      <c r="F57" s="2">
        <v>333</v>
      </c>
      <c r="G57" s="2">
        <v>358</v>
      </c>
      <c r="H57" s="2">
        <v>8</v>
      </c>
      <c r="I57" s="2">
        <v>70.8</v>
      </c>
      <c r="J57" s="2" t="s">
        <v>125</v>
      </c>
    </row>
    <row r="58" spans="1:10" x14ac:dyDescent="0.35">
      <c r="A58" s="2">
        <v>202610</v>
      </c>
      <c r="B58" s="2">
        <v>1300</v>
      </c>
      <c r="C58" s="2">
        <v>195</v>
      </c>
      <c r="D58" s="2">
        <v>80</v>
      </c>
      <c r="E58" s="2">
        <v>275</v>
      </c>
      <c r="F58" s="2">
        <v>280</v>
      </c>
      <c r="G58" s="2">
        <v>301</v>
      </c>
      <c r="H58" s="2">
        <v>5</v>
      </c>
      <c r="I58" s="2">
        <v>70.900000000000006</v>
      </c>
      <c r="J58" s="2" t="s">
        <v>125</v>
      </c>
    </row>
    <row r="59" spans="1:10" x14ac:dyDescent="0.35">
      <c r="A59" s="2">
        <v>202610</v>
      </c>
      <c r="B59" s="2">
        <v>1400</v>
      </c>
      <c r="C59" s="2">
        <v>115</v>
      </c>
      <c r="D59" s="2">
        <v>45</v>
      </c>
      <c r="E59" s="2">
        <v>160</v>
      </c>
      <c r="F59" s="2">
        <v>163</v>
      </c>
      <c r="G59" s="2">
        <v>176</v>
      </c>
      <c r="H59" s="2">
        <v>3</v>
      </c>
      <c r="I59" s="2">
        <v>71.900000000000006</v>
      </c>
      <c r="J59" s="2" t="s">
        <v>125</v>
      </c>
    </row>
    <row r="60" spans="1:10" x14ac:dyDescent="0.35">
      <c r="A60" s="2">
        <v>202610</v>
      </c>
      <c r="B60" s="2">
        <v>1500</v>
      </c>
      <c r="C60" s="2">
        <v>95</v>
      </c>
      <c r="D60" s="2">
        <v>35</v>
      </c>
      <c r="E60" s="2">
        <v>130</v>
      </c>
      <c r="F60" s="2">
        <v>132</v>
      </c>
      <c r="G60" s="2">
        <v>142</v>
      </c>
      <c r="H60" s="2">
        <v>2</v>
      </c>
      <c r="I60" s="2">
        <v>73.099999999999994</v>
      </c>
      <c r="J60" s="2" t="s">
        <v>125</v>
      </c>
    </row>
    <row r="61" spans="1:10" x14ac:dyDescent="0.35">
      <c r="A61" s="2">
        <v>202610</v>
      </c>
      <c r="B61" s="2">
        <v>1900</v>
      </c>
      <c r="C61" s="2">
        <v>0</v>
      </c>
      <c r="D61" s="2">
        <v>120</v>
      </c>
      <c r="E61" s="2">
        <v>120</v>
      </c>
      <c r="F61" s="2">
        <v>123</v>
      </c>
      <c r="G61" s="2">
        <v>129</v>
      </c>
      <c r="H61" s="2">
        <v>3</v>
      </c>
      <c r="I61" s="2">
        <v>0</v>
      </c>
      <c r="J61" s="2" t="s">
        <v>125</v>
      </c>
    </row>
    <row r="62" spans="1:10" x14ac:dyDescent="0.35">
      <c r="A62" s="2">
        <v>202611</v>
      </c>
      <c r="B62" s="2">
        <v>1100</v>
      </c>
      <c r="C62" s="2">
        <v>155</v>
      </c>
      <c r="D62" s="2">
        <v>75</v>
      </c>
      <c r="E62" s="2">
        <v>230</v>
      </c>
      <c r="F62" s="2">
        <v>234</v>
      </c>
      <c r="G62" s="2">
        <v>252</v>
      </c>
      <c r="H62" s="2">
        <v>4</v>
      </c>
      <c r="I62" s="2">
        <v>67.400000000000006</v>
      </c>
      <c r="J62" s="2" t="s">
        <v>125</v>
      </c>
    </row>
    <row r="63" spans="1:10" x14ac:dyDescent="0.35">
      <c r="A63" s="2">
        <v>202611</v>
      </c>
      <c r="B63" s="2">
        <v>1200</v>
      </c>
      <c r="C63" s="2">
        <v>230</v>
      </c>
      <c r="D63" s="2">
        <v>95</v>
      </c>
      <c r="E63" s="2">
        <v>325</v>
      </c>
      <c r="F63" s="2">
        <v>333</v>
      </c>
      <c r="G63" s="2">
        <v>358</v>
      </c>
      <c r="H63" s="2">
        <v>8</v>
      </c>
      <c r="I63" s="2">
        <v>70.8</v>
      </c>
      <c r="J63" s="2" t="s">
        <v>125</v>
      </c>
    </row>
    <row r="64" spans="1:10" x14ac:dyDescent="0.35">
      <c r="A64" s="2">
        <v>202611</v>
      </c>
      <c r="B64" s="2">
        <v>1300</v>
      </c>
      <c r="C64" s="2">
        <v>195</v>
      </c>
      <c r="D64" s="2">
        <v>80</v>
      </c>
      <c r="E64" s="2">
        <v>275</v>
      </c>
      <c r="F64" s="2">
        <v>280</v>
      </c>
      <c r="G64" s="2">
        <v>301</v>
      </c>
      <c r="H64" s="2">
        <v>5</v>
      </c>
      <c r="I64" s="2">
        <v>70.900000000000006</v>
      </c>
      <c r="J64" s="2" t="s">
        <v>125</v>
      </c>
    </row>
    <row r="65" spans="1:10" x14ac:dyDescent="0.35">
      <c r="A65" s="2">
        <v>202611</v>
      </c>
      <c r="B65" s="2">
        <v>1400</v>
      </c>
      <c r="C65" s="2">
        <v>115</v>
      </c>
      <c r="D65" s="2">
        <v>45</v>
      </c>
      <c r="E65" s="2">
        <v>160</v>
      </c>
      <c r="F65" s="2">
        <v>163</v>
      </c>
      <c r="G65" s="2">
        <v>176</v>
      </c>
      <c r="H65" s="2">
        <v>3</v>
      </c>
      <c r="I65" s="2">
        <v>71.900000000000006</v>
      </c>
      <c r="J65" s="2" t="s">
        <v>125</v>
      </c>
    </row>
    <row r="66" spans="1:10" x14ac:dyDescent="0.35">
      <c r="A66" s="2">
        <v>202611</v>
      </c>
      <c r="B66" s="2">
        <v>1500</v>
      </c>
      <c r="C66" s="2">
        <v>95</v>
      </c>
      <c r="D66" s="2">
        <v>35</v>
      </c>
      <c r="E66" s="2">
        <v>130</v>
      </c>
      <c r="F66" s="2">
        <v>132</v>
      </c>
      <c r="G66" s="2">
        <v>142</v>
      </c>
      <c r="H66" s="2">
        <v>2</v>
      </c>
      <c r="I66" s="2">
        <v>73.099999999999994</v>
      </c>
      <c r="J66" s="2" t="s">
        <v>125</v>
      </c>
    </row>
    <row r="67" spans="1:10" x14ac:dyDescent="0.35">
      <c r="A67" s="2">
        <v>202611</v>
      </c>
      <c r="B67" s="2">
        <v>1900</v>
      </c>
      <c r="C67" s="2">
        <v>0</v>
      </c>
      <c r="D67" s="2">
        <v>120</v>
      </c>
      <c r="E67" s="2">
        <v>120</v>
      </c>
      <c r="F67" s="2">
        <v>123</v>
      </c>
      <c r="G67" s="2">
        <v>129</v>
      </c>
      <c r="H67" s="2">
        <v>3</v>
      </c>
      <c r="I67" s="2">
        <v>0</v>
      </c>
      <c r="J67" s="2" t="s">
        <v>125</v>
      </c>
    </row>
    <row r="68" spans="1:10" x14ac:dyDescent="0.35">
      <c r="A68" s="2">
        <v>202612</v>
      </c>
      <c r="B68" s="2">
        <v>1100</v>
      </c>
      <c r="C68" s="2">
        <v>155</v>
      </c>
      <c r="D68" s="2">
        <v>75</v>
      </c>
      <c r="E68" s="2">
        <v>230</v>
      </c>
      <c r="F68" s="2">
        <v>234</v>
      </c>
      <c r="G68" s="2">
        <v>252</v>
      </c>
      <c r="H68" s="2">
        <v>4</v>
      </c>
      <c r="I68" s="2">
        <v>67.400000000000006</v>
      </c>
      <c r="J68" s="2" t="s">
        <v>125</v>
      </c>
    </row>
    <row r="69" spans="1:10" x14ac:dyDescent="0.35">
      <c r="A69" s="2">
        <v>202612</v>
      </c>
      <c r="B69" s="2">
        <v>1200</v>
      </c>
      <c r="C69" s="2">
        <v>230</v>
      </c>
      <c r="D69" s="2">
        <v>95</v>
      </c>
      <c r="E69" s="2">
        <v>325</v>
      </c>
      <c r="F69" s="2">
        <v>333</v>
      </c>
      <c r="G69" s="2">
        <v>358</v>
      </c>
      <c r="H69" s="2">
        <v>8</v>
      </c>
      <c r="I69" s="2">
        <v>70.8</v>
      </c>
      <c r="J69" s="2" t="s">
        <v>125</v>
      </c>
    </row>
    <row r="70" spans="1:10" x14ac:dyDescent="0.35">
      <c r="A70" s="2">
        <v>202612</v>
      </c>
      <c r="B70" s="2">
        <v>1300</v>
      </c>
      <c r="C70" s="2">
        <v>195</v>
      </c>
      <c r="D70" s="2">
        <v>80</v>
      </c>
      <c r="E70" s="2">
        <v>275</v>
      </c>
      <c r="F70" s="2">
        <v>280</v>
      </c>
      <c r="G70" s="2">
        <v>301</v>
      </c>
      <c r="H70" s="2">
        <v>5</v>
      </c>
      <c r="I70" s="2">
        <v>70.900000000000006</v>
      </c>
      <c r="J70" s="2" t="s">
        <v>125</v>
      </c>
    </row>
    <row r="71" spans="1:10" x14ac:dyDescent="0.35">
      <c r="A71" s="2">
        <v>202612</v>
      </c>
      <c r="B71" s="2">
        <v>1400</v>
      </c>
      <c r="C71" s="2">
        <v>115</v>
      </c>
      <c r="D71" s="2">
        <v>45</v>
      </c>
      <c r="E71" s="2">
        <v>160</v>
      </c>
      <c r="F71" s="2">
        <v>163</v>
      </c>
      <c r="G71" s="2">
        <v>176</v>
      </c>
      <c r="H71" s="2">
        <v>3</v>
      </c>
      <c r="I71" s="2">
        <v>71.900000000000006</v>
      </c>
      <c r="J71" s="2" t="s">
        <v>125</v>
      </c>
    </row>
    <row r="72" spans="1:10" x14ac:dyDescent="0.35">
      <c r="A72" s="2">
        <v>202612</v>
      </c>
      <c r="B72" s="2">
        <v>1500</v>
      </c>
      <c r="C72" s="2">
        <v>95</v>
      </c>
      <c r="D72" s="2">
        <v>35</v>
      </c>
      <c r="E72" s="2">
        <v>130</v>
      </c>
      <c r="F72" s="2">
        <v>132</v>
      </c>
      <c r="G72" s="2">
        <v>142</v>
      </c>
      <c r="H72" s="2">
        <v>2</v>
      </c>
      <c r="I72" s="2">
        <v>73.099999999999994</v>
      </c>
      <c r="J72" s="2" t="s">
        <v>125</v>
      </c>
    </row>
    <row r="73" spans="1:10" x14ac:dyDescent="0.35">
      <c r="A73" s="2">
        <v>202612</v>
      </c>
      <c r="B73" s="2">
        <v>1900</v>
      </c>
      <c r="C73" s="2">
        <v>0</v>
      </c>
      <c r="D73" s="2">
        <v>120</v>
      </c>
      <c r="E73" s="2">
        <v>120</v>
      </c>
      <c r="F73" s="2">
        <v>123</v>
      </c>
      <c r="G73" s="2">
        <v>129</v>
      </c>
      <c r="H73" s="2">
        <v>3</v>
      </c>
      <c r="I73" s="2">
        <v>0</v>
      </c>
      <c r="J73" s="2" t="s">
        <v>125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5C6AE-6699-4969-AE8C-B5026E82DB01}">
  <dimension ref="A1:J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bestFit="1" customWidth="1"/>
    <col min="2" max="2" width="10.36328125" bestFit="1" customWidth="1"/>
    <col min="3" max="3" width="21.6328125" bestFit="1" customWidth="1"/>
    <col min="4" max="4" width="26.453125" bestFit="1" customWidth="1"/>
    <col min="5" max="5" width="23" bestFit="1" customWidth="1"/>
    <col min="6" max="8" width="20.1796875" customWidth="1"/>
    <col min="9" max="9" width="17.54296875" bestFit="1" customWidth="1"/>
    <col min="10" max="10" width="27" bestFit="1" customWidth="1"/>
  </cols>
  <sheetData>
    <row r="1" spans="1:10" ht="28" customHeight="1" x14ac:dyDescent="0.35">
      <c r="A1" s="2" t="s">
        <v>93</v>
      </c>
      <c r="B1" s="2" t="s">
        <v>327</v>
      </c>
      <c r="C1" s="2" t="s">
        <v>439</v>
      </c>
      <c r="D1" s="2" t="s">
        <v>440</v>
      </c>
      <c r="E1" s="2" t="s">
        <v>420</v>
      </c>
      <c r="F1" s="2" t="s">
        <v>441</v>
      </c>
      <c r="G1" s="2" t="s">
        <v>442</v>
      </c>
      <c r="H1" s="2" t="s">
        <v>443</v>
      </c>
      <c r="I1" s="2" t="s">
        <v>444</v>
      </c>
      <c r="J1" s="2" t="s">
        <v>445</v>
      </c>
    </row>
    <row r="2" spans="1:10" x14ac:dyDescent="0.35">
      <c r="A2" s="2">
        <v>2026</v>
      </c>
      <c r="B2" s="2">
        <v>1100</v>
      </c>
      <c r="C2" s="2">
        <v>3450</v>
      </c>
      <c r="D2" s="2">
        <v>187200</v>
      </c>
      <c r="E2" s="2">
        <v>3120</v>
      </c>
      <c r="F2" s="2">
        <v>2808</v>
      </c>
      <c r="G2" s="2">
        <v>312</v>
      </c>
      <c r="H2" s="2">
        <v>0</v>
      </c>
      <c r="I2" s="2">
        <v>88.5</v>
      </c>
      <c r="J2" s="2">
        <v>74.2</v>
      </c>
    </row>
    <row r="3" spans="1:10" x14ac:dyDescent="0.35">
      <c r="A3" s="2">
        <v>2026</v>
      </c>
      <c r="B3" s="2">
        <v>1200</v>
      </c>
      <c r="C3" s="2">
        <v>3210</v>
      </c>
      <c r="D3" s="2">
        <v>176400</v>
      </c>
      <c r="E3" s="2">
        <v>2940</v>
      </c>
      <c r="F3" s="2">
        <v>294</v>
      </c>
      <c r="G3" s="2">
        <v>2205</v>
      </c>
      <c r="H3" s="2">
        <v>441</v>
      </c>
      <c r="I3" s="2">
        <v>88.5</v>
      </c>
      <c r="J3" s="2">
        <v>74.2</v>
      </c>
    </row>
    <row r="4" spans="1:10" x14ac:dyDescent="0.35">
      <c r="A4" s="2">
        <v>2026</v>
      </c>
      <c r="B4" s="2">
        <v>1300</v>
      </c>
      <c r="C4" s="2">
        <v>3100</v>
      </c>
      <c r="D4" s="2">
        <v>171000</v>
      </c>
      <c r="E4" s="2">
        <v>2850</v>
      </c>
      <c r="F4" s="2">
        <v>142.5</v>
      </c>
      <c r="G4" s="2">
        <v>2422.5</v>
      </c>
      <c r="H4" s="2">
        <v>285</v>
      </c>
      <c r="I4" s="2">
        <v>88.5</v>
      </c>
      <c r="J4" s="2">
        <v>74.2</v>
      </c>
    </row>
    <row r="5" spans="1:10" x14ac:dyDescent="0.35">
      <c r="A5" s="2">
        <v>2026</v>
      </c>
      <c r="B5" s="2">
        <v>1400</v>
      </c>
      <c r="C5" s="2">
        <v>2320</v>
      </c>
      <c r="D5" s="2">
        <v>126600</v>
      </c>
      <c r="E5" s="2">
        <v>2110</v>
      </c>
      <c r="F5" s="2">
        <v>1793.5</v>
      </c>
      <c r="G5" s="2">
        <v>316.5</v>
      </c>
      <c r="H5" s="2">
        <v>0</v>
      </c>
      <c r="I5" s="2">
        <v>88.5</v>
      </c>
      <c r="J5" s="2">
        <v>74.2</v>
      </c>
    </row>
    <row r="6" spans="1:10" x14ac:dyDescent="0.35">
      <c r="A6" s="2">
        <v>2026</v>
      </c>
      <c r="B6" s="2">
        <v>1500</v>
      </c>
      <c r="C6" s="2">
        <v>1920</v>
      </c>
      <c r="D6" s="2">
        <v>103800</v>
      </c>
      <c r="E6" s="2">
        <v>1730</v>
      </c>
      <c r="F6" s="2">
        <v>1384</v>
      </c>
      <c r="G6" s="2">
        <v>346</v>
      </c>
      <c r="H6" s="2">
        <v>0</v>
      </c>
      <c r="I6" s="2">
        <v>88.5</v>
      </c>
      <c r="J6" s="2">
        <v>74.2</v>
      </c>
    </row>
    <row r="7" spans="1:10" x14ac:dyDescent="0.35">
      <c r="A7" s="2">
        <v>2026</v>
      </c>
      <c r="B7" s="2">
        <v>1900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88C11-9CCB-44CE-A72C-FE6D20A88DAB}">
  <dimension ref="A1:F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.453125" bestFit="1" customWidth="1"/>
    <col min="2" max="2" width="12.54296875" customWidth="1"/>
    <col min="3" max="3" width="12.54296875" bestFit="1" customWidth="1"/>
    <col min="4" max="4" width="11.81640625" bestFit="1" customWidth="1"/>
    <col min="5" max="5" width="12.81640625" customWidth="1"/>
    <col min="6" max="6" width="15.7265625" bestFit="1" customWidth="1"/>
  </cols>
  <sheetData>
    <row r="1" spans="1:6" ht="28" customHeight="1" x14ac:dyDescent="0.35">
      <c r="A1" s="2" t="s">
        <v>446</v>
      </c>
      <c r="B1" s="2" t="s">
        <v>447</v>
      </c>
      <c r="C1" s="2" t="s">
        <v>448</v>
      </c>
      <c r="D1" s="2" t="s">
        <v>449</v>
      </c>
      <c r="E1" s="2" t="s">
        <v>450</v>
      </c>
      <c r="F1" s="2" t="s">
        <v>451</v>
      </c>
    </row>
    <row r="2" spans="1:6" x14ac:dyDescent="0.35">
      <c r="A2" s="2" t="s">
        <v>452</v>
      </c>
      <c r="B2" s="2" t="s">
        <v>327</v>
      </c>
      <c r="C2" s="2" t="s">
        <v>453</v>
      </c>
      <c r="D2" s="2" t="s">
        <v>327</v>
      </c>
      <c r="E2" s="2" t="s">
        <v>454</v>
      </c>
      <c r="F2" s="2" t="s">
        <v>455</v>
      </c>
    </row>
    <row r="3" spans="1:6" x14ac:dyDescent="0.35">
      <c r="A3" s="2" t="s">
        <v>452</v>
      </c>
      <c r="B3" s="2" t="s">
        <v>327</v>
      </c>
      <c r="C3" s="2" t="s">
        <v>456</v>
      </c>
      <c r="D3" s="2" t="s">
        <v>327</v>
      </c>
      <c r="E3" s="2" t="s">
        <v>454</v>
      </c>
      <c r="F3" s="2" t="s">
        <v>455</v>
      </c>
    </row>
    <row r="4" spans="1:6" x14ac:dyDescent="0.35">
      <c r="A4" s="2" t="s">
        <v>452</v>
      </c>
      <c r="B4" s="2" t="s">
        <v>327</v>
      </c>
      <c r="C4" s="2" t="s">
        <v>457</v>
      </c>
      <c r="D4" s="2" t="s">
        <v>327</v>
      </c>
      <c r="E4" s="2" t="s">
        <v>454</v>
      </c>
      <c r="F4" s="2" t="s">
        <v>455</v>
      </c>
    </row>
    <row r="5" spans="1:6" x14ac:dyDescent="0.35">
      <c r="A5" s="2" t="s">
        <v>452</v>
      </c>
      <c r="B5" s="2" t="s">
        <v>327</v>
      </c>
      <c r="C5" s="2" t="s">
        <v>458</v>
      </c>
      <c r="D5" s="2" t="s">
        <v>327</v>
      </c>
      <c r="E5" s="2" t="s">
        <v>454</v>
      </c>
      <c r="F5" s="2" t="s">
        <v>455</v>
      </c>
    </row>
    <row r="6" spans="1:6" x14ac:dyDescent="0.35">
      <c r="A6" s="2" t="s">
        <v>452</v>
      </c>
      <c r="B6" s="2" t="s">
        <v>327</v>
      </c>
      <c r="C6" s="2" t="s">
        <v>459</v>
      </c>
      <c r="D6" s="2" t="s">
        <v>327</v>
      </c>
      <c r="E6" s="2" t="s">
        <v>454</v>
      </c>
      <c r="F6" s="2" t="s">
        <v>455</v>
      </c>
    </row>
    <row r="7" spans="1:6" x14ac:dyDescent="0.35">
      <c r="A7" s="2" t="s">
        <v>460</v>
      </c>
      <c r="B7" s="2" t="s">
        <v>91</v>
      </c>
      <c r="C7" s="2" t="s">
        <v>453</v>
      </c>
      <c r="D7" s="2" t="s">
        <v>91</v>
      </c>
      <c r="E7" s="2" t="s">
        <v>454</v>
      </c>
      <c r="F7" s="2" t="s">
        <v>455</v>
      </c>
    </row>
    <row r="8" spans="1:6" x14ac:dyDescent="0.35">
      <c r="A8" s="2" t="s">
        <v>460</v>
      </c>
      <c r="B8" s="2" t="s">
        <v>91</v>
      </c>
      <c r="C8" s="2" t="s">
        <v>456</v>
      </c>
      <c r="D8" s="2" t="s">
        <v>91</v>
      </c>
      <c r="E8" s="2" t="s">
        <v>454</v>
      </c>
      <c r="F8" s="2" t="s">
        <v>455</v>
      </c>
    </row>
    <row r="9" spans="1:6" x14ac:dyDescent="0.35">
      <c r="A9" s="2" t="s">
        <v>460</v>
      </c>
      <c r="B9" s="2" t="s">
        <v>91</v>
      </c>
      <c r="C9" s="2" t="s">
        <v>457</v>
      </c>
      <c r="D9" s="2" t="s">
        <v>91</v>
      </c>
      <c r="E9" s="2" t="s">
        <v>454</v>
      </c>
      <c r="F9" s="2" t="s">
        <v>455</v>
      </c>
    </row>
    <row r="10" spans="1:6" x14ac:dyDescent="0.35">
      <c r="A10" s="2" t="s">
        <v>460</v>
      </c>
      <c r="B10" s="2" t="s">
        <v>91</v>
      </c>
      <c r="C10" s="2" t="s">
        <v>461</v>
      </c>
      <c r="D10" s="2" t="s">
        <v>91</v>
      </c>
      <c r="E10" s="2" t="s">
        <v>454</v>
      </c>
      <c r="F10" s="2" t="s">
        <v>455</v>
      </c>
    </row>
    <row r="11" spans="1:6" x14ac:dyDescent="0.35">
      <c r="A11" s="2" t="s">
        <v>462</v>
      </c>
      <c r="B11" s="2" t="s">
        <v>116</v>
      </c>
      <c r="C11" s="2" t="s">
        <v>453</v>
      </c>
      <c r="D11" s="2" t="s">
        <v>116</v>
      </c>
      <c r="E11" s="2" t="s">
        <v>454</v>
      </c>
      <c r="F11" s="2" t="s">
        <v>455</v>
      </c>
    </row>
    <row r="12" spans="1:6" x14ac:dyDescent="0.35">
      <c r="A12" s="2" t="s">
        <v>462</v>
      </c>
      <c r="B12" s="2" t="s">
        <v>116</v>
      </c>
      <c r="C12" s="2" t="s">
        <v>456</v>
      </c>
      <c r="D12" s="2" t="s">
        <v>116</v>
      </c>
      <c r="E12" s="2" t="s">
        <v>454</v>
      </c>
      <c r="F12" s="2" t="s">
        <v>455</v>
      </c>
    </row>
    <row r="13" spans="1:6" x14ac:dyDescent="0.35">
      <c r="A13" s="2" t="s">
        <v>463</v>
      </c>
      <c r="B13" s="2" t="s">
        <v>0</v>
      </c>
      <c r="C13" s="2" t="s">
        <v>453</v>
      </c>
      <c r="D13" s="2" t="s">
        <v>0</v>
      </c>
      <c r="E13" s="2" t="s">
        <v>454</v>
      </c>
      <c r="F13" s="2" t="s">
        <v>455</v>
      </c>
    </row>
    <row r="14" spans="1:6" x14ac:dyDescent="0.35">
      <c r="A14" s="2" t="s">
        <v>452</v>
      </c>
      <c r="B14" s="2" t="s">
        <v>327</v>
      </c>
      <c r="C14" s="2" t="s">
        <v>464</v>
      </c>
      <c r="D14" s="2" t="s">
        <v>327</v>
      </c>
      <c r="E14" s="2" t="s">
        <v>454</v>
      </c>
      <c r="F14" s="2" t="s">
        <v>455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C0C54-0844-430B-BC25-1690A5AF3D9F}">
  <dimension ref="A1:J3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.36328125" bestFit="1" customWidth="1"/>
    <col min="2" max="2" width="30.90625" bestFit="1" customWidth="1"/>
    <col min="3" max="3" width="10.08984375" bestFit="1" customWidth="1"/>
    <col min="4" max="4" width="8" bestFit="1" customWidth="1"/>
    <col min="5" max="5" width="29.81640625" bestFit="1" customWidth="1"/>
    <col min="6" max="6" width="18.08984375" bestFit="1" customWidth="1"/>
    <col min="7" max="7" width="18.90625" bestFit="1" customWidth="1"/>
    <col min="8" max="8" width="20.54296875" bestFit="1" customWidth="1"/>
    <col min="9" max="9" width="17.6328125" bestFit="1" customWidth="1"/>
    <col min="10" max="10" width="15.1796875" customWidth="1"/>
  </cols>
  <sheetData>
    <row r="1" spans="1:10" ht="28" customHeight="1" x14ac:dyDescent="0.35">
      <c r="A1" s="2" t="s">
        <v>327</v>
      </c>
      <c r="B1" s="2" t="s">
        <v>134</v>
      </c>
      <c r="C1" s="2" t="s">
        <v>341</v>
      </c>
      <c r="D1" s="2" t="s">
        <v>0</v>
      </c>
      <c r="E1" s="2" t="s">
        <v>1</v>
      </c>
      <c r="F1" s="2" t="s">
        <v>465</v>
      </c>
      <c r="G1" s="2" t="s">
        <v>466</v>
      </c>
      <c r="H1" s="2" t="s">
        <v>467</v>
      </c>
      <c r="I1" s="2" t="s">
        <v>468</v>
      </c>
      <c r="J1" s="2" t="s">
        <v>469</v>
      </c>
    </row>
    <row r="2" spans="1:10" x14ac:dyDescent="0.35">
      <c r="A2" s="2">
        <v>1200</v>
      </c>
      <c r="B2" s="2" t="s">
        <v>344</v>
      </c>
      <c r="C2" s="2" t="s">
        <v>345</v>
      </c>
      <c r="D2" s="2">
        <v>3400</v>
      </c>
      <c r="E2" s="2" t="s">
        <v>21</v>
      </c>
      <c r="F2" s="2" t="s">
        <v>13</v>
      </c>
      <c r="G2" s="2">
        <v>-34.497999999999998</v>
      </c>
      <c r="H2" s="2">
        <v>-36</v>
      </c>
      <c r="I2" s="2">
        <v>1.502</v>
      </c>
      <c r="J2" s="2">
        <v>4.17</v>
      </c>
    </row>
    <row r="3" spans="1:10" x14ac:dyDescent="0.35">
      <c r="A3" s="2">
        <v>1500</v>
      </c>
      <c r="B3" s="2" t="s">
        <v>356</v>
      </c>
      <c r="C3" s="2" t="s">
        <v>357</v>
      </c>
      <c r="D3" s="2">
        <v>3670</v>
      </c>
      <c r="E3" s="2" t="s">
        <v>28</v>
      </c>
      <c r="F3" s="2" t="s">
        <v>13</v>
      </c>
      <c r="G3" s="2">
        <v>-4.5179999999999998</v>
      </c>
      <c r="H3" s="2">
        <v>-4.4279999999999999</v>
      </c>
      <c r="I3" s="2">
        <v>-0.09</v>
      </c>
      <c r="J3" s="2">
        <v>-2.0299999999999998</v>
      </c>
    </row>
    <row r="4" spans="1:10" x14ac:dyDescent="0.35">
      <c r="A4" s="2">
        <v>1900</v>
      </c>
      <c r="B4" s="2" t="s">
        <v>360</v>
      </c>
      <c r="C4" s="2" t="s">
        <v>361</v>
      </c>
      <c r="D4" s="2">
        <v>3900</v>
      </c>
      <c r="E4" s="2" t="s">
        <v>31</v>
      </c>
      <c r="F4" s="2" t="s">
        <v>13</v>
      </c>
      <c r="G4" s="2">
        <v>-64.802999999999997</v>
      </c>
      <c r="H4" s="2">
        <v>-64.8</v>
      </c>
      <c r="I4" s="2">
        <v>-3.0000000000000001E-3</v>
      </c>
      <c r="J4" s="2">
        <v>0</v>
      </c>
    </row>
    <row r="5" spans="1:10" x14ac:dyDescent="0.35">
      <c r="A5" s="2">
        <v>1500</v>
      </c>
      <c r="B5" s="2" t="s">
        <v>356</v>
      </c>
      <c r="C5" s="2" t="s">
        <v>357</v>
      </c>
      <c r="D5" s="2">
        <v>5000</v>
      </c>
      <c r="E5" s="2" t="s">
        <v>32</v>
      </c>
      <c r="F5" s="2" t="s">
        <v>33</v>
      </c>
      <c r="G5" s="2">
        <v>72.25</v>
      </c>
      <c r="H5" s="2">
        <v>70.793999999999997</v>
      </c>
      <c r="I5" s="2">
        <v>1.456</v>
      </c>
      <c r="J5" s="2">
        <v>2.06</v>
      </c>
    </row>
    <row r="6" spans="1:10" x14ac:dyDescent="0.35">
      <c r="A6" s="2">
        <v>1900</v>
      </c>
      <c r="B6" s="2" t="s">
        <v>360</v>
      </c>
      <c r="C6" s="2" t="s">
        <v>361</v>
      </c>
      <c r="D6" s="2">
        <v>6050</v>
      </c>
      <c r="E6" s="2" t="s">
        <v>51</v>
      </c>
      <c r="F6" s="2" t="s">
        <v>48</v>
      </c>
      <c r="G6" s="2">
        <v>10.35</v>
      </c>
      <c r="H6" s="2">
        <v>10.8</v>
      </c>
      <c r="I6" s="2">
        <v>-0.45</v>
      </c>
      <c r="J6" s="2">
        <v>-4.17</v>
      </c>
    </row>
    <row r="7" spans="1:10" x14ac:dyDescent="0.35">
      <c r="A7" s="2">
        <v>1900</v>
      </c>
      <c r="B7" s="2" t="s">
        <v>360</v>
      </c>
      <c r="C7" s="2" t="s">
        <v>361</v>
      </c>
      <c r="D7" s="2">
        <v>6300</v>
      </c>
      <c r="E7" s="2" t="s">
        <v>52</v>
      </c>
      <c r="F7" s="2" t="s">
        <v>48</v>
      </c>
      <c r="G7" s="2">
        <v>20.36</v>
      </c>
      <c r="H7" s="2">
        <v>20.492999999999999</v>
      </c>
      <c r="I7" s="2">
        <v>-0.13300000000000001</v>
      </c>
      <c r="J7" s="2">
        <v>-0.65</v>
      </c>
    </row>
    <row r="8" spans="1:10" x14ac:dyDescent="0.35">
      <c r="A8" s="2">
        <v>1100</v>
      </c>
      <c r="B8" s="2" t="s">
        <v>339</v>
      </c>
      <c r="C8" s="2" t="s">
        <v>340</v>
      </c>
      <c r="D8" s="2">
        <v>3400</v>
      </c>
      <c r="E8" s="2" t="s">
        <v>21</v>
      </c>
      <c r="F8" s="2" t="s">
        <v>13</v>
      </c>
      <c r="G8" s="2">
        <v>-15.811999999999999</v>
      </c>
      <c r="H8" s="2">
        <v>-16.497</v>
      </c>
      <c r="I8" s="2">
        <v>0.68500000000000005</v>
      </c>
      <c r="J8" s="2">
        <v>4.1500000000000004</v>
      </c>
    </row>
    <row r="9" spans="1:10" x14ac:dyDescent="0.35">
      <c r="A9" s="2">
        <v>1400</v>
      </c>
      <c r="B9" s="2" t="s">
        <v>352</v>
      </c>
      <c r="C9" s="2" t="s">
        <v>353</v>
      </c>
      <c r="D9" s="2">
        <v>3670</v>
      </c>
      <c r="E9" s="2" t="s">
        <v>28</v>
      </c>
      <c r="F9" s="2" t="s">
        <v>13</v>
      </c>
      <c r="G9" s="2">
        <v>-6.8140000000000001</v>
      </c>
      <c r="H9" s="2">
        <v>-6.6779999999999999</v>
      </c>
      <c r="I9" s="2">
        <v>-0.13600000000000001</v>
      </c>
      <c r="J9" s="2">
        <v>-2.04</v>
      </c>
    </row>
    <row r="10" spans="1:10" x14ac:dyDescent="0.35">
      <c r="A10" s="2">
        <v>1300</v>
      </c>
      <c r="B10" s="2" t="s">
        <v>348</v>
      </c>
      <c r="C10" s="2" t="s">
        <v>349</v>
      </c>
      <c r="D10" s="2">
        <v>3900</v>
      </c>
      <c r="E10" s="2" t="s">
        <v>31</v>
      </c>
      <c r="F10" s="2" t="s">
        <v>13</v>
      </c>
      <c r="G10" s="2">
        <v>-212.84700000000001</v>
      </c>
      <c r="H10" s="2">
        <v>-212.85</v>
      </c>
      <c r="I10" s="2">
        <v>3.0000000000000001E-3</v>
      </c>
      <c r="J10" s="2">
        <v>0</v>
      </c>
    </row>
    <row r="11" spans="1:10" x14ac:dyDescent="0.35">
      <c r="A11" s="2">
        <v>1400</v>
      </c>
      <c r="B11" s="2" t="s">
        <v>352</v>
      </c>
      <c r="C11" s="2" t="s">
        <v>353</v>
      </c>
      <c r="D11" s="2">
        <v>5000</v>
      </c>
      <c r="E11" s="2" t="s">
        <v>32</v>
      </c>
      <c r="F11" s="2" t="s">
        <v>33</v>
      </c>
      <c r="G11" s="2">
        <v>93.908000000000001</v>
      </c>
      <c r="H11" s="2">
        <v>92.016999999999996</v>
      </c>
      <c r="I11" s="2">
        <v>1.891</v>
      </c>
      <c r="J11" s="2">
        <v>2.06</v>
      </c>
    </row>
    <row r="12" spans="1:10" x14ac:dyDescent="0.35">
      <c r="A12" s="2">
        <v>1300</v>
      </c>
      <c r="B12" s="2" t="s">
        <v>348</v>
      </c>
      <c r="C12" s="2" t="s">
        <v>349</v>
      </c>
      <c r="D12" s="2">
        <v>6050</v>
      </c>
      <c r="E12" s="2" t="s">
        <v>51</v>
      </c>
      <c r="F12" s="2" t="s">
        <v>48</v>
      </c>
      <c r="G12" s="2">
        <v>24.15</v>
      </c>
      <c r="H12" s="2">
        <v>25.2</v>
      </c>
      <c r="I12" s="2">
        <v>-1.05</v>
      </c>
      <c r="J12" s="2">
        <v>-4.17</v>
      </c>
    </row>
    <row r="13" spans="1:10" x14ac:dyDescent="0.35">
      <c r="A13" s="2">
        <v>1300</v>
      </c>
      <c r="B13" s="2" t="s">
        <v>348</v>
      </c>
      <c r="C13" s="2" t="s">
        <v>349</v>
      </c>
      <c r="D13" s="2">
        <v>6300</v>
      </c>
      <c r="E13" s="2" t="s">
        <v>52</v>
      </c>
      <c r="F13" s="2" t="s">
        <v>48</v>
      </c>
      <c r="G13" s="2">
        <v>58.534999999999997</v>
      </c>
      <c r="H13" s="2">
        <v>58.905000000000001</v>
      </c>
      <c r="I13" s="2">
        <v>-0.37</v>
      </c>
      <c r="J13" s="2">
        <v>-0.63</v>
      </c>
    </row>
    <row r="14" spans="1:10" x14ac:dyDescent="0.35">
      <c r="A14" s="2">
        <v>1900</v>
      </c>
      <c r="B14" s="2" t="s">
        <v>360</v>
      </c>
      <c r="C14" s="2" t="s">
        <v>361</v>
      </c>
      <c r="D14" s="2">
        <v>3400</v>
      </c>
      <c r="E14" s="2" t="s">
        <v>21</v>
      </c>
      <c r="F14" s="2" t="s">
        <v>13</v>
      </c>
      <c r="G14" s="2">
        <v>-2.1539999999999999</v>
      </c>
      <c r="H14" s="2">
        <v>-2.25</v>
      </c>
      <c r="I14" s="2">
        <v>9.6000000000000002E-2</v>
      </c>
      <c r="J14" s="2">
        <v>4.2699999999999996</v>
      </c>
    </row>
    <row r="15" spans="1:10" x14ac:dyDescent="0.35">
      <c r="A15" s="2">
        <v>1900</v>
      </c>
      <c r="B15" s="2" t="s">
        <v>360</v>
      </c>
      <c r="C15" s="2" t="s">
        <v>361</v>
      </c>
      <c r="D15" s="2">
        <v>3670</v>
      </c>
      <c r="E15" s="2" t="s">
        <v>28</v>
      </c>
      <c r="F15" s="2" t="s">
        <v>13</v>
      </c>
      <c r="G15" s="2">
        <v>-14.55</v>
      </c>
      <c r="H15" s="2">
        <v>-14.247</v>
      </c>
      <c r="I15" s="2">
        <v>-0.30299999999999999</v>
      </c>
      <c r="J15" s="2">
        <v>-2.13</v>
      </c>
    </row>
    <row r="16" spans="1:10" x14ac:dyDescent="0.35">
      <c r="A16" s="2">
        <v>1200</v>
      </c>
      <c r="B16" s="2" t="s">
        <v>344</v>
      </c>
      <c r="C16" s="2" t="s">
        <v>345</v>
      </c>
      <c r="D16" s="2">
        <v>3900</v>
      </c>
      <c r="E16" s="2" t="s">
        <v>31</v>
      </c>
      <c r="F16" s="2" t="s">
        <v>13</v>
      </c>
      <c r="G16" s="2">
        <v>-249.90299999999999</v>
      </c>
      <c r="H16" s="2">
        <v>-249.90299999999999</v>
      </c>
      <c r="I16" s="2">
        <v>0</v>
      </c>
      <c r="J16" s="2">
        <v>0</v>
      </c>
    </row>
    <row r="17" spans="1:10" x14ac:dyDescent="0.35">
      <c r="A17" s="2">
        <v>1900</v>
      </c>
      <c r="B17" s="2" t="s">
        <v>360</v>
      </c>
      <c r="C17" s="2" t="s">
        <v>361</v>
      </c>
      <c r="D17" s="2">
        <v>5000</v>
      </c>
      <c r="E17" s="2" t="s">
        <v>32</v>
      </c>
      <c r="F17" s="2" t="s">
        <v>33</v>
      </c>
      <c r="G17" s="2">
        <v>57.783000000000001</v>
      </c>
      <c r="H17" s="2">
        <v>56.62</v>
      </c>
      <c r="I17" s="2">
        <v>1.163</v>
      </c>
      <c r="J17" s="2">
        <v>2.0499999999999998</v>
      </c>
    </row>
    <row r="18" spans="1:10" x14ac:dyDescent="0.35">
      <c r="A18" s="2">
        <v>1200</v>
      </c>
      <c r="B18" s="2" t="s">
        <v>344</v>
      </c>
      <c r="C18" s="2" t="s">
        <v>345</v>
      </c>
      <c r="D18" s="2">
        <v>6050</v>
      </c>
      <c r="E18" s="2" t="s">
        <v>51</v>
      </c>
      <c r="F18" s="2" t="s">
        <v>48</v>
      </c>
      <c r="G18" s="2">
        <v>40.25</v>
      </c>
      <c r="H18" s="2">
        <v>42.003</v>
      </c>
      <c r="I18" s="2">
        <v>-1.7529999999999999</v>
      </c>
      <c r="J18" s="2">
        <v>-4.17</v>
      </c>
    </row>
    <row r="19" spans="1:10" x14ac:dyDescent="0.35">
      <c r="A19" s="2">
        <v>1200</v>
      </c>
      <c r="B19" s="2" t="s">
        <v>344</v>
      </c>
      <c r="C19" s="2" t="s">
        <v>345</v>
      </c>
      <c r="D19" s="2">
        <v>6300</v>
      </c>
      <c r="E19" s="2" t="s">
        <v>52</v>
      </c>
      <c r="F19" s="2" t="s">
        <v>48</v>
      </c>
      <c r="G19" s="2">
        <v>68.715000000000003</v>
      </c>
      <c r="H19" s="2">
        <v>69.156000000000006</v>
      </c>
      <c r="I19" s="2">
        <v>-0.441</v>
      </c>
      <c r="J19" s="2">
        <v>-0.64</v>
      </c>
    </row>
    <row r="20" spans="1:10" x14ac:dyDescent="0.35">
      <c r="A20" s="2">
        <v>1300</v>
      </c>
      <c r="B20" s="2" t="s">
        <v>348</v>
      </c>
      <c r="C20" s="2" t="s">
        <v>349</v>
      </c>
      <c r="D20" s="2">
        <v>3400</v>
      </c>
      <c r="E20" s="2" t="s">
        <v>21</v>
      </c>
      <c r="F20" s="2" t="s">
        <v>13</v>
      </c>
      <c r="G20" s="2">
        <v>-17.966999999999999</v>
      </c>
      <c r="H20" s="2">
        <v>-18.747</v>
      </c>
      <c r="I20" s="2">
        <v>0.78</v>
      </c>
      <c r="J20" s="2">
        <v>4.16</v>
      </c>
    </row>
    <row r="21" spans="1:10" x14ac:dyDescent="0.35">
      <c r="A21" s="2">
        <v>1300</v>
      </c>
      <c r="B21" s="2" t="s">
        <v>348</v>
      </c>
      <c r="C21" s="2" t="s">
        <v>349</v>
      </c>
      <c r="D21" s="2">
        <v>3670</v>
      </c>
      <c r="E21" s="2" t="s">
        <v>28</v>
      </c>
      <c r="F21" s="2" t="s">
        <v>13</v>
      </c>
      <c r="G21" s="2">
        <v>-11.333</v>
      </c>
      <c r="H21" s="2">
        <v>-11.097</v>
      </c>
      <c r="I21" s="2">
        <v>-0.23599999999999999</v>
      </c>
      <c r="J21" s="2">
        <v>-2.13</v>
      </c>
    </row>
    <row r="22" spans="1:10" x14ac:dyDescent="0.35">
      <c r="A22" s="2">
        <v>1500</v>
      </c>
      <c r="B22" s="2" t="s">
        <v>356</v>
      </c>
      <c r="C22" s="2" t="s">
        <v>357</v>
      </c>
      <c r="D22" s="2">
        <v>3900</v>
      </c>
      <c r="E22" s="2" t="s">
        <v>31</v>
      </c>
      <c r="F22" s="2" t="s">
        <v>13</v>
      </c>
      <c r="G22" s="2">
        <v>-92.55</v>
      </c>
      <c r="H22" s="2">
        <v>-92.546999999999997</v>
      </c>
      <c r="I22" s="2">
        <v>-3.0000000000000001E-3</v>
      </c>
      <c r="J22" s="2">
        <v>0</v>
      </c>
    </row>
    <row r="23" spans="1:10" x14ac:dyDescent="0.35">
      <c r="A23" s="2">
        <v>1300</v>
      </c>
      <c r="B23" s="2" t="s">
        <v>348</v>
      </c>
      <c r="C23" s="2" t="s">
        <v>349</v>
      </c>
      <c r="D23" s="2">
        <v>5000</v>
      </c>
      <c r="E23" s="2" t="s">
        <v>32</v>
      </c>
      <c r="F23" s="2" t="s">
        <v>33</v>
      </c>
      <c r="G23" s="2">
        <v>166.15799999999999</v>
      </c>
      <c r="H23" s="2">
        <v>162.81100000000001</v>
      </c>
      <c r="I23" s="2">
        <v>3.347</v>
      </c>
      <c r="J23" s="2">
        <v>2.06</v>
      </c>
    </row>
    <row r="24" spans="1:10" x14ac:dyDescent="0.35">
      <c r="A24" s="2">
        <v>1500</v>
      </c>
      <c r="B24" s="2" t="s">
        <v>356</v>
      </c>
      <c r="C24" s="2" t="s">
        <v>357</v>
      </c>
      <c r="D24" s="2">
        <v>6050</v>
      </c>
      <c r="E24" s="2" t="s">
        <v>51</v>
      </c>
      <c r="F24" s="2" t="s">
        <v>48</v>
      </c>
      <c r="G24" s="2">
        <v>8.0500000000000007</v>
      </c>
      <c r="H24" s="2">
        <v>8.3970000000000002</v>
      </c>
      <c r="I24" s="2">
        <v>-0.34699999999999998</v>
      </c>
      <c r="J24" s="2">
        <v>-4.13</v>
      </c>
    </row>
    <row r="25" spans="1:10" x14ac:dyDescent="0.35">
      <c r="A25" s="2">
        <v>1500</v>
      </c>
      <c r="B25" s="2" t="s">
        <v>356</v>
      </c>
      <c r="C25" s="2" t="s">
        <v>357</v>
      </c>
      <c r="D25" s="2">
        <v>6300</v>
      </c>
      <c r="E25" s="2" t="s">
        <v>52</v>
      </c>
      <c r="F25" s="2" t="s">
        <v>48</v>
      </c>
      <c r="G25" s="2">
        <v>25.45</v>
      </c>
      <c r="H25" s="2">
        <v>25.614000000000001</v>
      </c>
      <c r="I25" s="2">
        <v>-0.16400000000000001</v>
      </c>
      <c r="J25" s="2">
        <v>-0.64</v>
      </c>
    </row>
    <row r="26" spans="1:10" x14ac:dyDescent="0.35">
      <c r="A26" s="2">
        <v>1500</v>
      </c>
      <c r="B26" s="2" t="s">
        <v>356</v>
      </c>
      <c r="C26" s="2" t="s">
        <v>357</v>
      </c>
      <c r="D26" s="2">
        <v>3400</v>
      </c>
      <c r="E26" s="2" t="s">
        <v>21</v>
      </c>
      <c r="F26" s="2" t="s">
        <v>13</v>
      </c>
      <c r="G26" s="2">
        <v>-7.1879999999999997</v>
      </c>
      <c r="H26" s="2">
        <v>-7.4969999999999999</v>
      </c>
      <c r="I26" s="2">
        <v>0.309</v>
      </c>
      <c r="J26" s="2">
        <v>4.12</v>
      </c>
    </row>
    <row r="27" spans="1:10" x14ac:dyDescent="0.35">
      <c r="A27" s="2">
        <v>1100</v>
      </c>
      <c r="B27" s="2" t="s">
        <v>339</v>
      </c>
      <c r="C27" s="2" t="s">
        <v>340</v>
      </c>
      <c r="D27" s="2">
        <v>3670</v>
      </c>
      <c r="E27" s="2" t="s">
        <v>28</v>
      </c>
      <c r="F27" s="2" t="s">
        <v>13</v>
      </c>
      <c r="G27" s="2">
        <v>-5.9729999999999999</v>
      </c>
      <c r="H27" s="2">
        <v>-5.85</v>
      </c>
      <c r="I27" s="2">
        <v>-0.123</v>
      </c>
      <c r="J27" s="2">
        <v>-2.1</v>
      </c>
    </row>
    <row r="28" spans="1:10" x14ac:dyDescent="0.35">
      <c r="A28" s="2">
        <v>1400</v>
      </c>
      <c r="B28" s="2" t="s">
        <v>352</v>
      </c>
      <c r="C28" s="2" t="s">
        <v>353</v>
      </c>
      <c r="D28" s="2">
        <v>3900</v>
      </c>
      <c r="E28" s="2" t="s">
        <v>31</v>
      </c>
      <c r="F28" s="2" t="s">
        <v>13</v>
      </c>
      <c r="G28" s="2">
        <v>-120.297</v>
      </c>
      <c r="H28" s="2">
        <v>-120.303</v>
      </c>
      <c r="I28" s="2">
        <v>6.0000000000000001E-3</v>
      </c>
      <c r="J28" s="2">
        <v>0</v>
      </c>
    </row>
    <row r="29" spans="1:10" x14ac:dyDescent="0.35">
      <c r="A29" s="2">
        <v>1100</v>
      </c>
      <c r="B29" s="2" t="s">
        <v>339</v>
      </c>
      <c r="C29" s="2" t="s">
        <v>340</v>
      </c>
      <c r="D29" s="2">
        <v>5000</v>
      </c>
      <c r="E29" s="2" t="s">
        <v>32</v>
      </c>
      <c r="F29" s="2" t="s">
        <v>33</v>
      </c>
      <c r="G29" s="2">
        <v>137.304</v>
      </c>
      <c r="H29" s="2">
        <v>134.53899999999999</v>
      </c>
      <c r="I29" s="2">
        <v>2.7650000000000001</v>
      </c>
      <c r="J29" s="2">
        <v>2.06</v>
      </c>
    </row>
    <row r="30" spans="1:10" x14ac:dyDescent="0.35">
      <c r="A30" s="2">
        <v>1400</v>
      </c>
      <c r="B30" s="2" t="s">
        <v>352</v>
      </c>
      <c r="C30" s="2" t="s">
        <v>353</v>
      </c>
      <c r="D30" s="2">
        <v>6050</v>
      </c>
      <c r="E30" s="2" t="s">
        <v>51</v>
      </c>
      <c r="F30" s="2" t="s">
        <v>48</v>
      </c>
      <c r="G30" s="2">
        <v>10.35</v>
      </c>
      <c r="H30" s="2">
        <v>10.8</v>
      </c>
      <c r="I30" s="2">
        <v>-0.45</v>
      </c>
      <c r="J30" s="2">
        <v>-4.17</v>
      </c>
    </row>
    <row r="31" spans="1:10" x14ac:dyDescent="0.35">
      <c r="A31" s="2">
        <v>1400</v>
      </c>
      <c r="B31" s="2" t="s">
        <v>352</v>
      </c>
      <c r="C31" s="2" t="s">
        <v>353</v>
      </c>
      <c r="D31" s="2">
        <v>6300</v>
      </c>
      <c r="E31" s="2" t="s">
        <v>52</v>
      </c>
      <c r="F31" s="2" t="s">
        <v>48</v>
      </c>
      <c r="G31" s="2">
        <v>33.085000000000001</v>
      </c>
      <c r="H31" s="2">
        <v>33.299999999999997</v>
      </c>
      <c r="I31" s="2">
        <v>-0.215</v>
      </c>
      <c r="J31" s="2">
        <v>-0.65</v>
      </c>
    </row>
    <row r="32" spans="1:10" x14ac:dyDescent="0.35">
      <c r="A32" s="2">
        <v>1400</v>
      </c>
      <c r="B32" s="2" t="s">
        <v>352</v>
      </c>
      <c r="C32" s="2" t="s">
        <v>353</v>
      </c>
      <c r="D32" s="2">
        <v>3400</v>
      </c>
      <c r="E32" s="2" t="s">
        <v>21</v>
      </c>
      <c r="F32" s="2" t="s">
        <v>13</v>
      </c>
      <c r="G32" s="2">
        <v>-10.78</v>
      </c>
      <c r="H32" s="2">
        <v>-11.25</v>
      </c>
      <c r="I32" s="2">
        <v>0.47</v>
      </c>
      <c r="J32" s="2">
        <v>4.18</v>
      </c>
    </row>
    <row r="33" spans="1:10" x14ac:dyDescent="0.35">
      <c r="A33" s="2">
        <v>1200</v>
      </c>
      <c r="B33" s="2" t="s">
        <v>344</v>
      </c>
      <c r="C33" s="2" t="s">
        <v>345</v>
      </c>
      <c r="D33" s="2">
        <v>3670</v>
      </c>
      <c r="E33" s="2" t="s">
        <v>28</v>
      </c>
      <c r="F33" s="2" t="s">
        <v>13</v>
      </c>
      <c r="G33" s="2">
        <v>-15.01</v>
      </c>
      <c r="H33" s="2">
        <v>-14.696999999999999</v>
      </c>
      <c r="I33" s="2">
        <v>-0.313</v>
      </c>
      <c r="J33" s="2">
        <v>-2.13</v>
      </c>
    </row>
    <row r="34" spans="1:10" x14ac:dyDescent="0.35">
      <c r="A34" s="2">
        <v>1100</v>
      </c>
      <c r="B34" s="2" t="s">
        <v>339</v>
      </c>
      <c r="C34" s="2" t="s">
        <v>340</v>
      </c>
      <c r="D34" s="2">
        <v>3900</v>
      </c>
      <c r="E34" s="2" t="s">
        <v>31</v>
      </c>
      <c r="F34" s="2" t="s">
        <v>13</v>
      </c>
      <c r="G34" s="2">
        <v>-185.1</v>
      </c>
      <c r="H34" s="2">
        <v>-185.10300000000001</v>
      </c>
      <c r="I34" s="2">
        <v>3.0000000000000001E-3</v>
      </c>
      <c r="J34" s="2">
        <v>0</v>
      </c>
    </row>
    <row r="35" spans="1:10" x14ac:dyDescent="0.35">
      <c r="A35" s="2">
        <v>1200</v>
      </c>
      <c r="B35" s="2" t="s">
        <v>344</v>
      </c>
      <c r="C35" s="2" t="s">
        <v>345</v>
      </c>
      <c r="D35" s="2">
        <v>5000</v>
      </c>
      <c r="E35" s="2" t="s">
        <v>32</v>
      </c>
      <c r="F35" s="2" t="s">
        <v>33</v>
      </c>
      <c r="G35" s="2">
        <v>195.09200000000001</v>
      </c>
      <c r="H35" s="2">
        <v>191.15899999999999</v>
      </c>
      <c r="I35" s="2">
        <v>3.9329999999999998</v>
      </c>
      <c r="J35" s="2">
        <v>2.06</v>
      </c>
    </row>
    <row r="36" spans="1:10" x14ac:dyDescent="0.35">
      <c r="A36" s="2">
        <v>1100</v>
      </c>
      <c r="B36" s="2" t="s">
        <v>339</v>
      </c>
      <c r="C36" s="2" t="s">
        <v>340</v>
      </c>
      <c r="D36" s="2">
        <v>6050</v>
      </c>
      <c r="E36" s="2" t="s">
        <v>51</v>
      </c>
      <c r="F36" s="2" t="s">
        <v>48</v>
      </c>
      <c r="G36" s="2">
        <v>21.85</v>
      </c>
      <c r="H36" s="2">
        <v>22.797000000000001</v>
      </c>
      <c r="I36" s="2">
        <v>-0.94699999999999995</v>
      </c>
      <c r="J36" s="2">
        <v>-4.1500000000000004</v>
      </c>
    </row>
    <row r="37" spans="1:10" x14ac:dyDescent="0.35">
      <c r="A37" s="2">
        <v>1100</v>
      </c>
      <c r="B37" s="2" t="s">
        <v>339</v>
      </c>
      <c r="C37" s="2" t="s">
        <v>340</v>
      </c>
      <c r="D37" s="2">
        <v>6300</v>
      </c>
      <c r="E37" s="2" t="s">
        <v>52</v>
      </c>
      <c r="F37" s="2" t="s">
        <v>48</v>
      </c>
      <c r="G37" s="2">
        <v>48.354999999999997</v>
      </c>
      <c r="H37" s="2">
        <v>48.662999999999997</v>
      </c>
      <c r="I37" s="2">
        <v>-0.308</v>
      </c>
      <c r="J37" s="2">
        <v>-0.63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49C5F-5B3D-4564-B009-D73BBE1C1626}">
  <dimension ref="A1:P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4" bestFit="1" customWidth="1"/>
    <col min="3" max="3" width="9" bestFit="1" customWidth="1"/>
    <col min="4" max="4" width="10.36328125" bestFit="1" customWidth="1"/>
    <col min="5" max="5" width="8" bestFit="1" customWidth="1"/>
    <col min="6" max="8" width="6.81640625" bestFit="1" customWidth="1"/>
    <col min="9" max="9" width="6.6328125" bestFit="1" customWidth="1"/>
    <col min="10" max="10" width="6.54296875" bestFit="1" customWidth="1"/>
    <col min="11" max="11" width="6.81640625" bestFit="1" customWidth="1"/>
    <col min="12" max="12" width="6.08984375" bestFit="1" customWidth="1"/>
    <col min="13" max="13" width="6" bestFit="1" customWidth="1"/>
    <col min="14" max="14" width="6.6328125" bestFit="1" customWidth="1"/>
    <col min="15" max="15" width="18.26953125" bestFit="1" customWidth="1"/>
    <col min="16" max="16" width="22.26953125" bestFit="1" customWidth="1"/>
  </cols>
  <sheetData>
    <row r="1" spans="1:16" ht="28" customHeight="1" x14ac:dyDescent="0.35">
      <c r="A1" s="2" t="s">
        <v>91</v>
      </c>
      <c r="B1" s="2" t="s">
        <v>95</v>
      </c>
      <c r="C1" s="2" t="s">
        <v>96</v>
      </c>
      <c r="D1" s="2" t="s">
        <v>327</v>
      </c>
      <c r="E1" s="2" t="s">
        <v>134</v>
      </c>
      <c r="F1" s="2" t="s">
        <v>470</v>
      </c>
      <c r="G1" s="2" t="s">
        <v>471</v>
      </c>
      <c r="H1" s="2" t="s">
        <v>472</v>
      </c>
      <c r="I1" s="2" t="s">
        <v>473</v>
      </c>
      <c r="J1" s="2" t="s">
        <v>474</v>
      </c>
      <c r="K1" s="2" t="s">
        <v>475</v>
      </c>
      <c r="L1" s="2" t="s">
        <v>476</v>
      </c>
      <c r="M1" s="2" t="s">
        <v>477</v>
      </c>
      <c r="N1" s="2" t="s">
        <v>478</v>
      </c>
      <c r="O1" s="2" t="s">
        <v>479</v>
      </c>
      <c r="P1" s="2" t="s">
        <v>480</v>
      </c>
    </row>
    <row r="2" spans="1:16" x14ac:dyDescent="0.35">
      <c r="A2" s="2">
        <v>202601</v>
      </c>
      <c r="B2" s="2" t="s">
        <v>98</v>
      </c>
      <c r="C2" s="2" t="s">
        <v>99</v>
      </c>
      <c r="D2" s="2">
        <v>1000</v>
      </c>
      <c r="E2" s="2" t="s">
        <v>335</v>
      </c>
      <c r="F2" s="2">
        <v>121</v>
      </c>
      <c r="G2" s="2">
        <v>111</v>
      </c>
      <c r="H2" s="2">
        <v>114.5</v>
      </c>
      <c r="I2" s="2">
        <v>1433</v>
      </c>
      <c r="J2" s="2">
        <v>1444</v>
      </c>
      <c r="K2" s="2">
        <v>1329.5</v>
      </c>
      <c r="L2" s="2">
        <v>0.97</v>
      </c>
      <c r="M2" s="2">
        <v>0.92</v>
      </c>
      <c r="N2" s="2">
        <v>-11</v>
      </c>
      <c r="O2" s="2">
        <v>-3.5</v>
      </c>
      <c r="P2" s="2">
        <v>-10</v>
      </c>
    </row>
    <row r="3" spans="1:16" x14ac:dyDescent="0.35">
      <c r="A3" s="2">
        <v>202602</v>
      </c>
      <c r="B3" s="2" t="s">
        <v>101</v>
      </c>
      <c r="C3" s="2" t="s">
        <v>99</v>
      </c>
      <c r="D3" s="2">
        <v>1000</v>
      </c>
      <c r="E3" s="2" t="s">
        <v>335</v>
      </c>
      <c r="F3" s="2">
        <v>243</v>
      </c>
      <c r="G3" s="2">
        <v>223</v>
      </c>
      <c r="H3" s="2">
        <v>229</v>
      </c>
      <c r="I3" s="2">
        <v>1433</v>
      </c>
      <c r="J3" s="2">
        <v>1444</v>
      </c>
      <c r="K3" s="2">
        <v>1215</v>
      </c>
      <c r="L3" s="2">
        <v>0.97</v>
      </c>
      <c r="M3" s="2">
        <v>0.92</v>
      </c>
      <c r="N3" s="2">
        <v>-11</v>
      </c>
      <c r="O3" s="2">
        <v>-6</v>
      </c>
      <c r="P3" s="2">
        <v>-20</v>
      </c>
    </row>
    <row r="4" spans="1:16" x14ac:dyDescent="0.35">
      <c r="A4" s="2">
        <v>202603</v>
      </c>
      <c r="B4" s="2" t="s">
        <v>102</v>
      </c>
      <c r="C4" s="2" t="s">
        <v>99</v>
      </c>
      <c r="D4" s="2">
        <v>1000</v>
      </c>
      <c r="E4" s="2" t="s">
        <v>335</v>
      </c>
      <c r="F4" s="2">
        <v>371</v>
      </c>
      <c r="G4" s="2">
        <v>341</v>
      </c>
      <c r="H4" s="2">
        <v>350</v>
      </c>
      <c r="I4" s="2">
        <v>1433</v>
      </c>
      <c r="J4" s="2">
        <v>1444</v>
      </c>
      <c r="K4" s="2">
        <v>1094</v>
      </c>
      <c r="L4" s="2">
        <v>0.97</v>
      </c>
      <c r="M4" s="2">
        <v>0.92</v>
      </c>
      <c r="N4" s="2">
        <v>-11</v>
      </c>
      <c r="O4" s="2">
        <v>-9</v>
      </c>
      <c r="P4" s="2">
        <v>-30</v>
      </c>
    </row>
    <row r="5" spans="1:16" x14ac:dyDescent="0.35">
      <c r="A5" s="2">
        <v>202604</v>
      </c>
      <c r="B5" s="2" t="s">
        <v>103</v>
      </c>
      <c r="C5" s="2" t="s">
        <v>104</v>
      </c>
      <c r="D5" s="2">
        <v>1000</v>
      </c>
      <c r="E5" s="2" t="s">
        <v>335</v>
      </c>
      <c r="F5" s="2">
        <v>498</v>
      </c>
      <c r="G5" s="2">
        <v>458</v>
      </c>
      <c r="H5" s="2">
        <v>469.5</v>
      </c>
      <c r="I5" s="2">
        <v>1433</v>
      </c>
      <c r="J5" s="2">
        <v>1444</v>
      </c>
      <c r="K5" s="2">
        <v>974.5</v>
      </c>
      <c r="L5" s="2">
        <v>0.98</v>
      </c>
      <c r="M5" s="2">
        <v>0.92</v>
      </c>
      <c r="N5" s="2">
        <v>-11</v>
      </c>
      <c r="O5" s="2">
        <v>-11.5</v>
      </c>
      <c r="P5" s="2">
        <v>-40</v>
      </c>
    </row>
    <row r="6" spans="1:16" x14ac:dyDescent="0.35">
      <c r="A6" s="2">
        <v>202605</v>
      </c>
      <c r="B6" s="2" t="s">
        <v>105</v>
      </c>
      <c r="C6" s="2" t="s">
        <v>104</v>
      </c>
      <c r="D6" s="2">
        <v>1000</v>
      </c>
      <c r="E6" s="2" t="s">
        <v>335</v>
      </c>
      <c r="F6" s="2">
        <v>629</v>
      </c>
      <c r="G6" s="2">
        <v>578</v>
      </c>
      <c r="H6" s="2">
        <v>593.5</v>
      </c>
      <c r="I6" s="2">
        <v>1433</v>
      </c>
      <c r="J6" s="2">
        <v>1444</v>
      </c>
      <c r="K6" s="2">
        <v>850.5</v>
      </c>
      <c r="L6" s="2">
        <v>0.97</v>
      </c>
      <c r="M6" s="2">
        <v>0.92</v>
      </c>
      <c r="N6" s="2">
        <v>-11</v>
      </c>
      <c r="O6" s="2">
        <v>-15.5</v>
      </c>
      <c r="P6" s="2">
        <v>-51</v>
      </c>
    </row>
    <row r="7" spans="1:16" x14ac:dyDescent="0.35">
      <c r="A7" s="2">
        <v>202606</v>
      </c>
      <c r="B7" s="2" t="s">
        <v>106</v>
      </c>
      <c r="C7" s="2" t="s">
        <v>104</v>
      </c>
      <c r="D7" s="2">
        <v>1000</v>
      </c>
      <c r="E7" s="2" t="s">
        <v>335</v>
      </c>
      <c r="F7" s="2">
        <v>774</v>
      </c>
      <c r="G7" s="2">
        <v>711</v>
      </c>
      <c r="H7" s="2">
        <v>758.5</v>
      </c>
      <c r="I7" s="2">
        <v>1433</v>
      </c>
      <c r="J7" s="2">
        <v>1444</v>
      </c>
      <c r="K7" s="2">
        <v>685.5</v>
      </c>
      <c r="L7" s="2">
        <v>0.94</v>
      </c>
      <c r="M7" s="2">
        <v>0.92</v>
      </c>
      <c r="N7" s="2">
        <v>-11</v>
      </c>
      <c r="O7" s="2">
        <v>-47.5</v>
      </c>
      <c r="P7" s="2">
        <v>-63</v>
      </c>
    </row>
    <row r="8" spans="1:16" x14ac:dyDescent="0.35">
      <c r="A8" s="2">
        <v>202607</v>
      </c>
      <c r="B8" s="2" t="s">
        <v>107</v>
      </c>
      <c r="C8" s="2" t="s">
        <v>108</v>
      </c>
      <c r="D8" s="2">
        <v>1000</v>
      </c>
      <c r="E8" s="2" t="s">
        <v>335</v>
      </c>
      <c r="F8" s="2">
        <v>869</v>
      </c>
      <c r="G8" s="2">
        <v>799</v>
      </c>
      <c r="H8" s="2">
        <v>848</v>
      </c>
      <c r="I8" s="2">
        <v>1433</v>
      </c>
      <c r="J8" s="2">
        <v>1444</v>
      </c>
      <c r="K8" s="2">
        <v>596</v>
      </c>
      <c r="L8" s="2">
        <v>0.94</v>
      </c>
      <c r="M8" s="2">
        <v>0.92</v>
      </c>
      <c r="N8" s="2">
        <v>-11</v>
      </c>
      <c r="O8" s="2">
        <v>-49</v>
      </c>
      <c r="P8" s="2">
        <v>-70</v>
      </c>
    </row>
    <row r="9" spans="1:16" x14ac:dyDescent="0.35">
      <c r="A9" s="2">
        <v>202608</v>
      </c>
      <c r="B9" s="2" t="s">
        <v>109</v>
      </c>
      <c r="C9" s="2" t="s">
        <v>108</v>
      </c>
      <c r="D9" s="2">
        <v>1000</v>
      </c>
      <c r="E9" s="2" t="s">
        <v>335</v>
      </c>
      <c r="F9" s="2">
        <v>992</v>
      </c>
      <c r="G9" s="2">
        <v>912</v>
      </c>
      <c r="H9" s="2">
        <v>966</v>
      </c>
      <c r="I9" s="2">
        <v>1433</v>
      </c>
      <c r="J9" s="2">
        <v>1444</v>
      </c>
      <c r="K9" s="2">
        <v>478</v>
      </c>
      <c r="L9" s="2">
        <v>0.94</v>
      </c>
      <c r="M9" s="2">
        <v>0.92</v>
      </c>
      <c r="N9" s="2">
        <v>-11</v>
      </c>
      <c r="O9" s="2">
        <v>-54</v>
      </c>
      <c r="P9" s="2">
        <v>-80</v>
      </c>
    </row>
    <row r="10" spans="1:16" x14ac:dyDescent="0.35">
      <c r="A10" s="2">
        <v>202609</v>
      </c>
      <c r="B10" s="2" t="s">
        <v>110</v>
      </c>
      <c r="C10" s="2" t="s">
        <v>108</v>
      </c>
      <c r="D10" s="2">
        <v>1000</v>
      </c>
      <c r="E10" s="2" t="s">
        <v>335</v>
      </c>
      <c r="F10" s="2">
        <v>1124</v>
      </c>
      <c r="G10" s="2">
        <v>1034</v>
      </c>
      <c r="H10" s="2">
        <v>1092</v>
      </c>
      <c r="I10" s="2">
        <v>1433</v>
      </c>
      <c r="J10" s="2">
        <v>1444</v>
      </c>
      <c r="K10" s="2">
        <v>352</v>
      </c>
      <c r="L10" s="2">
        <v>0.95</v>
      </c>
      <c r="M10" s="2">
        <v>0.92</v>
      </c>
      <c r="N10" s="2">
        <v>-11</v>
      </c>
      <c r="O10" s="2">
        <v>-58</v>
      </c>
      <c r="P10" s="2">
        <v>-90</v>
      </c>
    </row>
    <row r="11" spans="1:16" x14ac:dyDescent="0.35">
      <c r="A11" s="2">
        <v>202610</v>
      </c>
      <c r="B11" s="2" t="s">
        <v>111</v>
      </c>
      <c r="C11" s="2" t="s">
        <v>112</v>
      </c>
      <c r="D11" s="2">
        <v>1000</v>
      </c>
      <c r="E11" s="2" t="s">
        <v>335</v>
      </c>
      <c r="F11" s="2">
        <v>1256</v>
      </c>
      <c r="G11" s="2">
        <v>1155.5</v>
      </c>
      <c r="H11" s="2">
        <v>1218.5</v>
      </c>
      <c r="I11" s="2">
        <v>1433</v>
      </c>
      <c r="J11" s="2">
        <v>1444</v>
      </c>
      <c r="K11" s="2">
        <v>225.5</v>
      </c>
      <c r="L11" s="2">
        <v>0.95</v>
      </c>
      <c r="M11" s="2">
        <v>0.92</v>
      </c>
      <c r="N11" s="2">
        <v>-11</v>
      </c>
      <c r="O11" s="2">
        <v>-63</v>
      </c>
      <c r="P11" s="2">
        <v>-100.5</v>
      </c>
    </row>
    <row r="12" spans="1:16" x14ac:dyDescent="0.35">
      <c r="A12" s="2">
        <v>202611</v>
      </c>
      <c r="B12" s="2" t="s">
        <v>114</v>
      </c>
      <c r="C12" s="2" t="s">
        <v>112</v>
      </c>
      <c r="D12" s="2">
        <v>1000</v>
      </c>
      <c r="E12" s="2" t="s">
        <v>335</v>
      </c>
      <c r="F12" s="2">
        <v>1387.8</v>
      </c>
      <c r="G12" s="2">
        <v>1276.8</v>
      </c>
      <c r="H12" s="2">
        <v>1344</v>
      </c>
      <c r="I12" s="2">
        <v>1433</v>
      </c>
      <c r="J12" s="2">
        <v>1444</v>
      </c>
      <c r="K12" s="2">
        <v>100</v>
      </c>
      <c r="L12" s="2">
        <v>0.95</v>
      </c>
      <c r="M12" s="2">
        <v>0.92</v>
      </c>
      <c r="N12" s="2">
        <v>-11</v>
      </c>
      <c r="O12" s="2">
        <v>-67.2</v>
      </c>
      <c r="P12" s="2">
        <v>-111</v>
      </c>
    </row>
    <row r="13" spans="1:16" x14ac:dyDescent="0.35">
      <c r="A13" s="2">
        <v>202612</v>
      </c>
      <c r="B13" s="2" t="s">
        <v>115</v>
      </c>
      <c r="C13" s="2" t="s">
        <v>112</v>
      </c>
      <c r="D13" s="2">
        <v>1000</v>
      </c>
      <c r="E13" s="2" t="s">
        <v>335</v>
      </c>
      <c r="F13" s="2">
        <v>1507.8</v>
      </c>
      <c r="G13" s="2">
        <v>1344</v>
      </c>
      <c r="H13" s="2">
        <v>1444</v>
      </c>
      <c r="I13" s="2">
        <v>1433</v>
      </c>
      <c r="J13" s="2">
        <v>1444</v>
      </c>
      <c r="K13" s="2">
        <v>0</v>
      </c>
      <c r="L13" s="2">
        <v>0.93</v>
      </c>
      <c r="M13" s="2">
        <v>0.89</v>
      </c>
      <c r="N13" s="2">
        <v>-11</v>
      </c>
      <c r="O13" s="2">
        <v>-100</v>
      </c>
      <c r="P13" s="2">
        <v>-163.80000000000001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EEA58-F5B0-4FB4-A393-E331C31DF879}">
  <dimension ref="A1:I43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0.36328125" bestFit="1" customWidth="1"/>
    <col min="3" max="3" width="8" bestFit="1" customWidth="1"/>
    <col min="4" max="4" width="24.6328125" bestFit="1" customWidth="1"/>
    <col min="5" max="5" width="10.1796875" bestFit="1" customWidth="1"/>
    <col min="6" max="6" width="17.90625" bestFit="1" customWidth="1"/>
    <col min="7" max="7" width="16.36328125" bestFit="1" customWidth="1"/>
    <col min="8" max="8" width="23.1796875" bestFit="1" customWidth="1"/>
    <col min="9" max="9" width="13.453125" bestFit="1" customWidth="1"/>
  </cols>
  <sheetData>
    <row r="1" spans="1:9" ht="28" customHeight="1" x14ac:dyDescent="0.35">
      <c r="A1" s="2" t="s">
        <v>91</v>
      </c>
      <c r="B1" s="2" t="s">
        <v>327</v>
      </c>
      <c r="C1" s="2" t="s">
        <v>0</v>
      </c>
      <c r="D1" s="2" t="s">
        <v>1</v>
      </c>
      <c r="E1" s="2" t="s">
        <v>481</v>
      </c>
      <c r="F1" s="2" t="s">
        <v>482</v>
      </c>
      <c r="G1" s="2" t="s">
        <v>483</v>
      </c>
      <c r="H1" s="2" t="s">
        <v>484</v>
      </c>
      <c r="I1" s="2" t="s">
        <v>116</v>
      </c>
    </row>
    <row r="2" spans="1:9" x14ac:dyDescent="0.35">
      <c r="A2" s="2">
        <v>202601</v>
      </c>
      <c r="B2" s="2">
        <v>1100</v>
      </c>
      <c r="C2" s="2">
        <v>3900</v>
      </c>
      <c r="D2" s="2" t="s">
        <v>31</v>
      </c>
      <c r="E2" s="2" t="s">
        <v>15</v>
      </c>
      <c r="F2" s="2" t="s">
        <v>485</v>
      </c>
      <c r="G2" s="2">
        <v>20.567</v>
      </c>
      <c r="H2" s="2">
        <v>-20.567</v>
      </c>
      <c r="I2" s="2" t="s">
        <v>119</v>
      </c>
    </row>
    <row r="3" spans="1:9" x14ac:dyDescent="0.35">
      <c r="A3" s="2">
        <v>202601</v>
      </c>
      <c r="B3" s="2">
        <v>1100</v>
      </c>
      <c r="C3" s="2">
        <v>3400</v>
      </c>
      <c r="D3" s="2" t="s">
        <v>486</v>
      </c>
      <c r="E3" s="2" t="s">
        <v>15</v>
      </c>
      <c r="F3" s="2" t="s">
        <v>487</v>
      </c>
      <c r="G3" s="2">
        <v>1.833</v>
      </c>
      <c r="H3" s="2">
        <v>-1.833</v>
      </c>
      <c r="I3" s="2" t="s">
        <v>119</v>
      </c>
    </row>
    <row r="4" spans="1:9" x14ac:dyDescent="0.35">
      <c r="A4" s="2">
        <v>202601</v>
      </c>
      <c r="B4" s="2">
        <v>1100</v>
      </c>
      <c r="C4" s="2">
        <v>3670</v>
      </c>
      <c r="D4" s="2" t="s">
        <v>488</v>
      </c>
      <c r="E4" s="2" t="s">
        <v>15</v>
      </c>
      <c r="F4" s="2" t="s">
        <v>489</v>
      </c>
      <c r="G4" s="2">
        <v>0.65</v>
      </c>
      <c r="H4" s="2">
        <v>-0.65</v>
      </c>
      <c r="I4" s="2" t="s">
        <v>119</v>
      </c>
    </row>
    <row r="5" spans="1:9" x14ac:dyDescent="0.35">
      <c r="A5" s="2">
        <v>202601</v>
      </c>
      <c r="B5" s="2">
        <v>1100</v>
      </c>
      <c r="C5" s="2">
        <v>5000</v>
      </c>
      <c r="D5" s="2" t="s">
        <v>490</v>
      </c>
      <c r="E5" s="2" t="s">
        <v>35</v>
      </c>
      <c r="F5" s="2" t="s">
        <v>491</v>
      </c>
      <c r="G5" s="2">
        <v>14.162000000000001</v>
      </c>
      <c r="H5" s="2">
        <v>14.162000000000001</v>
      </c>
      <c r="I5" s="2" t="s">
        <v>119</v>
      </c>
    </row>
    <row r="6" spans="1:9" x14ac:dyDescent="0.35">
      <c r="A6" s="2">
        <v>202601</v>
      </c>
      <c r="B6" s="2">
        <v>1100</v>
      </c>
      <c r="C6" s="2">
        <v>6300</v>
      </c>
      <c r="D6" s="2" t="s">
        <v>54</v>
      </c>
      <c r="E6" s="2" t="s">
        <v>35</v>
      </c>
      <c r="F6" s="2" t="s">
        <v>492</v>
      </c>
      <c r="G6" s="2">
        <v>5.407</v>
      </c>
      <c r="H6" s="2">
        <v>5.407</v>
      </c>
      <c r="I6" s="2" t="s">
        <v>119</v>
      </c>
    </row>
    <row r="7" spans="1:9" x14ac:dyDescent="0.35">
      <c r="A7" s="2">
        <v>202601</v>
      </c>
      <c r="B7" s="2">
        <v>1100</v>
      </c>
      <c r="C7" s="2">
        <v>6050</v>
      </c>
      <c r="D7" s="2" t="s">
        <v>493</v>
      </c>
      <c r="E7" s="2" t="s">
        <v>35</v>
      </c>
      <c r="F7" s="2" t="s">
        <v>494</v>
      </c>
      <c r="G7" s="2">
        <v>2.5329999999999999</v>
      </c>
      <c r="H7" s="2">
        <v>2.5329999999999999</v>
      </c>
      <c r="I7" s="2" t="s">
        <v>119</v>
      </c>
    </row>
    <row r="8" spans="1:9" x14ac:dyDescent="0.35">
      <c r="A8" s="2">
        <v>202601</v>
      </c>
      <c r="B8" s="2">
        <v>1200</v>
      </c>
      <c r="C8" s="2">
        <v>3900</v>
      </c>
      <c r="D8" s="2" t="s">
        <v>31</v>
      </c>
      <c r="E8" s="2" t="s">
        <v>15</v>
      </c>
      <c r="F8" s="2" t="s">
        <v>485</v>
      </c>
      <c r="G8" s="2">
        <v>27.766999999999999</v>
      </c>
      <c r="H8" s="2">
        <v>-27.766999999999999</v>
      </c>
      <c r="I8" s="2" t="s">
        <v>119</v>
      </c>
    </row>
    <row r="9" spans="1:9" x14ac:dyDescent="0.35">
      <c r="A9" s="2">
        <v>202601</v>
      </c>
      <c r="B9" s="2">
        <v>1200</v>
      </c>
      <c r="C9" s="2">
        <v>3400</v>
      </c>
      <c r="D9" s="2" t="s">
        <v>486</v>
      </c>
      <c r="E9" s="2" t="s">
        <v>15</v>
      </c>
      <c r="F9" s="2" t="s">
        <v>487</v>
      </c>
      <c r="G9" s="2">
        <v>4</v>
      </c>
      <c r="H9" s="2">
        <v>-4</v>
      </c>
      <c r="I9" s="2" t="s">
        <v>119</v>
      </c>
    </row>
    <row r="10" spans="1:9" x14ac:dyDescent="0.35">
      <c r="A10" s="2">
        <v>202601</v>
      </c>
      <c r="B10" s="2">
        <v>1200</v>
      </c>
      <c r="C10" s="2">
        <v>3670</v>
      </c>
      <c r="D10" s="2" t="s">
        <v>488</v>
      </c>
      <c r="E10" s="2" t="s">
        <v>15</v>
      </c>
      <c r="F10" s="2" t="s">
        <v>489</v>
      </c>
      <c r="G10" s="2">
        <v>1.633</v>
      </c>
      <c r="H10" s="2">
        <v>-1.633</v>
      </c>
      <c r="I10" s="2" t="s">
        <v>119</v>
      </c>
    </row>
    <row r="11" spans="1:9" x14ac:dyDescent="0.35">
      <c r="A11" s="2">
        <v>202601</v>
      </c>
      <c r="B11" s="2">
        <v>1200</v>
      </c>
      <c r="C11" s="2">
        <v>5000</v>
      </c>
      <c r="D11" s="2" t="s">
        <v>490</v>
      </c>
      <c r="E11" s="2" t="s">
        <v>35</v>
      </c>
      <c r="F11" s="2" t="s">
        <v>491</v>
      </c>
      <c r="G11" s="2">
        <v>20.122</v>
      </c>
      <c r="H11" s="2">
        <v>20.122</v>
      </c>
      <c r="I11" s="2" t="s">
        <v>119</v>
      </c>
    </row>
    <row r="12" spans="1:9" x14ac:dyDescent="0.35">
      <c r="A12" s="2">
        <v>202601</v>
      </c>
      <c r="B12" s="2">
        <v>1200</v>
      </c>
      <c r="C12" s="2">
        <v>6300</v>
      </c>
      <c r="D12" s="2" t="s">
        <v>54</v>
      </c>
      <c r="E12" s="2" t="s">
        <v>35</v>
      </c>
      <c r="F12" s="2" t="s">
        <v>492</v>
      </c>
      <c r="G12" s="2">
        <v>7.6840000000000002</v>
      </c>
      <c r="H12" s="2">
        <v>7.6840000000000002</v>
      </c>
      <c r="I12" s="2" t="s">
        <v>119</v>
      </c>
    </row>
    <row r="13" spans="1:9" x14ac:dyDescent="0.35">
      <c r="A13" s="2">
        <v>202601</v>
      </c>
      <c r="B13" s="2">
        <v>1200</v>
      </c>
      <c r="C13" s="2">
        <v>6050</v>
      </c>
      <c r="D13" s="2" t="s">
        <v>493</v>
      </c>
      <c r="E13" s="2" t="s">
        <v>35</v>
      </c>
      <c r="F13" s="2" t="s">
        <v>494</v>
      </c>
      <c r="G13" s="2">
        <v>4.6669999999999998</v>
      </c>
      <c r="H13" s="2">
        <v>4.6669999999999998</v>
      </c>
      <c r="I13" s="2" t="s">
        <v>119</v>
      </c>
    </row>
    <row r="14" spans="1:9" x14ac:dyDescent="0.35">
      <c r="A14" s="2">
        <v>202601</v>
      </c>
      <c r="B14" s="2">
        <v>1300</v>
      </c>
      <c r="C14" s="2">
        <v>3900</v>
      </c>
      <c r="D14" s="2" t="s">
        <v>31</v>
      </c>
      <c r="E14" s="2" t="s">
        <v>15</v>
      </c>
      <c r="F14" s="2" t="s">
        <v>485</v>
      </c>
      <c r="G14" s="2">
        <v>23.65</v>
      </c>
      <c r="H14" s="2">
        <v>-23.65</v>
      </c>
      <c r="I14" s="2" t="s">
        <v>119</v>
      </c>
    </row>
    <row r="15" spans="1:9" x14ac:dyDescent="0.35">
      <c r="A15" s="2">
        <v>202601</v>
      </c>
      <c r="B15" s="2">
        <v>1300</v>
      </c>
      <c r="C15" s="2">
        <v>3400</v>
      </c>
      <c r="D15" s="2" t="s">
        <v>486</v>
      </c>
      <c r="E15" s="2" t="s">
        <v>15</v>
      </c>
      <c r="F15" s="2" t="s">
        <v>487</v>
      </c>
      <c r="G15" s="2">
        <v>2.0830000000000002</v>
      </c>
      <c r="H15" s="2">
        <v>-2.0830000000000002</v>
      </c>
      <c r="I15" s="2" t="s">
        <v>119</v>
      </c>
    </row>
    <row r="16" spans="1:9" x14ac:dyDescent="0.35">
      <c r="A16" s="2">
        <v>202601</v>
      </c>
      <c r="B16" s="2">
        <v>1300</v>
      </c>
      <c r="C16" s="2">
        <v>3670</v>
      </c>
      <c r="D16" s="2" t="s">
        <v>488</v>
      </c>
      <c r="E16" s="2" t="s">
        <v>15</v>
      </c>
      <c r="F16" s="2" t="s">
        <v>489</v>
      </c>
      <c r="G16" s="2">
        <v>1.2330000000000001</v>
      </c>
      <c r="H16" s="2">
        <v>-1.2330000000000001</v>
      </c>
      <c r="I16" s="2" t="s">
        <v>119</v>
      </c>
    </row>
    <row r="17" spans="1:9" x14ac:dyDescent="0.35">
      <c r="A17" s="2">
        <v>202601</v>
      </c>
      <c r="B17" s="2">
        <v>1300</v>
      </c>
      <c r="C17" s="2">
        <v>5000</v>
      </c>
      <c r="D17" s="2" t="s">
        <v>490</v>
      </c>
      <c r="E17" s="2" t="s">
        <v>35</v>
      </c>
      <c r="F17" s="2" t="s">
        <v>491</v>
      </c>
      <c r="G17" s="2">
        <v>17.138000000000002</v>
      </c>
      <c r="H17" s="2">
        <v>17.138000000000002</v>
      </c>
      <c r="I17" s="2" t="s">
        <v>119</v>
      </c>
    </row>
    <row r="18" spans="1:9" x14ac:dyDescent="0.35">
      <c r="A18" s="2">
        <v>202601</v>
      </c>
      <c r="B18" s="2">
        <v>1300</v>
      </c>
      <c r="C18" s="2">
        <v>6300</v>
      </c>
      <c r="D18" s="2" t="s">
        <v>54</v>
      </c>
      <c r="E18" s="2" t="s">
        <v>35</v>
      </c>
      <c r="F18" s="2" t="s">
        <v>492</v>
      </c>
      <c r="G18" s="2">
        <v>6.5449999999999999</v>
      </c>
      <c r="H18" s="2">
        <v>6.5449999999999999</v>
      </c>
      <c r="I18" s="2" t="s">
        <v>119</v>
      </c>
    </row>
    <row r="19" spans="1:9" x14ac:dyDescent="0.35">
      <c r="A19" s="2">
        <v>202601</v>
      </c>
      <c r="B19" s="2">
        <v>1300</v>
      </c>
      <c r="C19" s="2">
        <v>6050</v>
      </c>
      <c r="D19" s="2" t="s">
        <v>493</v>
      </c>
      <c r="E19" s="2" t="s">
        <v>35</v>
      </c>
      <c r="F19" s="2" t="s">
        <v>494</v>
      </c>
      <c r="G19" s="2">
        <v>2.8</v>
      </c>
      <c r="H19" s="2">
        <v>2.8</v>
      </c>
      <c r="I19" s="2" t="s">
        <v>119</v>
      </c>
    </row>
    <row r="20" spans="1:9" x14ac:dyDescent="0.35">
      <c r="A20" s="2">
        <v>202601</v>
      </c>
      <c r="B20" s="2">
        <v>1400</v>
      </c>
      <c r="C20" s="2">
        <v>3900</v>
      </c>
      <c r="D20" s="2" t="s">
        <v>31</v>
      </c>
      <c r="E20" s="2" t="s">
        <v>15</v>
      </c>
      <c r="F20" s="2" t="s">
        <v>485</v>
      </c>
      <c r="G20" s="2">
        <v>13.367000000000001</v>
      </c>
      <c r="H20" s="2">
        <v>-13.367000000000001</v>
      </c>
      <c r="I20" s="2" t="s">
        <v>119</v>
      </c>
    </row>
    <row r="21" spans="1:9" x14ac:dyDescent="0.35">
      <c r="A21" s="2">
        <v>202601</v>
      </c>
      <c r="B21" s="2">
        <v>1400</v>
      </c>
      <c r="C21" s="2">
        <v>3400</v>
      </c>
      <c r="D21" s="2" t="s">
        <v>486</v>
      </c>
      <c r="E21" s="2" t="s">
        <v>15</v>
      </c>
      <c r="F21" s="2" t="s">
        <v>487</v>
      </c>
      <c r="G21" s="2">
        <v>1.25</v>
      </c>
      <c r="H21" s="2">
        <v>-1.25</v>
      </c>
      <c r="I21" s="2" t="s">
        <v>119</v>
      </c>
    </row>
    <row r="22" spans="1:9" x14ac:dyDescent="0.35">
      <c r="A22" s="2">
        <v>202601</v>
      </c>
      <c r="B22" s="2">
        <v>1400</v>
      </c>
      <c r="C22" s="2">
        <v>3670</v>
      </c>
      <c r="D22" s="2" t="s">
        <v>488</v>
      </c>
      <c r="E22" s="2" t="s">
        <v>15</v>
      </c>
      <c r="F22" s="2" t="s">
        <v>489</v>
      </c>
      <c r="G22" s="2">
        <v>0.74199999999999999</v>
      </c>
      <c r="H22" s="2">
        <v>-0.74199999999999999</v>
      </c>
      <c r="I22" s="2" t="s">
        <v>119</v>
      </c>
    </row>
    <row r="23" spans="1:9" x14ac:dyDescent="0.35">
      <c r="A23" s="2">
        <v>202601</v>
      </c>
      <c r="B23" s="2">
        <v>1400</v>
      </c>
      <c r="C23" s="2">
        <v>5000</v>
      </c>
      <c r="D23" s="2" t="s">
        <v>490</v>
      </c>
      <c r="E23" s="2" t="s">
        <v>35</v>
      </c>
      <c r="F23" s="2" t="s">
        <v>491</v>
      </c>
      <c r="G23" s="2">
        <v>9.6859999999999999</v>
      </c>
      <c r="H23" s="2">
        <v>9.6859999999999999</v>
      </c>
      <c r="I23" s="2" t="s">
        <v>119</v>
      </c>
    </row>
    <row r="24" spans="1:9" x14ac:dyDescent="0.35">
      <c r="A24" s="2">
        <v>202601</v>
      </c>
      <c r="B24" s="2">
        <v>1400</v>
      </c>
      <c r="C24" s="2">
        <v>6300</v>
      </c>
      <c r="D24" s="2" t="s">
        <v>54</v>
      </c>
      <c r="E24" s="2" t="s">
        <v>35</v>
      </c>
      <c r="F24" s="2" t="s">
        <v>492</v>
      </c>
      <c r="G24" s="2">
        <v>3.7</v>
      </c>
      <c r="H24" s="2">
        <v>3.7</v>
      </c>
      <c r="I24" s="2" t="s">
        <v>119</v>
      </c>
    </row>
    <row r="25" spans="1:9" x14ac:dyDescent="0.35">
      <c r="A25" s="2">
        <v>202601</v>
      </c>
      <c r="B25" s="2">
        <v>1400</v>
      </c>
      <c r="C25" s="2">
        <v>6050</v>
      </c>
      <c r="D25" s="2" t="s">
        <v>493</v>
      </c>
      <c r="E25" s="2" t="s">
        <v>35</v>
      </c>
      <c r="F25" s="2" t="s">
        <v>494</v>
      </c>
      <c r="G25" s="2">
        <v>1.2</v>
      </c>
      <c r="H25" s="2">
        <v>1.2</v>
      </c>
      <c r="I25" s="2" t="s">
        <v>119</v>
      </c>
    </row>
    <row r="26" spans="1:9" x14ac:dyDescent="0.35">
      <c r="A26" s="2">
        <v>202601</v>
      </c>
      <c r="B26" s="2">
        <v>1500</v>
      </c>
      <c r="C26" s="2">
        <v>3900</v>
      </c>
      <c r="D26" s="2" t="s">
        <v>31</v>
      </c>
      <c r="E26" s="2" t="s">
        <v>15</v>
      </c>
      <c r="F26" s="2" t="s">
        <v>485</v>
      </c>
      <c r="G26" s="2">
        <v>10.282999999999999</v>
      </c>
      <c r="H26" s="2">
        <v>-10.282999999999999</v>
      </c>
      <c r="I26" s="2" t="s">
        <v>119</v>
      </c>
    </row>
    <row r="27" spans="1:9" x14ac:dyDescent="0.35">
      <c r="A27" s="2">
        <v>202601</v>
      </c>
      <c r="B27" s="2">
        <v>1500</v>
      </c>
      <c r="C27" s="2">
        <v>3400</v>
      </c>
      <c r="D27" s="2" t="s">
        <v>486</v>
      </c>
      <c r="E27" s="2" t="s">
        <v>15</v>
      </c>
      <c r="F27" s="2" t="s">
        <v>487</v>
      </c>
      <c r="G27" s="2">
        <v>0.83299999999999996</v>
      </c>
      <c r="H27" s="2">
        <v>-0.83299999999999996</v>
      </c>
      <c r="I27" s="2" t="s">
        <v>119</v>
      </c>
    </row>
    <row r="28" spans="1:9" x14ac:dyDescent="0.35">
      <c r="A28" s="2">
        <v>202601</v>
      </c>
      <c r="B28" s="2">
        <v>1500</v>
      </c>
      <c r="C28" s="2">
        <v>3670</v>
      </c>
      <c r="D28" s="2" t="s">
        <v>488</v>
      </c>
      <c r="E28" s="2" t="s">
        <v>15</v>
      </c>
      <c r="F28" s="2" t="s">
        <v>489</v>
      </c>
      <c r="G28" s="2">
        <v>0.49199999999999999</v>
      </c>
      <c r="H28" s="2">
        <v>-0.49199999999999999</v>
      </c>
      <c r="I28" s="2" t="s">
        <v>119</v>
      </c>
    </row>
    <row r="29" spans="1:9" x14ac:dyDescent="0.35">
      <c r="A29" s="2">
        <v>202601</v>
      </c>
      <c r="B29" s="2">
        <v>1500</v>
      </c>
      <c r="C29" s="2">
        <v>5000</v>
      </c>
      <c r="D29" s="2" t="s">
        <v>490</v>
      </c>
      <c r="E29" s="2" t="s">
        <v>35</v>
      </c>
      <c r="F29" s="2" t="s">
        <v>491</v>
      </c>
      <c r="G29" s="2">
        <v>7.452</v>
      </c>
      <c r="H29" s="2">
        <v>7.452</v>
      </c>
      <c r="I29" s="2" t="s">
        <v>119</v>
      </c>
    </row>
    <row r="30" spans="1:9" x14ac:dyDescent="0.35">
      <c r="A30" s="2">
        <v>202601</v>
      </c>
      <c r="B30" s="2">
        <v>1500</v>
      </c>
      <c r="C30" s="2">
        <v>6300</v>
      </c>
      <c r="D30" s="2" t="s">
        <v>54</v>
      </c>
      <c r="E30" s="2" t="s">
        <v>35</v>
      </c>
      <c r="F30" s="2" t="s">
        <v>492</v>
      </c>
      <c r="G30" s="2">
        <v>2.8460000000000001</v>
      </c>
      <c r="H30" s="2">
        <v>2.8460000000000001</v>
      </c>
      <c r="I30" s="2" t="s">
        <v>119</v>
      </c>
    </row>
    <row r="31" spans="1:9" x14ac:dyDescent="0.35">
      <c r="A31" s="2">
        <v>202601</v>
      </c>
      <c r="B31" s="2">
        <v>1500</v>
      </c>
      <c r="C31" s="2">
        <v>6050</v>
      </c>
      <c r="D31" s="2" t="s">
        <v>493</v>
      </c>
      <c r="E31" s="2" t="s">
        <v>35</v>
      </c>
      <c r="F31" s="2" t="s">
        <v>494</v>
      </c>
      <c r="G31" s="2">
        <v>0.93300000000000005</v>
      </c>
      <c r="H31" s="2">
        <v>0.93300000000000005</v>
      </c>
      <c r="I31" s="2" t="s">
        <v>119</v>
      </c>
    </row>
    <row r="32" spans="1:9" x14ac:dyDescent="0.35">
      <c r="A32" s="2">
        <v>202601</v>
      </c>
      <c r="B32" s="2">
        <v>1900</v>
      </c>
      <c r="C32" s="2">
        <v>3900</v>
      </c>
      <c r="D32" s="2" t="s">
        <v>31</v>
      </c>
      <c r="E32" s="2" t="s">
        <v>15</v>
      </c>
      <c r="F32" s="2" t="s">
        <v>485</v>
      </c>
      <c r="G32" s="2">
        <v>7.2</v>
      </c>
      <c r="H32" s="2">
        <v>-7.2</v>
      </c>
      <c r="I32" s="2" t="s">
        <v>119</v>
      </c>
    </row>
    <row r="33" spans="1:9" x14ac:dyDescent="0.35">
      <c r="A33" s="2">
        <v>202601</v>
      </c>
      <c r="B33" s="2">
        <v>1900</v>
      </c>
      <c r="C33" s="2">
        <v>3400</v>
      </c>
      <c r="D33" s="2" t="s">
        <v>486</v>
      </c>
      <c r="E33" s="2" t="s">
        <v>15</v>
      </c>
      <c r="F33" s="2" t="s">
        <v>487</v>
      </c>
      <c r="G33" s="2">
        <v>0.25</v>
      </c>
      <c r="H33" s="2">
        <v>-0.25</v>
      </c>
      <c r="I33" s="2" t="s">
        <v>119</v>
      </c>
    </row>
    <row r="34" spans="1:9" x14ac:dyDescent="0.35">
      <c r="A34" s="2">
        <v>202601</v>
      </c>
      <c r="B34" s="2">
        <v>1900</v>
      </c>
      <c r="C34" s="2">
        <v>3670</v>
      </c>
      <c r="D34" s="2" t="s">
        <v>488</v>
      </c>
      <c r="E34" s="2" t="s">
        <v>15</v>
      </c>
      <c r="F34" s="2" t="s">
        <v>489</v>
      </c>
      <c r="G34" s="2">
        <v>1.583</v>
      </c>
      <c r="H34" s="2">
        <v>-1.583</v>
      </c>
      <c r="I34" s="2" t="s">
        <v>119</v>
      </c>
    </row>
    <row r="35" spans="1:9" x14ac:dyDescent="0.35">
      <c r="A35" s="2">
        <v>202601</v>
      </c>
      <c r="B35" s="2">
        <v>1900</v>
      </c>
      <c r="C35" s="2">
        <v>5000</v>
      </c>
      <c r="D35" s="2" t="s">
        <v>490</v>
      </c>
      <c r="E35" s="2" t="s">
        <v>35</v>
      </c>
      <c r="F35" s="2" t="s">
        <v>491</v>
      </c>
      <c r="G35" s="2">
        <v>5.96</v>
      </c>
      <c r="H35" s="2">
        <v>5.96</v>
      </c>
      <c r="I35" s="2" t="s">
        <v>119</v>
      </c>
    </row>
    <row r="36" spans="1:9" x14ac:dyDescent="0.35">
      <c r="A36" s="2">
        <v>202601</v>
      </c>
      <c r="B36" s="2">
        <v>1900</v>
      </c>
      <c r="C36" s="2">
        <v>6300</v>
      </c>
      <c r="D36" s="2" t="s">
        <v>54</v>
      </c>
      <c r="E36" s="2" t="s">
        <v>35</v>
      </c>
      <c r="F36" s="2" t="s">
        <v>492</v>
      </c>
      <c r="G36" s="2">
        <v>2.2770000000000001</v>
      </c>
      <c r="H36" s="2">
        <v>2.2770000000000001</v>
      </c>
      <c r="I36" s="2" t="s">
        <v>119</v>
      </c>
    </row>
    <row r="37" spans="1:9" x14ac:dyDescent="0.35">
      <c r="A37" s="2">
        <v>202601</v>
      </c>
      <c r="B37" s="2">
        <v>1900</v>
      </c>
      <c r="C37" s="2">
        <v>6050</v>
      </c>
      <c r="D37" s="2" t="s">
        <v>493</v>
      </c>
      <c r="E37" s="2" t="s">
        <v>35</v>
      </c>
      <c r="F37" s="2" t="s">
        <v>494</v>
      </c>
      <c r="G37" s="2">
        <v>1.2</v>
      </c>
      <c r="H37" s="2">
        <v>1.2</v>
      </c>
      <c r="I37" s="2" t="s">
        <v>119</v>
      </c>
    </row>
    <row r="38" spans="1:9" x14ac:dyDescent="0.35">
      <c r="A38" s="2">
        <v>202602</v>
      </c>
      <c r="B38" s="2">
        <v>1100</v>
      </c>
      <c r="C38" s="2">
        <v>3900</v>
      </c>
      <c r="D38" s="2" t="s">
        <v>31</v>
      </c>
      <c r="E38" s="2" t="s">
        <v>15</v>
      </c>
      <c r="F38" s="2" t="s">
        <v>485</v>
      </c>
      <c r="G38" s="2">
        <v>20.567</v>
      </c>
      <c r="H38" s="2">
        <v>-20.567</v>
      </c>
      <c r="I38" s="2" t="s">
        <v>119</v>
      </c>
    </row>
    <row r="39" spans="1:9" x14ac:dyDescent="0.35">
      <c r="A39" s="2">
        <v>202602</v>
      </c>
      <c r="B39" s="2">
        <v>1100</v>
      </c>
      <c r="C39" s="2">
        <v>3400</v>
      </c>
      <c r="D39" s="2" t="s">
        <v>486</v>
      </c>
      <c r="E39" s="2" t="s">
        <v>15</v>
      </c>
      <c r="F39" s="2" t="s">
        <v>487</v>
      </c>
      <c r="G39" s="2">
        <v>1.833</v>
      </c>
      <c r="H39" s="2">
        <v>-1.833</v>
      </c>
      <c r="I39" s="2" t="s">
        <v>119</v>
      </c>
    </row>
    <row r="40" spans="1:9" x14ac:dyDescent="0.35">
      <c r="A40" s="2">
        <v>202602</v>
      </c>
      <c r="B40" s="2">
        <v>1100</v>
      </c>
      <c r="C40" s="2">
        <v>3670</v>
      </c>
      <c r="D40" s="2" t="s">
        <v>488</v>
      </c>
      <c r="E40" s="2" t="s">
        <v>15</v>
      </c>
      <c r="F40" s="2" t="s">
        <v>489</v>
      </c>
      <c r="G40" s="2">
        <v>0.65</v>
      </c>
      <c r="H40" s="2">
        <v>-0.65</v>
      </c>
      <c r="I40" s="2" t="s">
        <v>119</v>
      </c>
    </row>
    <row r="41" spans="1:9" x14ac:dyDescent="0.35">
      <c r="A41" s="2">
        <v>202602</v>
      </c>
      <c r="B41" s="2">
        <v>1100</v>
      </c>
      <c r="C41" s="2">
        <v>5000</v>
      </c>
      <c r="D41" s="2" t="s">
        <v>490</v>
      </c>
      <c r="E41" s="2" t="s">
        <v>35</v>
      </c>
      <c r="F41" s="2" t="s">
        <v>491</v>
      </c>
      <c r="G41" s="2">
        <v>14.162000000000001</v>
      </c>
      <c r="H41" s="2">
        <v>14.162000000000001</v>
      </c>
      <c r="I41" s="2" t="s">
        <v>119</v>
      </c>
    </row>
    <row r="42" spans="1:9" x14ac:dyDescent="0.35">
      <c r="A42" s="2">
        <v>202602</v>
      </c>
      <c r="B42" s="2">
        <v>1100</v>
      </c>
      <c r="C42" s="2">
        <v>6300</v>
      </c>
      <c r="D42" s="2" t="s">
        <v>54</v>
      </c>
      <c r="E42" s="2" t="s">
        <v>35</v>
      </c>
      <c r="F42" s="2" t="s">
        <v>492</v>
      </c>
      <c r="G42" s="2">
        <v>5.407</v>
      </c>
      <c r="H42" s="2">
        <v>5.407</v>
      </c>
      <c r="I42" s="2" t="s">
        <v>119</v>
      </c>
    </row>
    <row r="43" spans="1:9" x14ac:dyDescent="0.35">
      <c r="A43" s="2">
        <v>202602</v>
      </c>
      <c r="B43" s="2">
        <v>1100</v>
      </c>
      <c r="C43" s="2">
        <v>6050</v>
      </c>
      <c r="D43" s="2" t="s">
        <v>493</v>
      </c>
      <c r="E43" s="2" t="s">
        <v>35</v>
      </c>
      <c r="F43" s="2" t="s">
        <v>494</v>
      </c>
      <c r="G43" s="2">
        <v>2.5329999999999999</v>
      </c>
      <c r="H43" s="2">
        <v>2.5329999999999999</v>
      </c>
      <c r="I43" s="2" t="s">
        <v>119</v>
      </c>
    </row>
    <row r="44" spans="1:9" x14ac:dyDescent="0.35">
      <c r="A44" s="2">
        <v>202602</v>
      </c>
      <c r="B44" s="2">
        <v>1200</v>
      </c>
      <c r="C44" s="2">
        <v>3900</v>
      </c>
      <c r="D44" s="2" t="s">
        <v>31</v>
      </c>
      <c r="E44" s="2" t="s">
        <v>15</v>
      </c>
      <c r="F44" s="2" t="s">
        <v>485</v>
      </c>
      <c r="G44" s="2">
        <v>27.766999999999999</v>
      </c>
      <c r="H44" s="2">
        <v>-27.766999999999999</v>
      </c>
      <c r="I44" s="2" t="s">
        <v>119</v>
      </c>
    </row>
    <row r="45" spans="1:9" x14ac:dyDescent="0.35">
      <c r="A45" s="2">
        <v>202602</v>
      </c>
      <c r="B45" s="2">
        <v>1200</v>
      </c>
      <c r="C45" s="2">
        <v>3400</v>
      </c>
      <c r="D45" s="2" t="s">
        <v>486</v>
      </c>
      <c r="E45" s="2" t="s">
        <v>15</v>
      </c>
      <c r="F45" s="2" t="s">
        <v>487</v>
      </c>
      <c r="G45" s="2">
        <v>4</v>
      </c>
      <c r="H45" s="2">
        <v>-4</v>
      </c>
      <c r="I45" s="2" t="s">
        <v>119</v>
      </c>
    </row>
    <row r="46" spans="1:9" x14ac:dyDescent="0.35">
      <c r="A46" s="2">
        <v>202602</v>
      </c>
      <c r="B46" s="2">
        <v>1200</v>
      </c>
      <c r="C46" s="2">
        <v>3670</v>
      </c>
      <c r="D46" s="2" t="s">
        <v>488</v>
      </c>
      <c r="E46" s="2" t="s">
        <v>15</v>
      </c>
      <c r="F46" s="2" t="s">
        <v>489</v>
      </c>
      <c r="G46" s="2">
        <v>1.633</v>
      </c>
      <c r="H46" s="2">
        <v>-1.633</v>
      </c>
      <c r="I46" s="2" t="s">
        <v>119</v>
      </c>
    </row>
    <row r="47" spans="1:9" x14ac:dyDescent="0.35">
      <c r="A47" s="2">
        <v>202602</v>
      </c>
      <c r="B47" s="2">
        <v>1200</v>
      </c>
      <c r="C47" s="2">
        <v>5000</v>
      </c>
      <c r="D47" s="2" t="s">
        <v>490</v>
      </c>
      <c r="E47" s="2" t="s">
        <v>35</v>
      </c>
      <c r="F47" s="2" t="s">
        <v>491</v>
      </c>
      <c r="G47" s="2">
        <v>20.122</v>
      </c>
      <c r="H47" s="2">
        <v>20.122</v>
      </c>
      <c r="I47" s="2" t="s">
        <v>119</v>
      </c>
    </row>
    <row r="48" spans="1:9" x14ac:dyDescent="0.35">
      <c r="A48" s="2">
        <v>202602</v>
      </c>
      <c r="B48" s="2">
        <v>1200</v>
      </c>
      <c r="C48" s="2">
        <v>6300</v>
      </c>
      <c r="D48" s="2" t="s">
        <v>54</v>
      </c>
      <c r="E48" s="2" t="s">
        <v>35</v>
      </c>
      <c r="F48" s="2" t="s">
        <v>492</v>
      </c>
      <c r="G48" s="2">
        <v>7.6840000000000002</v>
      </c>
      <c r="H48" s="2">
        <v>7.6840000000000002</v>
      </c>
      <c r="I48" s="2" t="s">
        <v>119</v>
      </c>
    </row>
    <row r="49" spans="1:9" x14ac:dyDescent="0.35">
      <c r="A49" s="2">
        <v>202602</v>
      </c>
      <c r="B49" s="2">
        <v>1200</v>
      </c>
      <c r="C49" s="2">
        <v>6050</v>
      </c>
      <c r="D49" s="2" t="s">
        <v>493</v>
      </c>
      <c r="E49" s="2" t="s">
        <v>35</v>
      </c>
      <c r="F49" s="2" t="s">
        <v>494</v>
      </c>
      <c r="G49" s="2">
        <v>4.6669999999999998</v>
      </c>
      <c r="H49" s="2">
        <v>4.6669999999999998</v>
      </c>
      <c r="I49" s="2" t="s">
        <v>119</v>
      </c>
    </row>
    <row r="50" spans="1:9" x14ac:dyDescent="0.35">
      <c r="A50" s="2">
        <v>202602</v>
      </c>
      <c r="B50" s="2">
        <v>1300</v>
      </c>
      <c r="C50" s="2">
        <v>3900</v>
      </c>
      <c r="D50" s="2" t="s">
        <v>31</v>
      </c>
      <c r="E50" s="2" t="s">
        <v>15</v>
      </c>
      <c r="F50" s="2" t="s">
        <v>485</v>
      </c>
      <c r="G50" s="2">
        <v>23.65</v>
      </c>
      <c r="H50" s="2">
        <v>-23.65</v>
      </c>
      <c r="I50" s="2" t="s">
        <v>119</v>
      </c>
    </row>
    <row r="51" spans="1:9" x14ac:dyDescent="0.35">
      <c r="A51" s="2">
        <v>202602</v>
      </c>
      <c r="B51" s="2">
        <v>1300</v>
      </c>
      <c r="C51" s="2">
        <v>3400</v>
      </c>
      <c r="D51" s="2" t="s">
        <v>486</v>
      </c>
      <c r="E51" s="2" t="s">
        <v>15</v>
      </c>
      <c r="F51" s="2" t="s">
        <v>487</v>
      </c>
      <c r="G51" s="2">
        <v>2.0830000000000002</v>
      </c>
      <c r="H51" s="2">
        <v>-2.0830000000000002</v>
      </c>
      <c r="I51" s="2" t="s">
        <v>119</v>
      </c>
    </row>
    <row r="52" spans="1:9" x14ac:dyDescent="0.35">
      <c r="A52" s="2">
        <v>202602</v>
      </c>
      <c r="B52" s="2">
        <v>1300</v>
      </c>
      <c r="C52" s="2">
        <v>3670</v>
      </c>
      <c r="D52" s="2" t="s">
        <v>488</v>
      </c>
      <c r="E52" s="2" t="s">
        <v>15</v>
      </c>
      <c r="F52" s="2" t="s">
        <v>489</v>
      </c>
      <c r="G52" s="2">
        <v>1.2330000000000001</v>
      </c>
      <c r="H52" s="2">
        <v>-1.2330000000000001</v>
      </c>
      <c r="I52" s="2" t="s">
        <v>119</v>
      </c>
    </row>
    <row r="53" spans="1:9" x14ac:dyDescent="0.35">
      <c r="A53" s="2">
        <v>202602</v>
      </c>
      <c r="B53" s="2">
        <v>1300</v>
      </c>
      <c r="C53" s="2">
        <v>5000</v>
      </c>
      <c r="D53" s="2" t="s">
        <v>490</v>
      </c>
      <c r="E53" s="2" t="s">
        <v>35</v>
      </c>
      <c r="F53" s="2" t="s">
        <v>491</v>
      </c>
      <c r="G53" s="2">
        <v>17.138000000000002</v>
      </c>
      <c r="H53" s="2">
        <v>17.138000000000002</v>
      </c>
      <c r="I53" s="2" t="s">
        <v>119</v>
      </c>
    </row>
    <row r="54" spans="1:9" x14ac:dyDescent="0.35">
      <c r="A54" s="2">
        <v>202602</v>
      </c>
      <c r="B54" s="2">
        <v>1300</v>
      </c>
      <c r="C54" s="2">
        <v>6300</v>
      </c>
      <c r="D54" s="2" t="s">
        <v>54</v>
      </c>
      <c r="E54" s="2" t="s">
        <v>35</v>
      </c>
      <c r="F54" s="2" t="s">
        <v>492</v>
      </c>
      <c r="G54" s="2">
        <v>6.5449999999999999</v>
      </c>
      <c r="H54" s="2">
        <v>6.5449999999999999</v>
      </c>
      <c r="I54" s="2" t="s">
        <v>119</v>
      </c>
    </row>
    <row r="55" spans="1:9" x14ac:dyDescent="0.35">
      <c r="A55" s="2">
        <v>202602</v>
      </c>
      <c r="B55" s="2">
        <v>1300</v>
      </c>
      <c r="C55" s="2">
        <v>6050</v>
      </c>
      <c r="D55" s="2" t="s">
        <v>493</v>
      </c>
      <c r="E55" s="2" t="s">
        <v>35</v>
      </c>
      <c r="F55" s="2" t="s">
        <v>494</v>
      </c>
      <c r="G55" s="2">
        <v>2.8</v>
      </c>
      <c r="H55" s="2">
        <v>2.8</v>
      </c>
      <c r="I55" s="2" t="s">
        <v>119</v>
      </c>
    </row>
    <row r="56" spans="1:9" x14ac:dyDescent="0.35">
      <c r="A56" s="2">
        <v>202602</v>
      </c>
      <c r="B56" s="2">
        <v>1400</v>
      </c>
      <c r="C56" s="2">
        <v>3900</v>
      </c>
      <c r="D56" s="2" t="s">
        <v>31</v>
      </c>
      <c r="E56" s="2" t="s">
        <v>15</v>
      </c>
      <c r="F56" s="2" t="s">
        <v>485</v>
      </c>
      <c r="G56" s="2">
        <v>13.367000000000001</v>
      </c>
      <c r="H56" s="2">
        <v>-13.367000000000001</v>
      </c>
      <c r="I56" s="2" t="s">
        <v>119</v>
      </c>
    </row>
    <row r="57" spans="1:9" x14ac:dyDescent="0.35">
      <c r="A57" s="2">
        <v>202602</v>
      </c>
      <c r="B57" s="2">
        <v>1400</v>
      </c>
      <c r="C57" s="2">
        <v>3400</v>
      </c>
      <c r="D57" s="2" t="s">
        <v>486</v>
      </c>
      <c r="E57" s="2" t="s">
        <v>15</v>
      </c>
      <c r="F57" s="2" t="s">
        <v>487</v>
      </c>
      <c r="G57" s="2">
        <v>1.25</v>
      </c>
      <c r="H57" s="2">
        <v>-1.25</v>
      </c>
      <c r="I57" s="2" t="s">
        <v>119</v>
      </c>
    </row>
    <row r="58" spans="1:9" x14ac:dyDescent="0.35">
      <c r="A58" s="2">
        <v>202602</v>
      </c>
      <c r="B58" s="2">
        <v>1400</v>
      </c>
      <c r="C58" s="2">
        <v>3670</v>
      </c>
      <c r="D58" s="2" t="s">
        <v>488</v>
      </c>
      <c r="E58" s="2" t="s">
        <v>15</v>
      </c>
      <c r="F58" s="2" t="s">
        <v>489</v>
      </c>
      <c r="G58" s="2">
        <v>0.74199999999999999</v>
      </c>
      <c r="H58" s="2">
        <v>-0.74199999999999999</v>
      </c>
      <c r="I58" s="2" t="s">
        <v>119</v>
      </c>
    </row>
    <row r="59" spans="1:9" x14ac:dyDescent="0.35">
      <c r="A59" s="2">
        <v>202602</v>
      </c>
      <c r="B59" s="2">
        <v>1400</v>
      </c>
      <c r="C59" s="2">
        <v>5000</v>
      </c>
      <c r="D59" s="2" t="s">
        <v>490</v>
      </c>
      <c r="E59" s="2" t="s">
        <v>35</v>
      </c>
      <c r="F59" s="2" t="s">
        <v>491</v>
      </c>
      <c r="G59" s="2">
        <v>9.6859999999999999</v>
      </c>
      <c r="H59" s="2">
        <v>9.6859999999999999</v>
      </c>
      <c r="I59" s="2" t="s">
        <v>119</v>
      </c>
    </row>
    <row r="60" spans="1:9" x14ac:dyDescent="0.35">
      <c r="A60" s="2">
        <v>202602</v>
      </c>
      <c r="B60" s="2">
        <v>1400</v>
      </c>
      <c r="C60" s="2">
        <v>6300</v>
      </c>
      <c r="D60" s="2" t="s">
        <v>54</v>
      </c>
      <c r="E60" s="2" t="s">
        <v>35</v>
      </c>
      <c r="F60" s="2" t="s">
        <v>492</v>
      </c>
      <c r="G60" s="2">
        <v>3.7</v>
      </c>
      <c r="H60" s="2">
        <v>3.7</v>
      </c>
      <c r="I60" s="2" t="s">
        <v>119</v>
      </c>
    </row>
    <row r="61" spans="1:9" x14ac:dyDescent="0.35">
      <c r="A61" s="2">
        <v>202602</v>
      </c>
      <c r="B61" s="2">
        <v>1400</v>
      </c>
      <c r="C61" s="2">
        <v>6050</v>
      </c>
      <c r="D61" s="2" t="s">
        <v>493</v>
      </c>
      <c r="E61" s="2" t="s">
        <v>35</v>
      </c>
      <c r="F61" s="2" t="s">
        <v>494</v>
      </c>
      <c r="G61" s="2">
        <v>1.2</v>
      </c>
      <c r="H61" s="2">
        <v>1.2</v>
      </c>
      <c r="I61" s="2" t="s">
        <v>119</v>
      </c>
    </row>
    <row r="62" spans="1:9" x14ac:dyDescent="0.35">
      <c r="A62" s="2">
        <v>202602</v>
      </c>
      <c r="B62" s="2">
        <v>1500</v>
      </c>
      <c r="C62" s="2">
        <v>3900</v>
      </c>
      <c r="D62" s="2" t="s">
        <v>31</v>
      </c>
      <c r="E62" s="2" t="s">
        <v>15</v>
      </c>
      <c r="F62" s="2" t="s">
        <v>485</v>
      </c>
      <c r="G62" s="2">
        <v>10.282999999999999</v>
      </c>
      <c r="H62" s="2">
        <v>-10.282999999999999</v>
      </c>
      <c r="I62" s="2" t="s">
        <v>119</v>
      </c>
    </row>
    <row r="63" spans="1:9" x14ac:dyDescent="0.35">
      <c r="A63" s="2">
        <v>202602</v>
      </c>
      <c r="B63" s="2">
        <v>1500</v>
      </c>
      <c r="C63" s="2">
        <v>3400</v>
      </c>
      <c r="D63" s="2" t="s">
        <v>486</v>
      </c>
      <c r="E63" s="2" t="s">
        <v>15</v>
      </c>
      <c r="F63" s="2" t="s">
        <v>487</v>
      </c>
      <c r="G63" s="2">
        <v>0.83299999999999996</v>
      </c>
      <c r="H63" s="2">
        <v>-0.83299999999999996</v>
      </c>
      <c r="I63" s="2" t="s">
        <v>119</v>
      </c>
    </row>
    <row r="64" spans="1:9" x14ac:dyDescent="0.35">
      <c r="A64" s="2">
        <v>202602</v>
      </c>
      <c r="B64" s="2">
        <v>1500</v>
      </c>
      <c r="C64" s="2">
        <v>3670</v>
      </c>
      <c r="D64" s="2" t="s">
        <v>488</v>
      </c>
      <c r="E64" s="2" t="s">
        <v>15</v>
      </c>
      <c r="F64" s="2" t="s">
        <v>489</v>
      </c>
      <c r="G64" s="2">
        <v>0.49199999999999999</v>
      </c>
      <c r="H64" s="2">
        <v>-0.49199999999999999</v>
      </c>
      <c r="I64" s="2" t="s">
        <v>119</v>
      </c>
    </row>
    <row r="65" spans="1:9" x14ac:dyDescent="0.35">
      <c r="A65" s="2">
        <v>202602</v>
      </c>
      <c r="B65" s="2">
        <v>1500</v>
      </c>
      <c r="C65" s="2">
        <v>5000</v>
      </c>
      <c r="D65" s="2" t="s">
        <v>490</v>
      </c>
      <c r="E65" s="2" t="s">
        <v>35</v>
      </c>
      <c r="F65" s="2" t="s">
        <v>491</v>
      </c>
      <c r="G65" s="2">
        <v>7.452</v>
      </c>
      <c r="H65" s="2">
        <v>7.452</v>
      </c>
      <c r="I65" s="2" t="s">
        <v>119</v>
      </c>
    </row>
    <row r="66" spans="1:9" x14ac:dyDescent="0.35">
      <c r="A66" s="2">
        <v>202602</v>
      </c>
      <c r="B66" s="2">
        <v>1500</v>
      </c>
      <c r="C66" s="2">
        <v>6300</v>
      </c>
      <c r="D66" s="2" t="s">
        <v>54</v>
      </c>
      <c r="E66" s="2" t="s">
        <v>35</v>
      </c>
      <c r="F66" s="2" t="s">
        <v>492</v>
      </c>
      <c r="G66" s="2">
        <v>2.8460000000000001</v>
      </c>
      <c r="H66" s="2">
        <v>2.8460000000000001</v>
      </c>
      <c r="I66" s="2" t="s">
        <v>119</v>
      </c>
    </row>
    <row r="67" spans="1:9" x14ac:dyDescent="0.35">
      <c r="A67" s="2">
        <v>202602</v>
      </c>
      <c r="B67" s="2">
        <v>1500</v>
      </c>
      <c r="C67" s="2">
        <v>6050</v>
      </c>
      <c r="D67" s="2" t="s">
        <v>493</v>
      </c>
      <c r="E67" s="2" t="s">
        <v>35</v>
      </c>
      <c r="F67" s="2" t="s">
        <v>494</v>
      </c>
      <c r="G67" s="2">
        <v>0.93300000000000005</v>
      </c>
      <c r="H67" s="2">
        <v>0.93300000000000005</v>
      </c>
      <c r="I67" s="2" t="s">
        <v>119</v>
      </c>
    </row>
    <row r="68" spans="1:9" x14ac:dyDescent="0.35">
      <c r="A68" s="2">
        <v>202602</v>
      </c>
      <c r="B68" s="2">
        <v>1900</v>
      </c>
      <c r="C68" s="2">
        <v>3900</v>
      </c>
      <c r="D68" s="2" t="s">
        <v>31</v>
      </c>
      <c r="E68" s="2" t="s">
        <v>15</v>
      </c>
      <c r="F68" s="2" t="s">
        <v>485</v>
      </c>
      <c r="G68" s="2">
        <v>7.2</v>
      </c>
      <c r="H68" s="2">
        <v>-7.2</v>
      </c>
      <c r="I68" s="2" t="s">
        <v>119</v>
      </c>
    </row>
    <row r="69" spans="1:9" x14ac:dyDescent="0.35">
      <c r="A69" s="2">
        <v>202602</v>
      </c>
      <c r="B69" s="2">
        <v>1900</v>
      </c>
      <c r="C69" s="2">
        <v>3400</v>
      </c>
      <c r="D69" s="2" t="s">
        <v>486</v>
      </c>
      <c r="E69" s="2" t="s">
        <v>15</v>
      </c>
      <c r="F69" s="2" t="s">
        <v>487</v>
      </c>
      <c r="G69" s="2">
        <v>0.25</v>
      </c>
      <c r="H69" s="2">
        <v>-0.25</v>
      </c>
      <c r="I69" s="2" t="s">
        <v>119</v>
      </c>
    </row>
    <row r="70" spans="1:9" x14ac:dyDescent="0.35">
      <c r="A70" s="2">
        <v>202602</v>
      </c>
      <c r="B70" s="2">
        <v>1900</v>
      </c>
      <c r="C70" s="2">
        <v>3670</v>
      </c>
      <c r="D70" s="2" t="s">
        <v>488</v>
      </c>
      <c r="E70" s="2" t="s">
        <v>15</v>
      </c>
      <c r="F70" s="2" t="s">
        <v>489</v>
      </c>
      <c r="G70" s="2">
        <v>1.583</v>
      </c>
      <c r="H70" s="2">
        <v>-1.583</v>
      </c>
      <c r="I70" s="2" t="s">
        <v>119</v>
      </c>
    </row>
    <row r="71" spans="1:9" x14ac:dyDescent="0.35">
      <c r="A71" s="2">
        <v>202602</v>
      </c>
      <c r="B71" s="2">
        <v>1900</v>
      </c>
      <c r="C71" s="2">
        <v>5000</v>
      </c>
      <c r="D71" s="2" t="s">
        <v>490</v>
      </c>
      <c r="E71" s="2" t="s">
        <v>35</v>
      </c>
      <c r="F71" s="2" t="s">
        <v>491</v>
      </c>
      <c r="G71" s="2">
        <v>5.96</v>
      </c>
      <c r="H71" s="2">
        <v>5.96</v>
      </c>
      <c r="I71" s="2" t="s">
        <v>119</v>
      </c>
    </row>
    <row r="72" spans="1:9" x14ac:dyDescent="0.35">
      <c r="A72" s="2">
        <v>202602</v>
      </c>
      <c r="B72" s="2">
        <v>1900</v>
      </c>
      <c r="C72" s="2">
        <v>6300</v>
      </c>
      <c r="D72" s="2" t="s">
        <v>54</v>
      </c>
      <c r="E72" s="2" t="s">
        <v>35</v>
      </c>
      <c r="F72" s="2" t="s">
        <v>492</v>
      </c>
      <c r="G72" s="2">
        <v>2.2770000000000001</v>
      </c>
      <c r="H72" s="2">
        <v>2.2770000000000001</v>
      </c>
      <c r="I72" s="2" t="s">
        <v>119</v>
      </c>
    </row>
    <row r="73" spans="1:9" x14ac:dyDescent="0.35">
      <c r="A73" s="2">
        <v>202602</v>
      </c>
      <c r="B73" s="2">
        <v>1900</v>
      </c>
      <c r="C73" s="2">
        <v>6050</v>
      </c>
      <c r="D73" s="2" t="s">
        <v>493</v>
      </c>
      <c r="E73" s="2" t="s">
        <v>35</v>
      </c>
      <c r="F73" s="2" t="s">
        <v>494</v>
      </c>
      <c r="G73" s="2">
        <v>1.2</v>
      </c>
      <c r="H73" s="2">
        <v>1.2</v>
      </c>
      <c r="I73" s="2" t="s">
        <v>119</v>
      </c>
    </row>
    <row r="74" spans="1:9" x14ac:dyDescent="0.35">
      <c r="A74" s="2">
        <v>202603</v>
      </c>
      <c r="B74" s="2">
        <v>1100</v>
      </c>
      <c r="C74" s="2">
        <v>3900</v>
      </c>
      <c r="D74" s="2" t="s">
        <v>31</v>
      </c>
      <c r="E74" s="2" t="s">
        <v>15</v>
      </c>
      <c r="F74" s="2" t="s">
        <v>485</v>
      </c>
      <c r="G74" s="2">
        <v>20.567</v>
      </c>
      <c r="H74" s="2">
        <v>-20.567</v>
      </c>
      <c r="I74" s="2" t="s">
        <v>119</v>
      </c>
    </row>
    <row r="75" spans="1:9" x14ac:dyDescent="0.35">
      <c r="A75" s="2">
        <v>202603</v>
      </c>
      <c r="B75" s="2">
        <v>1100</v>
      </c>
      <c r="C75" s="2">
        <v>3400</v>
      </c>
      <c r="D75" s="2" t="s">
        <v>486</v>
      </c>
      <c r="E75" s="2" t="s">
        <v>15</v>
      </c>
      <c r="F75" s="2" t="s">
        <v>487</v>
      </c>
      <c r="G75" s="2">
        <v>1.833</v>
      </c>
      <c r="H75" s="2">
        <v>-1.833</v>
      </c>
      <c r="I75" s="2" t="s">
        <v>119</v>
      </c>
    </row>
    <row r="76" spans="1:9" x14ac:dyDescent="0.35">
      <c r="A76" s="2">
        <v>202603</v>
      </c>
      <c r="B76" s="2">
        <v>1100</v>
      </c>
      <c r="C76" s="2">
        <v>3670</v>
      </c>
      <c r="D76" s="2" t="s">
        <v>488</v>
      </c>
      <c r="E76" s="2" t="s">
        <v>15</v>
      </c>
      <c r="F76" s="2" t="s">
        <v>489</v>
      </c>
      <c r="G76" s="2">
        <v>0.65</v>
      </c>
      <c r="H76" s="2">
        <v>-0.65</v>
      </c>
      <c r="I76" s="2" t="s">
        <v>119</v>
      </c>
    </row>
    <row r="77" spans="1:9" x14ac:dyDescent="0.35">
      <c r="A77" s="2">
        <v>202603</v>
      </c>
      <c r="B77" s="2">
        <v>1100</v>
      </c>
      <c r="C77" s="2">
        <v>5000</v>
      </c>
      <c r="D77" s="2" t="s">
        <v>490</v>
      </c>
      <c r="E77" s="2" t="s">
        <v>35</v>
      </c>
      <c r="F77" s="2" t="s">
        <v>491</v>
      </c>
      <c r="G77" s="2">
        <v>14.162000000000001</v>
      </c>
      <c r="H77" s="2">
        <v>14.162000000000001</v>
      </c>
      <c r="I77" s="2" t="s">
        <v>119</v>
      </c>
    </row>
    <row r="78" spans="1:9" x14ac:dyDescent="0.35">
      <c r="A78" s="2">
        <v>202603</v>
      </c>
      <c r="B78" s="2">
        <v>1100</v>
      </c>
      <c r="C78" s="2">
        <v>6300</v>
      </c>
      <c r="D78" s="2" t="s">
        <v>54</v>
      </c>
      <c r="E78" s="2" t="s">
        <v>35</v>
      </c>
      <c r="F78" s="2" t="s">
        <v>492</v>
      </c>
      <c r="G78" s="2">
        <v>5.407</v>
      </c>
      <c r="H78" s="2">
        <v>5.407</v>
      </c>
      <c r="I78" s="2" t="s">
        <v>119</v>
      </c>
    </row>
    <row r="79" spans="1:9" x14ac:dyDescent="0.35">
      <c r="A79" s="2">
        <v>202603</v>
      </c>
      <c r="B79" s="2">
        <v>1100</v>
      </c>
      <c r="C79" s="2">
        <v>6050</v>
      </c>
      <c r="D79" s="2" t="s">
        <v>493</v>
      </c>
      <c r="E79" s="2" t="s">
        <v>35</v>
      </c>
      <c r="F79" s="2" t="s">
        <v>494</v>
      </c>
      <c r="G79" s="2">
        <v>2.5329999999999999</v>
      </c>
      <c r="H79" s="2">
        <v>2.5329999999999999</v>
      </c>
      <c r="I79" s="2" t="s">
        <v>119</v>
      </c>
    </row>
    <row r="80" spans="1:9" x14ac:dyDescent="0.35">
      <c r="A80" s="2">
        <v>202603</v>
      </c>
      <c r="B80" s="2">
        <v>1200</v>
      </c>
      <c r="C80" s="2">
        <v>3900</v>
      </c>
      <c r="D80" s="2" t="s">
        <v>31</v>
      </c>
      <c r="E80" s="2" t="s">
        <v>15</v>
      </c>
      <c r="F80" s="2" t="s">
        <v>485</v>
      </c>
      <c r="G80" s="2">
        <v>27.766999999999999</v>
      </c>
      <c r="H80" s="2">
        <v>-27.766999999999999</v>
      </c>
      <c r="I80" s="2" t="s">
        <v>119</v>
      </c>
    </row>
    <row r="81" spans="1:9" x14ac:dyDescent="0.35">
      <c r="A81" s="2">
        <v>202603</v>
      </c>
      <c r="B81" s="2">
        <v>1200</v>
      </c>
      <c r="C81" s="2">
        <v>3400</v>
      </c>
      <c r="D81" s="2" t="s">
        <v>486</v>
      </c>
      <c r="E81" s="2" t="s">
        <v>15</v>
      </c>
      <c r="F81" s="2" t="s">
        <v>487</v>
      </c>
      <c r="G81" s="2">
        <v>4</v>
      </c>
      <c r="H81" s="2">
        <v>-4</v>
      </c>
      <c r="I81" s="2" t="s">
        <v>119</v>
      </c>
    </row>
    <row r="82" spans="1:9" x14ac:dyDescent="0.35">
      <c r="A82" s="2">
        <v>202603</v>
      </c>
      <c r="B82" s="2">
        <v>1200</v>
      </c>
      <c r="C82" s="2">
        <v>3670</v>
      </c>
      <c r="D82" s="2" t="s">
        <v>488</v>
      </c>
      <c r="E82" s="2" t="s">
        <v>15</v>
      </c>
      <c r="F82" s="2" t="s">
        <v>489</v>
      </c>
      <c r="G82" s="2">
        <v>1.633</v>
      </c>
      <c r="H82" s="2">
        <v>-1.633</v>
      </c>
      <c r="I82" s="2" t="s">
        <v>119</v>
      </c>
    </row>
    <row r="83" spans="1:9" x14ac:dyDescent="0.35">
      <c r="A83" s="2">
        <v>202603</v>
      </c>
      <c r="B83" s="2">
        <v>1200</v>
      </c>
      <c r="C83" s="2">
        <v>5000</v>
      </c>
      <c r="D83" s="2" t="s">
        <v>490</v>
      </c>
      <c r="E83" s="2" t="s">
        <v>35</v>
      </c>
      <c r="F83" s="2" t="s">
        <v>491</v>
      </c>
      <c r="G83" s="2">
        <v>20.122</v>
      </c>
      <c r="H83" s="2">
        <v>20.122</v>
      </c>
      <c r="I83" s="2" t="s">
        <v>119</v>
      </c>
    </row>
    <row r="84" spans="1:9" x14ac:dyDescent="0.35">
      <c r="A84" s="2">
        <v>202603</v>
      </c>
      <c r="B84" s="2">
        <v>1200</v>
      </c>
      <c r="C84" s="2">
        <v>6300</v>
      </c>
      <c r="D84" s="2" t="s">
        <v>54</v>
      </c>
      <c r="E84" s="2" t="s">
        <v>35</v>
      </c>
      <c r="F84" s="2" t="s">
        <v>492</v>
      </c>
      <c r="G84" s="2">
        <v>7.6840000000000002</v>
      </c>
      <c r="H84" s="2">
        <v>7.6840000000000002</v>
      </c>
      <c r="I84" s="2" t="s">
        <v>119</v>
      </c>
    </row>
    <row r="85" spans="1:9" x14ac:dyDescent="0.35">
      <c r="A85" s="2">
        <v>202603</v>
      </c>
      <c r="B85" s="2">
        <v>1200</v>
      </c>
      <c r="C85" s="2">
        <v>6050</v>
      </c>
      <c r="D85" s="2" t="s">
        <v>493</v>
      </c>
      <c r="E85" s="2" t="s">
        <v>35</v>
      </c>
      <c r="F85" s="2" t="s">
        <v>494</v>
      </c>
      <c r="G85" s="2">
        <v>4.6669999999999998</v>
      </c>
      <c r="H85" s="2">
        <v>4.6669999999999998</v>
      </c>
      <c r="I85" s="2" t="s">
        <v>119</v>
      </c>
    </row>
    <row r="86" spans="1:9" x14ac:dyDescent="0.35">
      <c r="A86" s="2">
        <v>202603</v>
      </c>
      <c r="B86" s="2">
        <v>1300</v>
      </c>
      <c r="C86" s="2">
        <v>3900</v>
      </c>
      <c r="D86" s="2" t="s">
        <v>31</v>
      </c>
      <c r="E86" s="2" t="s">
        <v>15</v>
      </c>
      <c r="F86" s="2" t="s">
        <v>485</v>
      </c>
      <c r="G86" s="2">
        <v>23.65</v>
      </c>
      <c r="H86" s="2">
        <v>-23.65</v>
      </c>
      <c r="I86" s="2" t="s">
        <v>119</v>
      </c>
    </row>
    <row r="87" spans="1:9" x14ac:dyDescent="0.35">
      <c r="A87" s="2">
        <v>202603</v>
      </c>
      <c r="B87" s="2">
        <v>1300</v>
      </c>
      <c r="C87" s="2">
        <v>3400</v>
      </c>
      <c r="D87" s="2" t="s">
        <v>486</v>
      </c>
      <c r="E87" s="2" t="s">
        <v>15</v>
      </c>
      <c r="F87" s="2" t="s">
        <v>487</v>
      </c>
      <c r="G87" s="2">
        <v>2.0830000000000002</v>
      </c>
      <c r="H87" s="2">
        <v>-2.0830000000000002</v>
      </c>
      <c r="I87" s="2" t="s">
        <v>119</v>
      </c>
    </row>
    <row r="88" spans="1:9" x14ac:dyDescent="0.35">
      <c r="A88" s="2">
        <v>202603</v>
      </c>
      <c r="B88" s="2">
        <v>1300</v>
      </c>
      <c r="C88" s="2">
        <v>3670</v>
      </c>
      <c r="D88" s="2" t="s">
        <v>488</v>
      </c>
      <c r="E88" s="2" t="s">
        <v>15</v>
      </c>
      <c r="F88" s="2" t="s">
        <v>489</v>
      </c>
      <c r="G88" s="2">
        <v>1.2330000000000001</v>
      </c>
      <c r="H88" s="2">
        <v>-1.2330000000000001</v>
      </c>
      <c r="I88" s="2" t="s">
        <v>119</v>
      </c>
    </row>
    <row r="89" spans="1:9" x14ac:dyDescent="0.35">
      <c r="A89" s="2">
        <v>202603</v>
      </c>
      <c r="B89" s="2">
        <v>1300</v>
      </c>
      <c r="C89" s="2">
        <v>5000</v>
      </c>
      <c r="D89" s="2" t="s">
        <v>490</v>
      </c>
      <c r="E89" s="2" t="s">
        <v>35</v>
      </c>
      <c r="F89" s="2" t="s">
        <v>491</v>
      </c>
      <c r="G89" s="2">
        <v>17.138000000000002</v>
      </c>
      <c r="H89" s="2">
        <v>17.138000000000002</v>
      </c>
      <c r="I89" s="2" t="s">
        <v>119</v>
      </c>
    </row>
    <row r="90" spans="1:9" x14ac:dyDescent="0.35">
      <c r="A90" s="2">
        <v>202603</v>
      </c>
      <c r="B90" s="2">
        <v>1300</v>
      </c>
      <c r="C90" s="2">
        <v>6300</v>
      </c>
      <c r="D90" s="2" t="s">
        <v>54</v>
      </c>
      <c r="E90" s="2" t="s">
        <v>35</v>
      </c>
      <c r="F90" s="2" t="s">
        <v>492</v>
      </c>
      <c r="G90" s="2">
        <v>6.5449999999999999</v>
      </c>
      <c r="H90" s="2">
        <v>6.5449999999999999</v>
      </c>
      <c r="I90" s="2" t="s">
        <v>119</v>
      </c>
    </row>
    <row r="91" spans="1:9" x14ac:dyDescent="0.35">
      <c r="A91" s="2">
        <v>202603</v>
      </c>
      <c r="B91" s="2">
        <v>1300</v>
      </c>
      <c r="C91" s="2">
        <v>6050</v>
      </c>
      <c r="D91" s="2" t="s">
        <v>493</v>
      </c>
      <c r="E91" s="2" t="s">
        <v>35</v>
      </c>
      <c r="F91" s="2" t="s">
        <v>494</v>
      </c>
      <c r="G91" s="2">
        <v>2.8</v>
      </c>
      <c r="H91" s="2">
        <v>2.8</v>
      </c>
      <c r="I91" s="2" t="s">
        <v>119</v>
      </c>
    </row>
    <row r="92" spans="1:9" x14ac:dyDescent="0.35">
      <c r="A92" s="2">
        <v>202603</v>
      </c>
      <c r="B92" s="2">
        <v>1400</v>
      </c>
      <c r="C92" s="2">
        <v>3900</v>
      </c>
      <c r="D92" s="2" t="s">
        <v>31</v>
      </c>
      <c r="E92" s="2" t="s">
        <v>15</v>
      </c>
      <c r="F92" s="2" t="s">
        <v>485</v>
      </c>
      <c r="G92" s="2">
        <v>13.367000000000001</v>
      </c>
      <c r="H92" s="2">
        <v>-13.367000000000001</v>
      </c>
      <c r="I92" s="2" t="s">
        <v>119</v>
      </c>
    </row>
    <row r="93" spans="1:9" x14ac:dyDescent="0.35">
      <c r="A93" s="2">
        <v>202603</v>
      </c>
      <c r="B93" s="2">
        <v>1400</v>
      </c>
      <c r="C93" s="2">
        <v>3400</v>
      </c>
      <c r="D93" s="2" t="s">
        <v>486</v>
      </c>
      <c r="E93" s="2" t="s">
        <v>15</v>
      </c>
      <c r="F93" s="2" t="s">
        <v>487</v>
      </c>
      <c r="G93" s="2">
        <v>1.25</v>
      </c>
      <c r="H93" s="2">
        <v>-1.25</v>
      </c>
      <c r="I93" s="2" t="s">
        <v>119</v>
      </c>
    </row>
    <row r="94" spans="1:9" x14ac:dyDescent="0.35">
      <c r="A94" s="2">
        <v>202603</v>
      </c>
      <c r="B94" s="2">
        <v>1400</v>
      </c>
      <c r="C94" s="2">
        <v>3670</v>
      </c>
      <c r="D94" s="2" t="s">
        <v>488</v>
      </c>
      <c r="E94" s="2" t="s">
        <v>15</v>
      </c>
      <c r="F94" s="2" t="s">
        <v>489</v>
      </c>
      <c r="G94" s="2">
        <v>0.74199999999999999</v>
      </c>
      <c r="H94" s="2">
        <v>-0.74199999999999999</v>
      </c>
      <c r="I94" s="2" t="s">
        <v>119</v>
      </c>
    </row>
    <row r="95" spans="1:9" x14ac:dyDescent="0.35">
      <c r="A95" s="2">
        <v>202603</v>
      </c>
      <c r="B95" s="2">
        <v>1400</v>
      </c>
      <c r="C95" s="2">
        <v>5000</v>
      </c>
      <c r="D95" s="2" t="s">
        <v>490</v>
      </c>
      <c r="E95" s="2" t="s">
        <v>35</v>
      </c>
      <c r="F95" s="2" t="s">
        <v>491</v>
      </c>
      <c r="G95" s="2">
        <v>9.6859999999999999</v>
      </c>
      <c r="H95" s="2">
        <v>9.6859999999999999</v>
      </c>
      <c r="I95" s="2" t="s">
        <v>119</v>
      </c>
    </row>
    <row r="96" spans="1:9" x14ac:dyDescent="0.35">
      <c r="A96" s="2">
        <v>202603</v>
      </c>
      <c r="B96" s="2">
        <v>1400</v>
      </c>
      <c r="C96" s="2">
        <v>6300</v>
      </c>
      <c r="D96" s="2" t="s">
        <v>54</v>
      </c>
      <c r="E96" s="2" t="s">
        <v>35</v>
      </c>
      <c r="F96" s="2" t="s">
        <v>492</v>
      </c>
      <c r="G96" s="2">
        <v>3.7</v>
      </c>
      <c r="H96" s="2">
        <v>3.7</v>
      </c>
      <c r="I96" s="2" t="s">
        <v>119</v>
      </c>
    </row>
    <row r="97" spans="1:9" x14ac:dyDescent="0.35">
      <c r="A97" s="2">
        <v>202603</v>
      </c>
      <c r="B97" s="2">
        <v>1400</v>
      </c>
      <c r="C97" s="2">
        <v>6050</v>
      </c>
      <c r="D97" s="2" t="s">
        <v>493</v>
      </c>
      <c r="E97" s="2" t="s">
        <v>35</v>
      </c>
      <c r="F97" s="2" t="s">
        <v>494</v>
      </c>
      <c r="G97" s="2">
        <v>1.2</v>
      </c>
      <c r="H97" s="2">
        <v>1.2</v>
      </c>
      <c r="I97" s="2" t="s">
        <v>119</v>
      </c>
    </row>
    <row r="98" spans="1:9" x14ac:dyDescent="0.35">
      <c r="A98" s="2">
        <v>202603</v>
      </c>
      <c r="B98" s="2">
        <v>1500</v>
      </c>
      <c r="C98" s="2">
        <v>3900</v>
      </c>
      <c r="D98" s="2" t="s">
        <v>31</v>
      </c>
      <c r="E98" s="2" t="s">
        <v>15</v>
      </c>
      <c r="F98" s="2" t="s">
        <v>485</v>
      </c>
      <c r="G98" s="2">
        <v>10.282999999999999</v>
      </c>
      <c r="H98" s="2">
        <v>-10.282999999999999</v>
      </c>
      <c r="I98" s="2" t="s">
        <v>119</v>
      </c>
    </row>
    <row r="99" spans="1:9" x14ac:dyDescent="0.35">
      <c r="A99" s="2">
        <v>202603</v>
      </c>
      <c r="B99" s="2">
        <v>1500</v>
      </c>
      <c r="C99" s="2">
        <v>3400</v>
      </c>
      <c r="D99" s="2" t="s">
        <v>486</v>
      </c>
      <c r="E99" s="2" t="s">
        <v>15</v>
      </c>
      <c r="F99" s="2" t="s">
        <v>487</v>
      </c>
      <c r="G99" s="2">
        <v>0.83299999999999996</v>
      </c>
      <c r="H99" s="2">
        <v>-0.83299999999999996</v>
      </c>
      <c r="I99" s="2" t="s">
        <v>119</v>
      </c>
    </row>
    <row r="100" spans="1:9" x14ac:dyDescent="0.35">
      <c r="A100" s="2">
        <v>202603</v>
      </c>
      <c r="B100" s="2">
        <v>1500</v>
      </c>
      <c r="C100" s="2">
        <v>3670</v>
      </c>
      <c r="D100" s="2" t="s">
        <v>488</v>
      </c>
      <c r="E100" s="2" t="s">
        <v>15</v>
      </c>
      <c r="F100" s="2" t="s">
        <v>489</v>
      </c>
      <c r="G100" s="2">
        <v>0.49199999999999999</v>
      </c>
      <c r="H100" s="2">
        <v>-0.49199999999999999</v>
      </c>
      <c r="I100" s="2" t="s">
        <v>119</v>
      </c>
    </row>
    <row r="101" spans="1:9" x14ac:dyDescent="0.35">
      <c r="A101" s="2">
        <v>202603</v>
      </c>
      <c r="B101" s="2">
        <v>1500</v>
      </c>
      <c r="C101" s="2">
        <v>5000</v>
      </c>
      <c r="D101" s="2" t="s">
        <v>490</v>
      </c>
      <c r="E101" s="2" t="s">
        <v>35</v>
      </c>
      <c r="F101" s="2" t="s">
        <v>491</v>
      </c>
      <c r="G101" s="2">
        <v>7.452</v>
      </c>
      <c r="H101" s="2">
        <v>7.452</v>
      </c>
      <c r="I101" s="2" t="s">
        <v>119</v>
      </c>
    </row>
    <row r="102" spans="1:9" x14ac:dyDescent="0.35">
      <c r="A102" s="2">
        <v>202603</v>
      </c>
      <c r="B102" s="2">
        <v>1500</v>
      </c>
      <c r="C102" s="2">
        <v>6300</v>
      </c>
      <c r="D102" s="2" t="s">
        <v>54</v>
      </c>
      <c r="E102" s="2" t="s">
        <v>35</v>
      </c>
      <c r="F102" s="2" t="s">
        <v>492</v>
      </c>
      <c r="G102" s="2">
        <v>2.8460000000000001</v>
      </c>
      <c r="H102" s="2">
        <v>2.8460000000000001</v>
      </c>
      <c r="I102" s="2" t="s">
        <v>119</v>
      </c>
    </row>
    <row r="103" spans="1:9" x14ac:dyDescent="0.35">
      <c r="A103" s="2">
        <v>202603</v>
      </c>
      <c r="B103" s="2">
        <v>1500</v>
      </c>
      <c r="C103" s="2">
        <v>6050</v>
      </c>
      <c r="D103" s="2" t="s">
        <v>493</v>
      </c>
      <c r="E103" s="2" t="s">
        <v>35</v>
      </c>
      <c r="F103" s="2" t="s">
        <v>494</v>
      </c>
      <c r="G103" s="2">
        <v>0.93300000000000005</v>
      </c>
      <c r="H103" s="2">
        <v>0.93300000000000005</v>
      </c>
      <c r="I103" s="2" t="s">
        <v>119</v>
      </c>
    </row>
    <row r="104" spans="1:9" x14ac:dyDescent="0.35">
      <c r="A104" s="2">
        <v>202603</v>
      </c>
      <c r="B104" s="2">
        <v>1900</v>
      </c>
      <c r="C104" s="2">
        <v>3900</v>
      </c>
      <c r="D104" s="2" t="s">
        <v>31</v>
      </c>
      <c r="E104" s="2" t="s">
        <v>15</v>
      </c>
      <c r="F104" s="2" t="s">
        <v>485</v>
      </c>
      <c r="G104" s="2">
        <v>7.2</v>
      </c>
      <c r="H104" s="2">
        <v>-7.2</v>
      </c>
      <c r="I104" s="2" t="s">
        <v>119</v>
      </c>
    </row>
    <row r="105" spans="1:9" x14ac:dyDescent="0.35">
      <c r="A105" s="2">
        <v>202603</v>
      </c>
      <c r="B105" s="2">
        <v>1900</v>
      </c>
      <c r="C105" s="2">
        <v>3400</v>
      </c>
      <c r="D105" s="2" t="s">
        <v>486</v>
      </c>
      <c r="E105" s="2" t="s">
        <v>15</v>
      </c>
      <c r="F105" s="2" t="s">
        <v>487</v>
      </c>
      <c r="G105" s="2">
        <v>0.25</v>
      </c>
      <c r="H105" s="2">
        <v>-0.25</v>
      </c>
      <c r="I105" s="2" t="s">
        <v>119</v>
      </c>
    </row>
    <row r="106" spans="1:9" x14ac:dyDescent="0.35">
      <c r="A106" s="2">
        <v>202603</v>
      </c>
      <c r="B106" s="2">
        <v>1900</v>
      </c>
      <c r="C106" s="2">
        <v>3670</v>
      </c>
      <c r="D106" s="2" t="s">
        <v>488</v>
      </c>
      <c r="E106" s="2" t="s">
        <v>15</v>
      </c>
      <c r="F106" s="2" t="s">
        <v>489</v>
      </c>
      <c r="G106" s="2">
        <v>1.583</v>
      </c>
      <c r="H106" s="2">
        <v>-1.583</v>
      </c>
      <c r="I106" s="2" t="s">
        <v>119</v>
      </c>
    </row>
    <row r="107" spans="1:9" x14ac:dyDescent="0.35">
      <c r="A107" s="2">
        <v>202603</v>
      </c>
      <c r="B107" s="2">
        <v>1900</v>
      </c>
      <c r="C107" s="2">
        <v>5000</v>
      </c>
      <c r="D107" s="2" t="s">
        <v>490</v>
      </c>
      <c r="E107" s="2" t="s">
        <v>35</v>
      </c>
      <c r="F107" s="2" t="s">
        <v>491</v>
      </c>
      <c r="G107" s="2">
        <v>5.96</v>
      </c>
      <c r="H107" s="2">
        <v>5.96</v>
      </c>
      <c r="I107" s="2" t="s">
        <v>119</v>
      </c>
    </row>
    <row r="108" spans="1:9" x14ac:dyDescent="0.35">
      <c r="A108" s="2">
        <v>202603</v>
      </c>
      <c r="B108" s="2">
        <v>1900</v>
      </c>
      <c r="C108" s="2">
        <v>6300</v>
      </c>
      <c r="D108" s="2" t="s">
        <v>54</v>
      </c>
      <c r="E108" s="2" t="s">
        <v>35</v>
      </c>
      <c r="F108" s="2" t="s">
        <v>492</v>
      </c>
      <c r="G108" s="2">
        <v>2.2770000000000001</v>
      </c>
      <c r="H108" s="2">
        <v>2.2770000000000001</v>
      </c>
      <c r="I108" s="2" t="s">
        <v>119</v>
      </c>
    </row>
    <row r="109" spans="1:9" x14ac:dyDescent="0.35">
      <c r="A109" s="2">
        <v>202603</v>
      </c>
      <c r="B109" s="2">
        <v>1900</v>
      </c>
      <c r="C109" s="2">
        <v>6050</v>
      </c>
      <c r="D109" s="2" t="s">
        <v>493</v>
      </c>
      <c r="E109" s="2" t="s">
        <v>35</v>
      </c>
      <c r="F109" s="2" t="s">
        <v>494</v>
      </c>
      <c r="G109" s="2">
        <v>1.2</v>
      </c>
      <c r="H109" s="2">
        <v>1.2</v>
      </c>
      <c r="I109" s="2" t="s">
        <v>119</v>
      </c>
    </row>
    <row r="110" spans="1:9" x14ac:dyDescent="0.35">
      <c r="A110" s="2">
        <v>202604</v>
      </c>
      <c r="B110" s="2">
        <v>1100</v>
      </c>
      <c r="C110" s="2">
        <v>3900</v>
      </c>
      <c r="D110" s="2" t="s">
        <v>31</v>
      </c>
      <c r="E110" s="2" t="s">
        <v>15</v>
      </c>
      <c r="F110" s="2" t="s">
        <v>485</v>
      </c>
      <c r="G110" s="2">
        <v>20.567</v>
      </c>
      <c r="H110" s="2">
        <v>-20.567</v>
      </c>
      <c r="I110" s="2" t="s">
        <v>119</v>
      </c>
    </row>
    <row r="111" spans="1:9" x14ac:dyDescent="0.35">
      <c r="A111" s="2">
        <v>202604</v>
      </c>
      <c r="B111" s="2">
        <v>1100</v>
      </c>
      <c r="C111" s="2">
        <v>3400</v>
      </c>
      <c r="D111" s="2" t="s">
        <v>486</v>
      </c>
      <c r="E111" s="2" t="s">
        <v>15</v>
      </c>
      <c r="F111" s="2" t="s">
        <v>487</v>
      </c>
      <c r="G111" s="2">
        <v>1.833</v>
      </c>
      <c r="H111" s="2">
        <v>-1.833</v>
      </c>
      <c r="I111" s="2" t="s">
        <v>119</v>
      </c>
    </row>
    <row r="112" spans="1:9" x14ac:dyDescent="0.35">
      <c r="A112" s="2">
        <v>202604</v>
      </c>
      <c r="B112" s="2">
        <v>1100</v>
      </c>
      <c r="C112" s="2">
        <v>3670</v>
      </c>
      <c r="D112" s="2" t="s">
        <v>488</v>
      </c>
      <c r="E112" s="2" t="s">
        <v>15</v>
      </c>
      <c r="F112" s="2" t="s">
        <v>489</v>
      </c>
      <c r="G112" s="2">
        <v>0.65</v>
      </c>
      <c r="H112" s="2">
        <v>-0.65</v>
      </c>
      <c r="I112" s="2" t="s">
        <v>119</v>
      </c>
    </row>
    <row r="113" spans="1:9" x14ac:dyDescent="0.35">
      <c r="A113" s="2">
        <v>202604</v>
      </c>
      <c r="B113" s="2">
        <v>1100</v>
      </c>
      <c r="C113" s="2">
        <v>5000</v>
      </c>
      <c r="D113" s="2" t="s">
        <v>490</v>
      </c>
      <c r="E113" s="2" t="s">
        <v>35</v>
      </c>
      <c r="F113" s="2" t="s">
        <v>491</v>
      </c>
      <c r="G113" s="2">
        <v>14.162000000000001</v>
      </c>
      <c r="H113" s="2">
        <v>14.162000000000001</v>
      </c>
      <c r="I113" s="2" t="s">
        <v>119</v>
      </c>
    </row>
    <row r="114" spans="1:9" x14ac:dyDescent="0.35">
      <c r="A114" s="2">
        <v>202604</v>
      </c>
      <c r="B114" s="2">
        <v>1100</v>
      </c>
      <c r="C114" s="2">
        <v>6300</v>
      </c>
      <c r="D114" s="2" t="s">
        <v>54</v>
      </c>
      <c r="E114" s="2" t="s">
        <v>35</v>
      </c>
      <c r="F114" s="2" t="s">
        <v>492</v>
      </c>
      <c r="G114" s="2">
        <v>5.407</v>
      </c>
      <c r="H114" s="2">
        <v>5.407</v>
      </c>
      <c r="I114" s="2" t="s">
        <v>119</v>
      </c>
    </row>
    <row r="115" spans="1:9" x14ac:dyDescent="0.35">
      <c r="A115" s="2">
        <v>202604</v>
      </c>
      <c r="B115" s="2">
        <v>1100</v>
      </c>
      <c r="C115" s="2">
        <v>6050</v>
      </c>
      <c r="D115" s="2" t="s">
        <v>493</v>
      </c>
      <c r="E115" s="2" t="s">
        <v>35</v>
      </c>
      <c r="F115" s="2" t="s">
        <v>494</v>
      </c>
      <c r="G115" s="2">
        <v>2.5329999999999999</v>
      </c>
      <c r="H115" s="2">
        <v>2.5329999999999999</v>
      </c>
      <c r="I115" s="2" t="s">
        <v>119</v>
      </c>
    </row>
    <row r="116" spans="1:9" x14ac:dyDescent="0.35">
      <c r="A116" s="2">
        <v>202604</v>
      </c>
      <c r="B116" s="2">
        <v>1200</v>
      </c>
      <c r="C116" s="2">
        <v>3900</v>
      </c>
      <c r="D116" s="2" t="s">
        <v>31</v>
      </c>
      <c r="E116" s="2" t="s">
        <v>15</v>
      </c>
      <c r="F116" s="2" t="s">
        <v>485</v>
      </c>
      <c r="G116" s="2">
        <v>27.766999999999999</v>
      </c>
      <c r="H116" s="2">
        <v>-27.766999999999999</v>
      </c>
      <c r="I116" s="2" t="s">
        <v>119</v>
      </c>
    </row>
    <row r="117" spans="1:9" x14ac:dyDescent="0.35">
      <c r="A117" s="2">
        <v>202604</v>
      </c>
      <c r="B117" s="2">
        <v>1200</v>
      </c>
      <c r="C117" s="2">
        <v>3400</v>
      </c>
      <c r="D117" s="2" t="s">
        <v>486</v>
      </c>
      <c r="E117" s="2" t="s">
        <v>15</v>
      </c>
      <c r="F117" s="2" t="s">
        <v>487</v>
      </c>
      <c r="G117" s="2">
        <v>4</v>
      </c>
      <c r="H117" s="2">
        <v>-4</v>
      </c>
      <c r="I117" s="2" t="s">
        <v>119</v>
      </c>
    </row>
    <row r="118" spans="1:9" x14ac:dyDescent="0.35">
      <c r="A118" s="2">
        <v>202604</v>
      </c>
      <c r="B118" s="2">
        <v>1200</v>
      </c>
      <c r="C118" s="2">
        <v>3670</v>
      </c>
      <c r="D118" s="2" t="s">
        <v>488</v>
      </c>
      <c r="E118" s="2" t="s">
        <v>15</v>
      </c>
      <c r="F118" s="2" t="s">
        <v>489</v>
      </c>
      <c r="G118" s="2">
        <v>1.633</v>
      </c>
      <c r="H118" s="2">
        <v>-1.633</v>
      </c>
      <c r="I118" s="2" t="s">
        <v>119</v>
      </c>
    </row>
    <row r="119" spans="1:9" x14ac:dyDescent="0.35">
      <c r="A119" s="2">
        <v>202604</v>
      </c>
      <c r="B119" s="2">
        <v>1200</v>
      </c>
      <c r="C119" s="2">
        <v>5000</v>
      </c>
      <c r="D119" s="2" t="s">
        <v>490</v>
      </c>
      <c r="E119" s="2" t="s">
        <v>35</v>
      </c>
      <c r="F119" s="2" t="s">
        <v>491</v>
      </c>
      <c r="G119" s="2">
        <v>20.122</v>
      </c>
      <c r="H119" s="2">
        <v>20.122</v>
      </c>
      <c r="I119" s="2" t="s">
        <v>119</v>
      </c>
    </row>
    <row r="120" spans="1:9" x14ac:dyDescent="0.35">
      <c r="A120" s="2">
        <v>202604</v>
      </c>
      <c r="B120" s="2">
        <v>1200</v>
      </c>
      <c r="C120" s="2">
        <v>6300</v>
      </c>
      <c r="D120" s="2" t="s">
        <v>54</v>
      </c>
      <c r="E120" s="2" t="s">
        <v>35</v>
      </c>
      <c r="F120" s="2" t="s">
        <v>492</v>
      </c>
      <c r="G120" s="2">
        <v>7.6840000000000002</v>
      </c>
      <c r="H120" s="2">
        <v>7.6840000000000002</v>
      </c>
      <c r="I120" s="2" t="s">
        <v>119</v>
      </c>
    </row>
    <row r="121" spans="1:9" x14ac:dyDescent="0.35">
      <c r="A121" s="2">
        <v>202604</v>
      </c>
      <c r="B121" s="2">
        <v>1200</v>
      </c>
      <c r="C121" s="2">
        <v>6050</v>
      </c>
      <c r="D121" s="2" t="s">
        <v>493</v>
      </c>
      <c r="E121" s="2" t="s">
        <v>35</v>
      </c>
      <c r="F121" s="2" t="s">
        <v>494</v>
      </c>
      <c r="G121" s="2">
        <v>4.6669999999999998</v>
      </c>
      <c r="H121" s="2">
        <v>4.6669999999999998</v>
      </c>
      <c r="I121" s="2" t="s">
        <v>119</v>
      </c>
    </row>
    <row r="122" spans="1:9" x14ac:dyDescent="0.35">
      <c r="A122" s="2">
        <v>202604</v>
      </c>
      <c r="B122" s="2">
        <v>1300</v>
      </c>
      <c r="C122" s="2">
        <v>3900</v>
      </c>
      <c r="D122" s="2" t="s">
        <v>31</v>
      </c>
      <c r="E122" s="2" t="s">
        <v>15</v>
      </c>
      <c r="F122" s="2" t="s">
        <v>485</v>
      </c>
      <c r="G122" s="2">
        <v>23.65</v>
      </c>
      <c r="H122" s="2">
        <v>-23.65</v>
      </c>
      <c r="I122" s="2" t="s">
        <v>119</v>
      </c>
    </row>
    <row r="123" spans="1:9" x14ac:dyDescent="0.35">
      <c r="A123" s="2">
        <v>202604</v>
      </c>
      <c r="B123" s="2">
        <v>1300</v>
      </c>
      <c r="C123" s="2">
        <v>3400</v>
      </c>
      <c r="D123" s="2" t="s">
        <v>486</v>
      </c>
      <c r="E123" s="2" t="s">
        <v>15</v>
      </c>
      <c r="F123" s="2" t="s">
        <v>487</v>
      </c>
      <c r="G123" s="2">
        <v>2.0830000000000002</v>
      </c>
      <c r="H123" s="2">
        <v>-2.0830000000000002</v>
      </c>
      <c r="I123" s="2" t="s">
        <v>119</v>
      </c>
    </row>
    <row r="124" spans="1:9" x14ac:dyDescent="0.35">
      <c r="A124" s="2">
        <v>202604</v>
      </c>
      <c r="B124" s="2">
        <v>1300</v>
      </c>
      <c r="C124" s="2">
        <v>3670</v>
      </c>
      <c r="D124" s="2" t="s">
        <v>488</v>
      </c>
      <c r="E124" s="2" t="s">
        <v>15</v>
      </c>
      <c r="F124" s="2" t="s">
        <v>489</v>
      </c>
      <c r="G124" s="2">
        <v>1.2330000000000001</v>
      </c>
      <c r="H124" s="2">
        <v>-1.2330000000000001</v>
      </c>
      <c r="I124" s="2" t="s">
        <v>119</v>
      </c>
    </row>
    <row r="125" spans="1:9" x14ac:dyDescent="0.35">
      <c r="A125" s="2">
        <v>202604</v>
      </c>
      <c r="B125" s="2">
        <v>1300</v>
      </c>
      <c r="C125" s="2">
        <v>5000</v>
      </c>
      <c r="D125" s="2" t="s">
        <v>490</v>
      </c>
      <c r="E125" s="2" t="s">
        <v>35</v>
      </c>
      <c r="F125" s="2" t="s">
        <v>491</v>
      </c>
      <c r="G125" s="2">
        <v>17.138000000000002</v>
      </c>
      <c r="H125" s="2">
        <v>17.138000000000002</v>
      </c>
      <c r="I125" s="2" t="s">
        <v>119</v>
      </c>
    </row>
    <row r="126" spans="1:9" x14ac:dyDescent="0.35">
      <c r="A126" s="2">
        <v>202604</v>
      </c>
      <c r="B126" s="2">
        <v>1300</v>
      </c>
      <c r="C126" s="2">
        <v>6300</v>
      </c>
      <c r="D126" s="2" t="s">
        <v>54</v>
      </c>
      <c r="E126" s="2" t="s">
        <v>35</v>
      </c>
      <c r="F126" s="2" t="s">
        <v>492</v>
      </c>
      <c r="G126" s="2">
        <v>6.5449999999999999</v>
      </c>
      <c r="H126" s="2">
        <v>6.5449999999999999</v>
      </c>
      <c r="I126" s="2" t="s">
        <v>119</v>
      </c>
    </row>
    <row r="127" spans="1:9" x14ac:dyDescent="0.35">
      <c r="A127" s="2">
        <v>202604</v>
      </c>
      <c r="B127" s="2">
        <v>1300</v>
      </c>
      <c r="C127" s="2">
        <v>6050</v>
      </c>
      <c r="D127" s="2" t="s">
        <v>493</v>
      </c>
      <c r="E127" s="2" t="s">
        <v>35</v>
      </c>
      <c r="F127" s="2" t="s">
        <v>494</v>
      </c>
      <c r="G127" s="2">
        <v>2.8</v>
      </c>
      <c r="H127" s="2">
        <v>2.8</v>
      </c>
      <c r="I127" s="2" t="s">
        <v>119</v>
      </c>
    </row>
    <row r="128" spans="1:9" x14ac:dyDescent="0.35">
      <c r="A128" s="2">
        <v>202604</v>
      </c>
      <c r="B128" s="2">
        <v>1400</v>
      </c>
      <c r="C128" s="2">
        <v>3900</v>
      </c>
      <c r="D128" s="2" t="s">
        <v>31</v>
      </c>
      <c r="E128" s="2" t="s">
        <v>15</v>
      </c>
      <c r="F128" s="2" t="s">
        <v>485</v>
      </c>
      <c r="G128" s="2">
        <v>13.367000000000001</v>
      </c>
      <c r="H128" s="2">
        <v>-13.367000000000001</v>
      </c>
      <c r="I128" s="2" t="s">
        <v>119</v>
      </c>
    </row>
    <row r="129" spans="1:9" x14ac:dyDescent="0.35">
      <c r="A129" s="2">
        <v>202604</v>
      </c>
      <c r="B129" s="2">
        <v>1400</v>
      </c>
      <c r="C129" s="2">
        <v>3400</v>
      </c>
      <c r="D129" s="2" t="s">
        <v>486</v>
      </c>
      <c r="E129" s="2" t="s">
        <v>15</v>
      </c>
      <c r="F129" s="2" t="s">
        <v>487</v>
      </c>
      <c r="G129" s="2">
        <v>1.25</v>
      </c>
      <c r="H129" s="2">
        <v>-1.25</v>
      </c>
      <c r="I129" s="2" t="s">
        <v>119</v>
      </c>
    </row>
    <row r="130" spans="1:9" x14ac:dyDescent="0.35">
      <c r="A130" s="2">
        <v>202604</v>
      </c>
      <c r="B130" s="2">
        <v>1400</v>
      </c>
      <c r="C130" s="2">
        <v>3670</v>
      </c>
      <c r="D130" s="2" t="s">
        <v>488</v>
      </c>
      <c r="E130" s="2" t="s">
        <v>15</v>
      </c>
      <c r="F130" s="2" t="s">
        <v>489</v>
      </c>
      <c r="G130" s="2">
        <v>0.74199999999999999</v>
      </c>
      <c r="H130" s="2">
        <v>-0.74199999999999999</v>
      </c>
      <c r="I130" s="2" t="s">
        <v>119</v>
      </c>
    </row>
    <row r="131" spans="1:9" x14ac:dyDescent="0.35">
      <c r="A131" s="2">
        <v>202604</v>
      </c>
      <c r="B131" s="2">
        <v>1400</v>
      </c>
      <c r="C131" s="2">
        <v>5000</v>
      </c>
      <c r="D131" s="2" t="s">
        <v>490</v>
      </c>
      <c r="E131" s="2" t="s">
        <v>35</v>
      </c>
      <c r="F131" s="2" t="s">
        <v>491</v>
      </c>
      <c r="G131" s="2">
        <v>9.6859999999999999</v>
      </c>
      <c r="H131" s="2">
        <v>9.6859999999999999</v>
      </c>
      <c r="I131" s="2" t="s">
        <v>119</v>
      </c>
    </row>
    <row r="132" spans="1:9" x14ac:dyDescent="0.35">
      <c r="A132" s="2">
        <v>202604</v>
      </c>
      <c r="B132" s="2">
        <v>1400</v>
      </c>
      <c r="C132" s="2">
        <v>6300</v>
      </c>
      <c r="D132" s="2" t="s">
        <v>54</v>
      </c>
      <c r="E132" s="2" t="s">
        <v>35</v>
      </c>
      <c r="F132" s="2" t="s">
        <v>492</v>
      </c>
      <c r="G132" s="2">
        <v>3.7</v>
      </c>
      <c r="H132" s="2">
        <v>3.7</v>
      </c>
      <c r="I132" s="2" t="s">
        <v>119</v>
      </c>
    </row>
    <row r="133" spans="1:9" x14ac:dyDescent="0.35">
      <c r="A133" s="2">
        <v>202604</v>
      </c>
      <c r="B133" s="2">
        <v>1400</v>
      </c>
      <c r="C133" s="2">
        <v>6050</v>
      </c>
      <c r="D133" s="2" t="s">
        <v>493</v>
      </c>
      <c r="E133" s="2" t="s">
        <v>35</v>
      </c>
      <c r="F133" s="2" t="s">
        <v>494</v>
      </c>
      <c r="G133" s="2">
        <v>1.2</v>
      </c>
      <c r="H133" s="2">
        <v>1.2</v>
      </c>
      <c r="I133" s="2" t="s">
        <v>119</v>
      </c>
    </row>
    <row r="134" spans="1:9" x14ac:dyDescent="0.35">
      <c r="A134" s="2">
        <v>202604</v>
      </c>
      <c r="B134" s="2">
        <v>1500</v>
      </c>
      <c r="C134" s="2">
        <v>3900</v>
      </c>
      <c r="D134" s="2" t="s">
        <v>31</v>
      </c>
      <c r="E134" s="2" t="s">
        <v>15</v>
      </c>
      <c r="F134" s="2" t="s">
        <v>485</v>
      </c>
      <c r="G134" s="2">
        <v>10.282999999999999</v>
      </c>
      <c r="H134" s="2">
        <v>-10.282999999999999</v>
      </c>
      <c r="I134" s="2" t="s">
        <v>119</v>
      </c>
    </row>
    <row r="135" spans="1:9" x14ac:dyDescent="0.35">
      <c r="A135" s="2">
        <v>202604</v>
      </c>
      <c r="B135" s="2">
        <v>1500</v>
      </c>
      <c r="C135" s="2">
        <v>3400</v>
      </c>
      <c r="D135" s="2" t="s">
        <v>486</v>
      </c>
      <c r="E135" s="2" t="s">
        <v>15</v>
      </c>
      <c r="F135" s="2" t="s">
        <v>487</v>
      </c>
      <c r="G135" s="2">
        <v>0.83299999999999996</v>
      </c>
      <c r="H135" s="2">
        <v>-0.83299999999999996</v>
      </c>
      <c r="I135" s="2" t="s">
        <v>119</v>
      </c>
    </row>
    <row r="136" spans="1:9" x14ac:dyDescent="0.35">
      <c r="A136" s="2">
        <v>202604</v>
      </c>
      <c r="B136" s="2">
        <v>1500</v>
      </c>
      <c r="C136" s="2">
        <v>3670</v>
      </c>
      <c r="D136" s="2" t="s">
        <v>488</v>
      </c>
      <c r="E136" s="2" t="s">
        <v>15</v>
      </c>
      <c r="F136" s="2" t="s">
        <v>489</v>
      </c>
      <c r="G136" s="2">
        <v>0.49199999999999999</v>
      </c>
      <c r="H136" s="2">
        <v>-0.49199999999999999</v>
      </c>
      <c r="I136" s="2" t="s">
        <v>119</v>
      </c>
    </row>
    <row r="137" spans="1:9" x14ac:dyDescent="0.35">
      <c r="A137" s="2">
        <v>202604</v>
      </c>
      <c r="B137" s="2">
        <v>1500</v>
      </c>
      <c r="C137" s="2">
        <v>5000</v>
      </c>
      <c r="D137" s="2" t="s">
        <v>490</v>
      </c>
      <c r="E137" s="2" t="s">
        <v>35</v>
      </c>
      <c r="F137" s="2" t="s">
        <v>491</v>
      </c>
      <c r="G137" s="2">
        <v>7.452</v>
      </c>
      <c r="H137" s="2">
        <v>7.452</v>
      </c>
      <c r="I137" s="2" t="s">
        <v>119</v>
      </c>
    </row>
    <row r="138" spans="1:9" x14ac:dyDescent="0.35">
      <c r="A138" s="2">
        <v>202604</v>
      </c>
      <c r="B138" s="2">
        <v>1500</v>
      </c>
      <c r="C138" s="2">
        <v>6300</v>
      </c>
      <c r="D138" s="2" t="s">
        <v>54</v>
      </c>
      <c r="E138" s="2" t="s">
        <v>35</v>
      </c>
      <c r="F138" s="2" t="s">
        <v>492</v>
      </c>
      <c r="G138" s="2">
        <v>2.8460000000000001</v>
      </c>
      <c r="H138" s="2">
        <v>2.8460000000000001</v>
      </c>
      <c r="I138" s="2" t="s">
        <v>119</v>
      </c>
    </row>
    <row r="139" spans="1:9" x14ac:dyDescent="0.35">
      <c r="A139" s="2">
        <v>202604</v>
      </c>
      <c r="B139" s="2">
        <v>1500</v>
      </c>
      <c r="C139" s="2">
        <v>6050</v>
      </c>
      <c r="D139" s="2" t="s">
        <v>493</v>
      </c>
      <c r="E139" s="2" t="s">
        <v>35</v>
      </c>
      <c r="F139" s="2" t="s">
        <v>494</v>
      </c>
      <c r="G139" s="2">
        <v>0.93300000000000005</v>
      </c>
      <c r="H139" s="2">
        <v>0.93300000000000005</v>
      </c>
      <c r="I139" s="2" t="s">
        <v>119</v>
      </c>
    </row>
    <row r="140" spans="1:9" x14ac:dyDescent="0.35">
      <c r="A140" s="2">
        <v>202604</v>
      </c>
      <c r="B140" s="2">
        <v>1900</v>
      </c>
      <c r="C140" s="2">
        <v>3900</v>
      </c>
      <c r="D140" s="2" t="s">
        <v>31</v>
      </c>
      <c r="E140" s="2" t="s">
        <v>15</v>
      </c>
      <c r="F140" s="2" t="s">
        <v>485</v>
      </c>
      <c r="G140" s="2">
        <v>7.2</v>
      </c>
      <c r="H140" s="2">
        <v>-7.2</v>
      </c>
      <c r="I140" s="2" t="s">
        <v>119</v>
      </c>
    </row>
    <row r="141" spans="1:9" x14ac:dyDescent="0.35">
      <c r="A141" s="2">
        <v>202604</v>
      </c>
      <c r="B141" s="2">
        <v>1900</v>
      </c>
      <c r="C141" s="2">
        <v>3400</v>
      </c>
      <c r="D141" s="2" t="s">
        <v>486</v>
      </c>
      <c r="E141" s="2" t="s">
        <v>15</v>
      </c>
      <c r="F141" s="2" t="s">
        <v>487</v>
      </c>
      <c r="G141" s="2">
        <v>0.25</v>
      </c>
      <c r="H141" s="2">
        <v>-0.25</v>
      </c>
      <c r="I141" s="2" t="s">
        <v>119</v>
      </c>
    </row>
    <row r="142" spans="1:9" x14ac:dyDescent="0.35">
      <c r="A142" s="2">
        <v>202604</v>
      </c>
      <c r="B142" s="2">
        <v>1900</v>
      </c>
      <c r="C142" s="2">
        <v>3670</v>
      </c>
      <c r="D142" s="2" t="s">
        <v>488</v>
      </c>
      <c r="E142" s="2" t="s">
        <v>15</v>
      </c>
      <c r="F142" s="2" t="s">
        <v>489</v>
      </c>
      <c r="G142" s="2">
        <v>1.583</v>
      </c>
      <c r="H142" s="2">
        <v>-1.583</v>
      </c>
      <c r="I142" s="2" t="s">
        <v>119</v>
      </c>
    </row>
    <row r="143" spans="1:9" x14ac:dyDescent="0.35">
      <c r="A143" s="2">
        <v>202604</v>
      </c>
      <c r="B143" s="2">
        <v>1900</v>
      </c>
      <c r="C143" s="2">
        <v>5000</v>
      </c>
      <c r="D143" s="2" t="s">
        <v>490</v>
      </c>
      <c r="E143" s="2" t="s">
        <v>35</v>
      </c>
      <c r="F143" s="2" t="s">
        <v>491</v>
      </c>
      <c r="G143" s="2">
        <v>5.96</v>
      </c>
      <c r="H143" s="2">
        <v>5.96</v>
      </c>
      <c r="I143" s="2" t="s">
        <v>119</v>
      </c>
    </row>
    <row r="144" spans="1:9" x14ac:dyDescent="0.35">
      <c r="A144" s="2">
        <v>202604</v>
      </c>
      <c r="B144" s="2">
        <v>1900</v>
      </c>
      <c r="C144" s="2">
        <v>6300</v>
      </c>
      <c r="D144" s="2" t="s">
        <v>54</v>
      </c>
      <c r="E144" s="2" t="s">
        <v>35</v>
      </c>
      <c r="F144" s="2" t="s">
        <v>492</v>
      </c>
      <c r="G144" s="2">
        <v>2.2770000000000001</v>
      </c>
      <c r="H144" s="2">
        <v>2.2770000000000001</v>
      </c>
      <c r="I144" s="2" t="s">
        <v>119</v>
      </c>
    </row>
    <row r="145" spans="1:9" x14ac:dyDescent="0.35">
      <c r="A145" s="2">
        <v>202604</v>
      </c>
      <c r="B145" s="2">
        <v>1900</v>
      </c>
      <c r="C145" s="2">
        <v>6050</v>
      </c>
      <c r="D145" s="2" t="s">
        <v>493</v>
      </c>
      <c r="E145" s="2" t="s">
        <v>35</v>
      </c>
      <c r="F145" s="2" t="s">
        <v>494</v>
      </c>
      <c r="G145" s="2">
        <v>1.2</v>
      </c>
      <c r="H145" s="2">
        <v>1.2</v>
      </c>
      <c r="I145" s="2" t="s">
        <v>119</v>
      </c>
    </row>
    <row r="146" spans="1:9" x14ac:dyDescent="0.35">
      <c r="A146" s="2">
        <v>202605</v>
      </c>
      <c r="B146" s="2">
        <v>1100</v>
      </c>
      <c r="C146" s="2">
        <v>3900</v>
      </c>
      <c r="D146" s="2" t="s">
        <v>31</v>
      </c>
      <c r="E146" s="2" t="s">
        <v>15</v>
      </c>
      <c r="F146" s="2" t="s">
        <v>485</v>
      </c>
      <c r="G146" s="2">
        <v>20.567</v>
      </c>
      <c r="H146" s="2">
        <v>-20.567</v>
      </c>
      <c r="I146" s="2" t="s">
        <v>119</v>
      </c>
    </row>
    <row r="147" spans="1:9" x14ac:dyDescent="0.35">
      <c r="A147" s="2">
        <v>202605</v>
      </c>
      <c r="B147" s="2">
        <v>1100</v>
      </c>
      <c r="C147" s="2">
        <v>3400</v>
      </c>
      <c r="D147" s="2" t="s">
        <v>486</v>
      </c>
      <c r="E147" s="2" t="s">
        <v>15</v>
      </c>
      <c r="F147" s="2" t="s">
        <v>487</v>
      </c>
      <c r="G147" s="2">
        <v>1.833</v>
      </c>
      <c r="H147" s="2">
        <v>-1.833</v>
      </c>
      <c r="I147" s="2" t="s">
        <v>119</v>
      </c>
    </row>
    <row r="148" spans="1:9" x14ac:dyDescent="0.35">
      <c r="A148" s="2">
        <v>202605</v>
      </c>
      <c r="B148" s="2">
        <v>1100</v>
      </c>
      <c r="C148" s="2">
        <v>3670</v>
      </c>
      <c r="D148" s="2" t="s">
        <v>488</v>
      </c>
      <c r="E148" s="2" t="s">
        <v>15</v>
      </c>
      <c r="F148" s="2" t="s">
        <v>489</v>
      </c>
      <c r="G148" s="2">
        <v>0.65</v>
      </c>
      <c r="H148" s="2">
        <v>-0.65</v>
      </c>
      <c r="I148" s="2" t="s">
        <v>119</v>
      </c>
    </row>
    <row r="149" spans="1:9" x14ac:dyDescent="0.35">
      <c r="A149" s="2">
        <v>202605</v>
      </c>
      <c r="B149" s="2">
        <v>1100</v>
      </c>
      <c r="C149" s="2">
        <v>5000</v>
      </c>
      <c r="D149" s="2" t="s">
        <v>490</v>
      </c>
      <c r="E149" s="2" t="s">
        <v>35</v>
      </c>
      <c r="F149" s="2" t="s">
        <v>491</v>
      </c>
      <c r="G149" s="2">
        <v>14.162000000000001</v>
      </c>
      <c r="H149" s="2">
        <v>14.162000000000001</v>
      </c>
      <c r="I149" s="2" t="s">
        <v>119</v>
      </c>
    </row>
    <row r="150" spans="1:9" x14ac:dyDescent="0.35">
      <c r="A150" s="2">
        <v>202605</v>
      </c>
      <c r="B150" s="2">
        <v>1100</v>
      </c>
      <c r="C150" s="2">
        <v>6300</v>
      </c>
      <c r="D150" s="2" t="s">
        <v>54</v>
      </c>
      <c r="E150" s="2" t="s">
        <v>35</v>
      </c>
      <c r="F150" s="2" t="s">
        <v>492</v>
      </c>
      <c r="G150" s="2">
        <v>5.407</v>
      </c>
      <c r="H150" s="2">
        <v>5.407</v>
      </c>
      <c r="I150" s="2" t="s">
        <v>119</v>
      </c>
    </row>
    <row r="151" spans="1:9" x14ac:dyDescent="0.35">
      <c r="A151" s="2">
        <v>202605</v>
      </c>
      <c r="B151" s="2">
        <v>1100</v>
      </c>
      <c r="C151" s="2">
        <v>6050</v>
      </c>
      <c r="D151" s="2" t="s">
        <v>493</v>
      </c>
      <c r="E151" s="2" t="s">
        <v>35</v>
      </c>
      <c r="F151" s="2" t="s">
        <v>494</v>
      </c>
      <c r="G151" s="2">
        <v>2.5329999999999999</v>
      </c>
      <c r="H151" s="2">
        <v>2.5329999999999999</v>
      </c>
      <c r="I151" s="2" t="s">
        <v>119</v>
      </c>
    </row>
    <row r="152" spans="1:9" x14ac:dyDescent="0.35">
      <c r="A152" s="2">
        <v>202605</v>
      </c>
      <c r="B152" s="2">
        <v>1200</v>
      </c>
      <c r="C152" s="2">
        <v>3900</v>
      </c>
      <c r="D152" s="2" t="s">
        <v>31</v>
      </c>
      <c r="E152" s="2" t="s">
        <v>15</v>
      </c>
      <c r="F152" s="2" t="s">
        <v>485</v>
      </c>
      <c r="G152" s="2">
        <v>27.766999999999999</v>
      </c>
      <c r="H152" s="2">
        <v>-27.766999999999999</v>
      </c>
      <c r="I152" s="2" t="s">
        <v>119</v>
      </c>
    </row>
    <row r="153" spans="1:9" x14ac:dyDescent="0.35">
      <c r="A153" s="2">
        <v>202605</v>
      </c>
      <c r="B153" s="2">
        <v>1200</v>
      </c>
      <c r="C153" s="2">
        <v>3400</v>
      </c>
      <c r="D153" s="2" t="s">
        <v>486</v>
      </c>
      <c r="E153" s="2" t="s">
        <v>15</v>
      </c>
      <c r="F153" s="2" t="s">
        <v>487</v>
      </c>
      <c r="G153" s="2">
        <v>4</v>
      </c>
      <c r="H153" s="2">
        <v>-4</v>
      </c>
      <c r="I153" s="2" t="s">
        <v>119</v>
      </c>
    </row>
    <row r="154" spans="1:9" x14ac:dyDescent="0.35">
      <c r="A154" s="2">
        <v>202605</v>
      </c>
      <c r="B154" s="2">
        <v>1200</v>
      </c>
      <c r="C154" s="2">
        <v>3670</v>
      </c>
      <c r="D154" s="2" t="s">
        <v>488</v>
      </c>
      <c r="E154" s="2" t="s">
        <v>15</v>
      </c>
      <c r="F154" s="2" t="s">
        <v>489</v>
      </c>
      <c r="G154" s="2">
        <v>1.633</v>
      </c>
      <c r="H154" s="2">
        <v>-1.633</v>
      </c>
      <c r="I154" s="2" t="s">
        <v>119</v>
      </c>
    </row>
    <row r="155" spans="1:9" x14ac:dyDescent="0.35">
      <c r="A155" s="2">
        <v>202605</v>
      </c>
      <c r="B155" s="2">
        <v>1200</v>
      </c>
      <c r="C155" s="2">
        <v>5000</v>
      </c>
      <c r="D155" s="2" t="s">
        <v>490</v>
      </c>
      <c r="E155" s="2" t="s">
        <v>35</v>
      </c>
      <c r="F155" s="2" t="s">
        <v>491</v>
      </c>
      <c r="G155" s="2">
        <v>20.122</v>
      </c>
      <c r="H155" s="2">
        <v>20.122</v>
      </c>
      <c r="I155" s="2" t="s">
        <v>119</v>
      </c>
    </row>
    <row r="156" spans="1:9" x14ac:dyDescent="0.35">
      <c r="A156" s="2">
        <v>202605</v>
      </c>
      <c r="B156" s="2">
        <v>1200</v>
      </c>
      <c r="C156" s="2">
        <v>6300</v>
      </c>
      <c r="D156" s="2" t="s">
        <v>54</v>
      </c>
      <c r="E156" s="2" t="s">
        <v>35</v>
      </c>
      <c r="F156" s="2" t="s">
        <v>492</v>
      </c>
      <c r="G156" s="2">
        <v>7.6840000000000002</v>
      </c>
      <c r="H156" s="2">
        <v>7.6840000000000002</v>
      </c>
      <c r="I156" s="2" t="s">
        <v>119</v>
      </c>
    </row>
    <row r="157" spans="1:9" x14ac:dyDescent="0.35">
      <c r="A157" s="2">
        <v>202605</v>
      </c>
      <c r="B157" s="2">
        <v>1200</v>
      </c>
      <c r="C157" s="2">
        <v>6050</v>
      </c>
      <c r="D157" s="2" t="s">
        <v>493</v>
      </c>
      <c r="E157" s="2" t="s">
        <v>35</v>
      </c>
      <c r="F157" s="2" t="s">
        <v>494</v>
      </c>
      <c r="G157" s="2">
        <v>4.6669999999999998</v>
      </c>
      <c r="H157" s="2">
        <v>4.6669999999999998</v>
      </c>
      <c r="I157" s="2" t="s">
        <v>119</v>
      </c>
    </row>
    <row r="158" spans="1:9" x14ac:dyDescent="0.35">
      <c r="A158" s="2">
        <v>202605</v>
      </c>
      <c r="B158" s="2">
        <v>1300</v>
      </c>
      <c r="C158" s="2">
        <v>3900</v>
      </c>
      <c r="D158" s="2" t="s">
        <v>31</v>
      </c>
      <c r="E158" s="2" t="s">
        <v>15</v>
      </c>
      <c r="F158" s="2" t="s">
        <v>485</v>
      </c>
      <c r="G158" s="2">
        <v>23.65</v>
      </c>
      <c r="H158" s="2">
        <v>-23.65</v>
      </c>
      <c r="I158" s="2" t="s">
        <v>119</v>
      </c>
    </row>
    <row r="159" spans="1:9" x14ac:dyDescent="0.35">
      <c r="A159" s="2">
        <v>202605</v>
      </c>
      <c r="B159" s="2">
        <v>1300</v>
      </c>
      <c r="C159" s="2">
        <v>3400</v>
      </c>
      <c r="D159" s="2" t="s">
        <v>486</v>
      </c>
      <c r="E159" s="2" t="s">
        <v>15</v>
      </c>
      <c r="F159" s="2" t="s">
        <v>487</v>
      </c>
      <c r="G159" s="2">
        <v>2.0830000000000002</v>
      </c>
      <c r="H159" s="2">
        <v>-2.0830000000000002</v>
      </c>
      <c r="I159" s="2" t="s">
        <v>119</v>
      </c>
    </row>
    <row r="160" spans="1:9" x14ac:dyDescent="0.35">
      <c r="A160" s="2">
        <v>202605</v>
      </c>
      <c r="B160" s="2">
        <v>1300</v>
      </c>
      <c r="C160" s="2">
        <v>3670</v>
      </c>
      <c r="D160" s="2" t="s">
        <v>488</v>
      </c>
      <c r="E160" s="2" t="s">
        <v>15</v>
      </c>
      <c r="F160" s="2" t="s">
        <v>489</v>
      </c>
      <c r="G160" s="2">
        <v>1.2330000000000001</v>
      </c>
      <c r="H160" s="2">
        <v>-1.2330000000000001</v>
      </c>
      <c r="I160" s="2" t="s">
        <v>119</v>
      </c>
    </row>
    <row r="161" spans="1:9" x14ac:dyDescent="0.35">
      <c r="A161" s="2">
        <v>202605</v>
      </c>
      <c r="B161" s="2">
        <v>1300</v>
      </c>
      <c r="C161" s="2">
        <v>5000</v>
      </c>
      <c r="D161" s="2" t="s">
        <v>490</v>
      </c>
      <c r="E161" s="2" t="s">
        <v>35</v>
      </c>
      <c r="F161" s="2" t="s">
        <v>491</v>
      </c>
      <c r="G161" s="2">
        <v>17.138000000000002</v>
      </c>
      <c r="H161" s="2">
        <v>17.138000000000002</v>
      </c>
      <c r="I161" s="2" t="s">
        <v>119</v>
      </c>
    </row>
    <row r="162" spans="1:9" x14ac:dyDescent="0.35">
      <c r="A162" s="2">
        <v>202605</v>
      </c>
      <c r="B162" s="2">
        <v>1300</v>
      </c>
      <c r="C162" s="2">
        <v>6300</v>
      </c>
      <c r="D162" s="2" t="s">
        <v>54</v>
      </c>
      <c r="E162" s="2" t="s">
        <v>35</v>
      </c>
      <c r="F162" s="2" t="s">
        <v>492</v>
      </c>
      <c r="G162" s="2">
        <v>6.5449999999999999</v>
      </c>
      <c r="H162" s="2">
        <v>6.5449999999999999</v>
      </c>
      <c r="I162" s="2" t="s">
        <v>119</v>
      </c>
    </row>
    <row r="163" spans="1:9" x14ac:dyDescent="0.35">
      <c r="A163" s="2">
        <v>202605</v>
      </c>
      <c r="B163" s="2">
        <v>1300</v>
      </c>
      <c r="C163" s="2">
        <v>6050</v>
      </c>
      <c r="D163" s="2" t="s">
        <v>493</v>
      </c>
      <c r="E163" s="2" t="s">
        <v>35</v>
      </c>
      <c r="F163" s="2" t="s">
        <v>494</v>
      </c>
      <c r="G163" s="2">
        <v>2.8</v>
      </c>
      <c r="H163" s="2">
        <v>2.8</v>
      </c>
      <c r="I163" s="2" t="s">
        <v>119</v>
      </c>
    </row>
    <row r="164" spans="1:9" x14ac:dyDescent="0.35">
      <c r="A164" s="2">
        <v>202605</v>
      </c>
      <c r="B164" s="2">
        <v>1400</v>
      </c>
      <c r="C164" s="2">
        <v>3900</v>
      </c>
      <c r="D164" s="2" t="s">
        <v>31</v>
      </c>
      <c r="E164" s="2" t="s">
        <v>15</v>
      </c>
      <c r="F164" s="2" t="s">
        <v>485</v>
      </c>
      <c r="G164" s="2">
        <v>13.367000000000001</v>
      </c>
      <c r="H164" s="2">
        <v>-13.367000000000001</v>
      </c>
      <c r="I164" s="2" t="s">
        <v>119</v>
      </c>
    </row>
    <row r="165" spans="1:9" x14ac:dyDescent="0.35">
      <c r="A165" s="2">
        <v>202605</v>
      </c>
      <c r="B165" s="2">
        <v>1400</v>
      </c>
      <c r="C165" s="2">
        <v>3400</v>
      </c>
      <c r="D165" s="2" t="s">
        <v>486</v>
      </c>
      <c r="E165" s="2" t="s">
        <v>15</v>
      </c>
      <c r="F165" s="2" t="s">
        <v>487</v>
      </c>
      <c r="G165" s="2">
        <v>1.25</v>
      </c>
      <c r="H165" s="2">
        <v>-1.25</v>
      </c>
      <c r="I165" s="2" t="s">
        <v>119</v>
      </c>
    </row>
    <row r="166" spans="1:9" x14ac:dyDescent="0.35">
      <c r="A166" s="2">
        <v>202605</v>
      </c>
      <c r="B166" s="2">
        <v>1400</v>
      </c>
      <c r="C166" s="2">
        <v>3670</v>
      </c>
      <c r="D166" s="2" t="s">
        <v>488</v>
      </c>
      <c r="E166" s="2" t="s">
        <v>15</v>
      </c>
      <c r="F166" s="2" t="s">
        <v>489</v>
      </c>
      <c r="G166" s="2">
        <v>0.74199999999999999</v>
      </c>
      <c r="H166" s="2">
        <v>-0.74199999999999999</v>
      </c>
      <c r="I166" s="2" t="s">
        <v>119</v>
      </c>
    </row>
    <row r="167" spans="1:9" x14ac:dyDescent="0.35">
      <c r="A167" s="2">
        <v>202605</v>
      </c>
      <c r="B167" s="2">
        <v>1400</v>
      </c>
      <c r="C167" s="2">
        <v>5000</v>
      </c>
      <c r="D167" s="2" t="s">
        <v>490</v>
      </c>
      <c r="E167" s="2" t="s">
        <v>35</v>
      </c>
      <c r="F167" s="2" t="s">
        <v>491</v>
      </c>
      <c r="G167" s="2">
        <v>9.6859999999999999</v>
      </c>
      <c r="H167" s="2">
        <v>9.6859999999999999</v>
      </c>
      <c r="I167" s="2" t="s">
        <v>119</v>
      </c>
    </row>
    <row r="168" spans="1:9" x14ac:dyDescent="0.35">
      <c r="A168" s="2">
        <v>202605</v>
      </c>
      <c r="B168" s="2">
        <v>1400</v>
      </c>
      <c r="C168" s="2">
        <v>6300</v>
      </c>
      <c r="D168" s="2" t="s">
        <v>54</v>
      </c>
      <c r="E168" s="2" t="s">
        <v>35</v>
      </c>
      <c r="F168" s="2" t="s">
        <v>492</v>
      </c>
      <c r="G168" s="2">
        <v>3.7</v>
      </c>
      <c r="H168" s="2">
        <v>3.7</v>
      </c>
      <c r="I168" s="2" t="s">
        <v>119</v>
      </c>
    </row>
    <row r="169" spans="1:9" x14ac:dyDescent="0.35">
      <c r="A169" s="2">
        <v>202605</v>
      </c>
      <c r="B169" s="2">
        <v>1400</v>
      </c>
      <c r="C169" s="2">
        <v>6050</v>
      </c>
      <c r="D169" s="2" t="s">
        <v>493</v>
      </c>
      <c r="E169" s="2" t="s">
        <v>35</v>
      </c>
      <c r="F169" s="2" t="s">
        <v>494</v>
      </c>
      <c r="G169" s="2">
        <v>1.2</v>
      </c>
      <c r="H169" s="2">
        <v>1.2</v>
      </c>
      <c r="I169" s="2" t="s">
        <v>119</v>
      </c>
    </row>
    <row r="170" spans="1:9" x14ac:dyDescent="0.35">
      <c r="A170" s="2">
        <v>202605</v>
      </c>
      <c r="B170" s="2">
        <v>1500</v>
      </c>
      <c r="C170" s="2">
        <v>3900</v>
      </c>
      <c r="D170" s="2" t="s">
        <v>31</v>
      </c>
      <c r="E170" s="2" t="s">
        <v>15</v>
      </c>
      <c r="F170" s="2" t="s">
        <v>485</v>
      </c>
      <c r="G170" s="2">
        <v>10.282999999999999</v>
      </c>
      <c r="H170" s="2">
        <v>-10.282999999999999</v>
      </c>
      <c r="I170" s="2" t="s">
        <v>119</v>
      </c>
    </row>
    <row r="171" spans="1:9" x14ac:dyDescent="0.35">
      <c r="A171" s="2">
        <v>202605</v>
      </c>
      <c r="B171" s="2">
        <v>1500</v>
      </c>
      <c r="C171" s="2">
        <v>3400</v>
      </c>
      <c r="D171" s="2" t="s">
        <v>486</v>
      </c>
      <c r="E171" s="2" t="s">
        <v>15</v>
      </c>
      <c r="F171" s="2" t="s">
        <v>487</v>
      </c>
      <c r="G171" s="2">
        <v>0.83299999999999996</v>
      </c>
      <c r="H171" s="2">
        <v>-0.83299999999999996</v>
      </c>
      <c r="I171" s="2" t="s">
        <v>119</v>
      </c>
    </row>
    <row r="172" spans="1:9" x14ac:dyDescent="0.35">
      <c r="A172" s="2">
        <v>202605</v>
      </c>
      <c r="B172" s="2">
        <v>1500</v>
      </c>
      <c r="C172" s="2">
        <v>3670</v>
      </c>
      <c r="D172" s="2" t="s">
        <v>488</v>
      </c>
      <c r="E172" s="2" t="s">
        <v>15</v>
      </c>
      <c r="F172" s="2" t="s">
        <v>489</v>
      </c>
      <c r="G172" s="2">
        <v>0.49199999999999999</v>
      </c>
      <c r="H172" s="2">
        <v>-0.49199999999999999</v>
      </c>
      <c r="I172" s="2" t="s">
        <v>119</v>
      </c>
    </row>
    <row r="173" spans="1:9" x14ac:dyDescent="0.35">
      <c r="A173" s="2">
        <v>202605</v>
      </c>
      <c r="B173" s="2">
        <v>1500</v>
      </c>
      <c r="C173" s="2">
        <v>5000</v>
      </c>
      <c r="D173" s="2" t="s">
        <v>490</v>
      </c>
      <c r="E173" s="2" t="s">
        <v>35</v>
      </c>
      <c r="F173" s="2" t="s">
        <v>491</v>
      </c>
      <c r="G173" s="2">
        <v>7.452</v>
      </c>
      <c r="H173" s="2">
        <v>7.452</v>
      </c>
      <c r="I173" s="2" t="s">
        <v>119</v>
      </c>
    </row>
    <row r="174" spans="1:9" x14ac:dyDescent="0.35">
      <c r="A174" s="2">
        <v>202605</v>
      </c>
      <c r="B174" s="2">
        <v>1500</v>
      </c>
      <c r="C174" s="2">
        <v>6300</v>
      </c>
      <c r="D174" s="2" t="s">
        <v>54</v>
      </c>
      <c r="E174" s="2" t="s">
        <v>35</v>
      </c>
      <c r="F174" s="2" t="s">
        <v>492</v>
      </c>
      <c r="G174" s="2">
        <v>2.8460000000000001</v>
      </c>
      <c r="H174" s="2">
        <v>2.8460000000000001</v>
      </c>
      <c r="I174" s="2" t="s">
        <v>119</v>
      </c>
    </row>
    <row r="175" spans="1:9" x14ac:dyDescent="0.35">
      <c r="A175" s="2">
        <v>202605</v>
      </c>
      <c r="B175" s="2">
        <v>1500</v>
      </c>
      <c r="C175" s="2">
        <v>6050</v>
      </c>
      <c r="D175" s="2" t="s">
        <v>493</v>
      </c>
      <c r="E175" s="2" t="s">
        <v>35</v>
      </c>
      <c r="F175" s="2" t="s">
        <v>494</v>
      </c>
      <c r="G175" s="2">
        <v>0.93300000000000005</v>
      </c>
      <c r="H175" s="2">
        <v>0.93300000000000005</v>
      </c>
      <c r="I175" s="2" t="s">
        <v>119</v>
      </c>
    </row>
    <row r="176" spans="1:9" x14ac:dyDescent="0.35">
      <c r="A176" s="2">
        <v>202605</v>
      </c>
      <c r="B176" s="2">
        <v>1900</v>
      </c>
      <c r="C176" s="2">
        <v>3900</v>
      </c>
      <c r="D176" s="2" t="s">
        <v>31</v>
      </c>
      <c r="E176" s="2" t="s">
        <v>15</v>
      </c>
      <c r="F176" s="2" t="s">
        <v>485</v>
      </c>
      <c r="G176" s="2">
        <v>7.2</v>
      </c>
      <c r="H176" s="2">
        <v>-7.2</v>
      </c>
      <c r="I176" s="2" t="s">
        <v>119</v>
      </c>
    </row>
    <row r="177" spans="1:9" x14ac:dyDescent="0.35">
      <c r="A177" s="2">
        <v>202605</v>
      </c>
      <c r="B177" s="2">
        <v>1900</v>
      </c>
      <c r="C177" s="2">
        <v>3400</v>
      </c>
      <c r="D177" s="2" t="s">
        <v>486</v>
      </c>
      <c r="E177" s="2" t="s">
        <v>15</v>
      </c>
      <c r="F177" s="2" t="s">
        <v>487</v>
      </c>
      <c r="G177" s="2">
        <v>0.25</v>
      </c>
      <c r="H177" s="2">
        <v>-0.25</v>
      </c>
      <c r="I177" s="2" t="s">
        <v>119</v>
      </c>
    </row>
    <row r="178" spans="1:9" x14ac:dyDescent="0.35">
      <c r="A178" s="2">
        <v>202605</v>
      </c>
      <c r="B178" s="2">
        <v>1900</v>
      </c>
      <c r="C178" s="2">
        <v>3670</v>
      </c>
      <c r="D178" s="2" t="s">
        <v>488</v>
      </c>
      <c r="E178" s="2" t="s">
        <v>15</v>
      </c>
      <c r="F178" s="2" t="s">
        <v>489</v>
      </c>
      <c r="G178" s="2">
        <v>1.583</v>
      </c>
      <c r="H178" s="2">
        <v>-1.583</v>
      </c>
      <c r="I178" s="2" t="s">
        <v>119</v>
      </c>
    </row>
    <row r="179" spans="1:9" x14ac:dyDescent="0.35">
      <c r="A179" s="2">
        <v>202605</v>
      </c>
      <c r="B179" s="2">
        <v>1900</v>
      </c>
      <c r="C179" s="2">
        <v>5000</v>
      </c>
      <c r="D179" s="2" t="s">
        <v>490</v>
      </c>
      <c r="E179" s="2" t="s">
        <v>35</v>
      </c>
      <c r="F179" s="2" t="s">
        <v>491</v>
      </c>
      <c r="G179" s="2">
        <v>5.96</v>
      </c>
      <c r="H179" s="2">
        <v>5.96</v>
      </c>
      <c r="I179" s="2" t="s">
        <v>119</v>
      </c>
    </row>
    <row r="180" spans="1:9" x14ac:dyDescent="0.35">
      <c r="A180" s="2">
        <v>202605</v>
      </c>
      <c r="B180" s="2">
        <v>1900</v>
      </c>
      <c r="C180" s="2">
        <v>6300</v>
      </c>
      <c r="D180" s="2" t="s">
        <v>54</v>
      </c>
      <c r="E180" s="2" t="s">
        <v>35</v>
      </c>
      <c r="F180" s="2" t="s">
        <v>492</v>
      </c>
      <c r="G180" s="2">
        <v>2.2770000000000001</v>
      </c>
      <c r="H180" s="2">
        <v>2.2770000000000001</v>
      </c>
      <c r="I180" s="2" t="s">
        <v>119</v>
      </c>
    </row>
    <row r="181" spans="1:9" x14ac:dyDescent="0.35">
      <c r="A181" s="2">
        <v>202605</v>
      </c>
      <c r="B181" s="2">
        <v>1900</v>
      </c>
      <c r="C181" s="2">
        <v>6050</v>
      </c>
      <c r="D181" s="2" t="s">
        <v>493</v>
      </c>
      <c r="E181" s="2" t="s">
        <v>35</v>
      </c>
      <c r="F181" s="2" t="s">
        <v>494</v>
      </c>
      <c r="G181" s="2">
        <v>1.2</v>
      </c>
      <c r="H181" s="2">
        <v>1.2</v>
      </c>
      <c r="I181" s="2" t="s">
        <v>119</v>
      </c>
    </row>
    <row r="182" spans="1:9" x14ac:dyDescent="0.35">
      <c r="A182" s="2">
        <v>202606</v>
      </c>
      <c r="B182" s="2">
        <v>1100</v>
      </c>
      <c r="C182" s="2">
        <v>3900</v>
      </c>
      <c r="D182" s="2" t="s">
        <v>31</v>
      </c>
      <c r="E182" s="2" t="s">
        <v>15</v>
      </c>
      <c r="F182" s="2" t="s">
        <v>485</v>
      </c>
      <c r="G182" s="2">
        <v>20.567</v>
      </c>
      <c r="H182" s="2">
        <v>-20.567</v>
      </c>
      <c r="I182" s="2" t="s">
        <v>119</v>
      </c>
    </row>
    <row r="183" spans="1:9" x14ac:dyDescent="0.35">
      <c r="A183" s="2">
        <v>202606</v>
      </c>
      <c r="B183" s="2">
        <v>1100</v>
      </c>
      <c r="C183" s="2">
        <v>3400</v>
      </c>
      <c r="D183" s="2" t="s">
        <v>486</v>
      </c>
      <c r="E183" s="2" t="s">
        <v>15</v>
      </c>
      <c r="F183" s="2" t="s">
        <v>487</v>
      </c>
      <c r="G183" s="2">
        <v>1.833</v>
      </c>
      <c r="H183" s="2">
        <v>-1.833</v>
      </c>
      <c r="I183" s="2" t="s">
        <v>119</v>
      </c>
    </row>
    <row r="184" spans="1:9" x14ac:dyDescent="0.35">
      <c r="A184" s="2">
        <v>202606</v>
      </c>
      <c r="B184" s="2">
        <v>1100</v>
      </c>
      <c r="C184" s="2">
        <v>3670</v>
      </c>
      <c r="D184" s="2" t="s">
        <v>488</v>
      </c>
      <c r="E184" s="2" t="s">
        <v>15</v>
      </c>
      <c r="F184" s="2" t="s">
        <v>489</v>
      </c>
      <c r="G184" s="2">
        <v>0.65</v>
      </c>
      <c r="H184" s="2">
        <v>-0.65</v>
      </c>
      <c r="I184" s="2" t="s">
        <v>119</v>
      </c>
    </row>
    <row r="185" spans="1:9" x14ac:dyDescent="0.35">
      <c r="A185" s="2">
        <v>202606</v>
      </c>
      <c r="B185" s="2">
        <v>1100</v>
      </c>
      <c r="C185" s="2">
        <v>5000</v>
      </c>
      <c r="D185" s="2" t="s">
        <v>490</v>
      </c>
      <c r="E185" s="2" t="s">
        <v>35</v>
      </c>
      <c r="F185" s="2" t="s">
        <v>491</v>
      </c>
      <c r="G185" s="2">
        <v>21.242999999999999</v>
      </c>
      <c r="H185" s="2">
        <v>21.242999999999999</v>
      </c>
      <c r="I185" s="2" t="s">
        <v>119</v>
      </c>
    </row>
    <row r="186" spans="1:9" x14ac:dyDescent="0.35">
      <c r="A186" s="2">
        <v>202606</v>
      </c>
      <c r="B186" s="2">
        <v>1100</v>
      </c>
      <c r="C186" s="2">
        <v>6300</v>
      </c>
      <c r="D186" s="2" t="s">
        <v>54</v>
      </c>
      <c r="E186" s="2" t="s">
        <v>35</v>
      </c>
      <c r="F186" s="2" t="s">
        <v>492</v>
      </c>
      <c r="G186" s="2">
        <v>5.407</v>
      </c>
      <c r="H186" s="2">
        <v>5.407</v>
      </c>
      <c r="I186" s="2" t="s">
        <v>119</v>
      </c>
    </row>
    <row r="187" spans="1:9" x14ac:dyDescent="0.35">
      <c r="A187" s="2">
        <v>202606</v>
      </c>
      <c r="B187" s="2">
        <v>1100</v>
      </c>
      <c r="C187" s="2">
        <v>6050</v>
      </c>
      <c r="D187" s="2" t="s">
        <v>493</v>
      </c>
      <c r="E187" s="2" t="s">
        <v>35</v>
      </c>
      <c r="F187" s="2" t="s">
        <v>494</v>
      </c>
      <c r="G187" s="2">
        <v>2.5329999999999999</v>
      </c>
      <c r="H187" s="2">
        <v>2.5329999999999999</v>
      </c>
      <c r="I187" s="2" t="s">
        <v>119</v>
      </c>
    </row>
    <row r="188" spans="1:9" x14ac:dyDescent="0.35">
      <c r="A188" s="2">
        <v>202606</v>
      </c>
      <c r="B188" s="2">
        <v>1200</v>
      </c>
      <c r="C188" s="2">
        <v>3900</v>
      </c>
      <c r="D188" s="2" t="s">
        <v>31</v>
      </c>
      <c r="E188" s="2" t="s">
        <v>15</v>
      </c>
      <c r="F188" s="2" t="s">
        <v>485</v>
      </c>
      <c r="G188" s="2">
        <v>27.766999999999999</v>
      </c>
      <c r="H188" s="2">
        <v>-27.766999999999999</v>
      </c>
      <c r="I188" s="2" t="s">
        <v>119</v>
      </c>
    </row>
    <row r="189" spans="1:9" x14ac:dyDescent="0.35">
      <c r="A189" s="2">
        <v>202606</v>
      </c>
      <c r="B189" s="2">
        <v>1200</v>
      </c>
      <c r="C189" s="2">
        <v>3400</v>
      </c>
      <c r="D189" s="2" t="s">
        <v>486</v>
      </c>
      <c r="E189" s="2" t="s">
        <v>15</v>
      </c>
      <c r="F189" s="2" t="s">
        <v>487</v>
      </c>
      <c r="G189" s="2">
        <v>4</v>
      </c>
      <c r="H189" s="2">
        <v>-4</v>
      </c>
      <c r="I189" s="2" t="s">
        <v>119</v>
      </c>
    </row>
    <row r="190" spans="1:9" x14ac:dyDescent="0.35">
      <c r="A190" s="2">
        <v>202606</v>
      </c>
      <c r="B190" s="2">
        <v>1200</v>
      </c>
      <c r="C190" s="2">
        <v>3670</v>
      </c>
      <c r="D190" s="2" t="s">
        <v>488</v>
      </c>
      <c r="E190" s="2" t="s">
        <v>15</v>
      </c>
      <c r="F190" s="2" t="s">
        <v>489</v>
      </c>
      <c r="G190" s="2">
        <v>1.633</v>
      </c>
      <c r="H190" s="2">
        <v>-1.633</v>
      </c>
      <c r="I190" s="2" t="s">
        <v>119</v>
      </c>
    </row>
    <row r="191" spans="1:9" x14ac:dyDescent="0.35">
      <c r="A191" s="2">
        <v>202606</v>
      </c>
      <c r="B191" s="2">
        <v>1200</v>
      </c>
      <c r="C191" s="2">
        <v>5000</v>
      </c>
      <c r="D191" s="2" t="s">
        <v>490</v>
      </c>
      <c r="E191" s="2" t="s">
        <v>35</v>
      </c>
      <c r="F191" s="2" t="s">
        <v>491</v>
      </c>
      <c r="G191" s="2">
        <v>30.183</v>
      </c>
      <c r="H191" s="2">
        <v>30.183</v>
      </c>
      <c r="I191" s="2" t="s">
        <v>119</v>
      </c>
    </row>
    <row r="192" spans="1:9" x14ac:dyDescent="0.35">
      <c r="A192" s="2">
        <v>202606</v>
      </c>
      <c r="B192" s="2">
        <v>1200</v>
      </c>
      <c r="C192" s="2">
        <v>6300</v>
      </c>
      <c r="D192" s="2" t="s">
        <v>54</v>
      </c>
      <c r="E192" s="2" t="s">
        <v>35</v>
      </c>
      <c r="F192" s="2" t="s">
        <v>492</v>
      </c>
      <c r="G192" s="2">
        <v>7.6840000000000002</v>
      </c>
      <c r="H192" s="2">
        <v>7.6840000000000002</v>
      </c>
      <c r="I192" s="2" t="s">
        <v>119</v>
      </c>
    </row>
    <row r="193" spans="1:9" x14ac:dyDescent="0.35">
      <c r="A193" s="2">
        <v>202606</v>
      </c>
      <c r="B193" s="2">
        <v>1200</v>
      </c>
      <c r="C193" s="2">
        <v>6050</v>
      </c>
      <c r="D193" s="2" t="s">
        <v>493</v>
      </c>
      <c r="E193" s="2" t="s">
        <v>35</v>
      </c>
      <c r="F193" s="2" t="s">
        <v>494</v>
      </c>
      <c r="G193" s="2">
        <v>4.6669999999999998</v>
      </c>
      <c r="H193" s="2">
        <v>4.6669999999999998</v>
      </c>
      <c r="I193" s="2" t="s">
        <v>119</v>
      </c>
    </row>
    <row r="194" spans="1:9" x14ac:dyDescent="0.35">
      <c r="A194" s="2">
        <v>202606</v>
      </c>
      <c r="B194" s="2">
        <v>1300</v>
      </c>
      <c r="C194" s="2">
        <v>3900</v>
      </c>
      <c r="D194" s="2" t="s">
        <v>31</v>
      </c>
      <c r="E194" s="2" t="s">
        <v>15</v>
      </c>
      <c r="F194" s="2" t="s">
        <v>485</v>
      </c>
      <c r="G194" s="2">
        <v>23.65</v>
      </c>
      <c r="H194" s="2">
        <v>-23.65</v>
      </c>
      <c r="I194" s="2" t="s">
        <v>119</v>
      </c>
    </row>
    <row r="195" spans="1:9" x14ac:dyDescent="0.35">
      <c r="A195" s="2">
        <v>202606</v>
      </c>
      <c r="B195" s="2">
        <v>1300</v>
      </c>
      <c r="C195" s="2">
        <v>3400</v>
      </c>
      <c r="D195" s="2" t="s">
        <v>486</v>
      </c>
      <c r="E195" s="2" t="s">
        <v>15</v>
      </c>
      <c r="F195" s="2" t="s">
        <v>487</v>
      </c>
      <c r="G195" s="2">
        <v>2.0830000000000002</v>
      </c>
      <c r="H195" s="2">
        <v>-2.0830000000000002</v>
      </c>
      <c r="I195" s="2" t="s">
        <v>119</v>
      </c>
    </row>
    <row r="196" spans="1:9" x14ac:dyDescent="0.35">
      <c r="A196" s="2">
        <v>202606</v>
      </c>
      <c r="B196" s="2">
        <v>1300</v>
      </c>
      <c r="C196" s="2">
        <v>3670</v>
      </c>
      <c r="D196" s="2" t="s">
        <v>488</v>
      </c>
      <c r="E196" s="2" t="s">
        <v>15</v>
      </c>
      <c r="F196" s="2" t="s">
        <v>489</v>
      </c>
      <c r="G196" s="2">
        <v>1.2330000000000001</v>
      </c>
      <c r="H196" s="2">
        <v>-1.2330000000000001</v>
      </c>
      <c r="I196" s="2" t="s">
        <v>119</v>
      </c>
    </row>
    <row r="197" spans="1:9" x14ac:dyDescent="0.35">
      <c r="A197" s="2">
        <v>202606</v>
      </c>
      <c r="B197" s="2">
        <v>1300</v>
      </c>
      <c r="C197" s="2">
        <v>5000</v>
      </c>
      <c r="D197" s="2" t="s">
        <v>490</v>
      </c>
      <c r="E197" s="2" t="s">
        <v>35</v>
      </c>
      <c r="F197" s="2" t="s">
        <v>491</v>
      </c>
      <c r="G197" s="2">
        <v>25.707000000000001</v>
      </c>
      <c r="H197" s="2">
        <v>25.707000000000001</v>
      </c>
      <c r="I197" s="2" t="s">
        <v>119</v>
      </c>
    </row>
    <row r="198" spans="1:9" x14ac:dyDescent="0.35">
      <c r="A198" s="2">
        <v>202606</v>
      </c>
      <c r="B198" s="2">
        <v>1300</v>
      </c>
      <c r="C198" s="2">
        <v>6300</v>
      </c>
      <c r="D198" s="2" t="s">
        <v>54</v>
      </c>
      <c r="E198" s="2" t="s">
        <v>35</v>
      </c>
      <c r="F198" s="2" t="s">
        <v>492</v>
      </c>
      <c r="G198" s="2">
        <v>6.5449999999999999</v>
      </c>
      <c r="H198" s="2">
        <v>6.5449999999999999</v>
      </c>
      <c r="I198" s="2" t="s">
        <v>119</v>
      </c>
    </row>
    <row r="199" spans="1:9" x14ac:dyDescent="0.35">
      <c r="A199" s="2">
        <v>202606</v>
      </c>
      <c r="B199" s="2">
        <v>1300</v>
      </c>
      <c r="C199" s="2">
        <v>6050</v>
      </c>
      <c r="D199" s="2" t="s">
        <v>493</v>
      </c>
      <c r="E199" s="2" t="s">
        <v>35</v>
      </c>
      <c r="F199" s="2" t="s">
        <v>494</v>
      </c>
      <c r="G199" s="2">
        <v>2.8</v>
      </c>
      <c r="H199" s="2">
        <v>2.8</v>
      </c>
      <c r="I199" s="2" t="s">
        <v>119</v>
      </c>
    </row>
    <row r="200" spans="1:9" x14ac:dyDescent="0.35">
      <c r="A200" s="2">
        <v>202606</v>
      </c>
      <c r="B200" s="2">
        <v>1400</v>
      </c>
      <c r="C200" s="2">
        <v>3900</v>
      </c>
      <c r="D200" s="2" t="s">
        <v>31</v>
      </c>
      <c r="E200" s="2" t="s">
        <v>15</v>
      </c>
      <c r="F200" s="2" t="s">
        <v>485</v>
      </c>
      <c r="G200" s="2">
        <v>13.367000000000001</v>
      </c>
      <c r="H200" s="2">
        <v>-13.367000000000001</v>
      </c>
      <c r="I200" s="2" t="s">
        <v>119</v>
      </c>
    </row>
    <row r="201" spans="1:9" x14ac:dyDescent="0.35">
      <c r="A201" s="2">
        <v>202606</v>
      </c>
      <c r="B201" s="2">
        <v>1400</v>
      </c>
      <c r="C201" s="2">
        <v>3400</v>
      </c>
      <c r="D201" s="2" t="s">
        <v>486</v>
      </c>
      <c r="E201" s="2" t="s">
        <v>15</v>
      </c>
      <c r="F201" s="2" t="s">
        <v>487</v>
      </c>
      <c r="G201" s="2">
        <v>1.25</v>
      </c>
      <c r="H201" s="2">
        <v>-1.25</v>
      </c>
      <c r="I201" s="2" t="s">
        <v>119</v>
      </c>
    </row>
    <row r="202" spans="1:9" x14ac:dyDescent="0.35">
      <c r="A202" s="2">
        <v>202606</v>
      </c>
      <c r="B202" s="2">
        <v>1400</v>
      </c>
      <c r="C202" s="2">
        <v>3670</v>
      </c>
      <c r="D202" s="2" t="s">
        <v>488</v>
      </c>
      <c r="E202" s="2" t="s">
        <v>15</v>
      </c>
      <c r="F202" s="2" t="s">
        <v>489</v>
      </c>
      <c r="G202" s="2">
        <v>0.74199999999999999</v>
      </c>
      <c r="H202" s="2">
        <v>-0.74199999999999999</v>
      </c>
      <c r="I202" s="2" t="s">
        <v>119</v>
      </c>
    </row>
    <row r="203" spans="1:9" x14ac:dyDescent="0.35">
      <c r="A203" s="2">
        <v>202606</v>
      </c>
      <c r="B203" s="2">
        <v>1400</v>
      </c>
      <c r="C203" s="2">
        <v>5000</v>
      </c>
      <c r="D203" s="2" t="s">
        <v>490</v>
      </c>
      <c r="E203" s="2" t="s">
        <v>35</v>
      </c>
      <c r="F203" s="2" t="s">
        <v>491</v>
      </c>
      <c r="G203" s="2">
        <v>14.529</v>
      </c>
      <c r="H203" s="2">
        <v>14.529</v>
      </c>
      <c r="I203" s="2" t="s">
        <v>119</v>
      </c>
    </row>
    <row r="204" spans="1:9" x14ac:dyDescent="0.35">
      <c r="A204" s="2">
        <v>202606</v>
      </c>
      <c r="B204" s="2">
        <v>1400</v>
      </c>
      <c r="C204" s="2">
        <v>6300</v>
      </c>
      <c r="D204" s="2" t="s">
        <v>54</v>
      </c>
      <c r="E204" s="2" t="s">
        <v>35</v>
      </c>
      <c r="F204" s="2" t="s">
        <v>492</v>
      </c>
      <c r="G204" s="2">
        <v>3.7</v>
      </c>
      <c r="H204" s="2">
        <v>3.7</v>
      </c>
      <c r="I204" s="2" t="s">
        <v>119</v>
      </c>
    </row>
    <row r="205" spans="1:9" x14ac:dyDescent="0.35">
      <c r="A205" s="2">
        <v>202606</v>
      </c>
      <c r="B205" s="2">
        <v>1400</v>
      </c>
      <c r="C205" s="2">
        <v>6050</v>
      </c>
      <c r="D205" s="2" t="s">
        <v>493</v>
      </c>
      <c r="E205" s="2" t="s">
        <v>35</v>
      </c>
      <c r="F205" s="2" t="s">
        <v>494</v>
      </c>
      <c r="G205" s="2">
        <v>1.2</v>
      </c>
      <c r="H205" s="2">
        <v>1.2</v>
      </c>
      <c r="I205" s="2" t="s">
        <v>119</v>
      </c>
    </row>
    <row r="206" spans="1:9" x14ac:dyDescent="0.35">
      <c r="A206" s="2">
        <v>202606</v>
      </c>
      <c r="B206" s="2">
        <v>1500</v>
      </c>
      <c r="C206" s="2">
        <v>3900</v>
      </c>
      <c r="D206" s="2" t="s">
        <v>31</v>
      </c>
      <c r="E206" s="2" t="s">
        <v>15</v>
      </c>
      <c r="F206" s="2" t="s">
        <v>485</v>
      </c>
      <c r="G206" s="2">
        <v>10.282999999999999</v>
      </c>
      <c r="H206" s="2">
        <v>-10.282999999999999</v>
      </c>
      <c r="I206" s="2" t="s">
        <v>119</v>
      </c>
    </row>
    <row r="207" spans="1:9" x14ac:dyDescent="0.35">
      <c r="A207" s="2">
        <v>202606</v>
      </c>
      <c r="B207" s="2">
        <v>1500</v>
      </c>
      <c r="C207" s="2">
        <v>3400</v>
      </c>
      <c r="D207" s="2" t="s">
        <v>486</v>
      </c>
      <c r="E207" s="2" t="s">
        <v>15</v>
      </c>
      <c r="F207" s="2" t="s">
        <v>487</v>
      </c>
      <c r="G207" s="2">
        <v>0.83299999999999996</v>
      </c>
      <c r="H207" s="2">
        <v>-0.83299999999999996</v>
      </c>
      <c r="I207" s="2" t="s">
        <v>119</v>
      </c>
    </row>
    <row r="208" spans="1:9" x14ac:dyDescent="0.35">
      <c r="A208" s="2">
        <v>202606</v>
      </c>
      <c r="B208" s="2">
        <v>1500</v>
      </c>
      <c r="C208" s="2">
        <v>3670</v>
      </c>
      <c r="D208" s="2" t="s">
        <v>488</v>
      </c>
      <c r="E208" s="2" t="s">
        <v>15</v>
      </c>
      <c r="F208" s="2" t="s">
        <v>489</v>
      </c>
      <c r="G208" s="2">
        <v>0.49199999999999999</v>
      </c>
      <c r="H208" s="2">
        <v>-0.49199999999999999</v>
      </c>
      <c r="I208" s="2" t="s">
        <v>119</v>
      </c>
    </row>
    <row r="209" spans="1:9" x14ac:dyDescent="0.35">
      <c r="A209" s="2">
        <v>202606</v>
      </c>
      <c r="B209" s="2">
        <v>1500</v>
      </c>
      <c r="C209" s="2">
        <v>5000</v>
      </c>
      <c r="D209" s="2" t="s">
        <v>490</v>
      </c>
      <c r="E209" s="2" t="s">
        <v>35</v>
      </c>
      <c r="F209" s="2" t="s">
        <v>491</v>
      </c>
      <c r="G209" s="2">
        <v>11.178000000000001</v>
      </c>
      <c r="H209" s="2">
        <v>11.178000000000001</v>
      </c>
      <c r="I209" s="2" t="s">
        <v>119</v>
      </c>
    </row>
    <row r="210" spans="1:9" x14ac:dyDescent="0.35">
      <c r="A210" s="2">
        <v>202606</v>
      </c>
      <c r="B210" s="2">
        <v>1500</v>
      </c>
      <c r="C210" s="2">
        <v>6300</v>
      </c>
      <c r="D210" s="2" t="s">
        <v>54</v>
      </c>
      <c r="E210" s="2" t="s">
        <v>35</v>
      </c>
      <c r="F210" s="2" t="s">
        <v>492</v>
      </c>
      <c r="G210" s="2">
        <v>2.8460000000000001</v>
      </c>
      <c r="H210" s="2">
        <v>2.8460000000000001</v>
      </c>
      <c r="I210" s="2" t="s">
        <v>119</v>
      </c>
    </row>
    <row r="211" spans="1:9" x14ac:dyDescent="0.35">
      <c r="A211" s="2">
        <v>202606</v>
      </c>
      <c r="B211" s="2">
        <v>1500</v>
      </c>
      <c r="C211" s="2">
        <v>6050</v>
      </c>
      <c r="D211" s="2" t="s">
        <v>493</v>
      </c>
      <c r="E211" s="2" t="s">
        <v>35</v>
      </c>
      <c r="F211" s="2" t="s">
        <v>494</v>
      </c>
      <c r="G211" s="2">
        <v>0.93300000000000005</v>
      </c>
      <c r="H211" s="2">
        <v>0.93300000000000005</v>
      </c>
      <c r="I211" s="2" t="s">
        <v>119</v>
      </c>
    </row>
    <row r="212" spans="1:9" x14ac:dyDescent="0.35">
      <c r="A212" s="2">
        <v>202606</v>
      </c>
      <c r="B212" s="2">
        <v>1900</v>
      </c>
      <c r="C212" s="2">
        <v>3900</v>
      </c>
      <c r="D212" s="2" t="s">
        <v>31</v>
      </c>
      <c r="E212" s="2" t="s">
        <v>15</v>
      </c>
      <c r="F212" s="2" t="s">
        <v>485</v>
      </c>
      <c r="G212" s="2">
        <v>7.2</v>
      </c>
      <c r="H212" s="2">
        <v>-7.2</v>
      </c>
      <c r="I212" s="2" t="s">
        <v>119</v>
      </c>
    </row>
    <row r="213" spans="1:9" x14ac:dyDescent="0.35">
      <c r="A213" s="2">
        <v>202606</v>
      </c>
      <c r="B213" s="2">
        <v>1900</v>
      </c>
      <c r="C213" s="2">
        <v>3400</v>
      </c>
      <c r="D213" s="2" t="s">
        <v>486</v>
      </c>
      <c r="E213" s="2" t="s">
        <v>15</v>
      </c>
      <c r="F213" s="2" t="s">
        <v>487</v>
      </c>
      <c r="G213" s="2">
        <v>0.25</v>
      </c>
      <c r="H213" s="2">
        <v>-0.25</v>
      </c>
      <c r="I213" s="2" t="s">
        <v>119</v>
      </c>
    </row>
    <row r="214" spans="1:9" x14ac:dyDescent="0.35">
      <c r="A214" s="2">
        <v>202606</v>
      </c>
      <c r="B214" s="2">
        <v>1900</v>
      </c>
      <c r="C214" s="2">
        <v>3670</v>
      </c>
      <c r="D214" s="2" t="s">
        <v>488</v>
      </c>
      <c r="E214" s="2" t="s">
        <v>15</v>
      </c>
      <c r="F214" s="2" t="s">
        <v>489</v>
      </c>
      <c r="G214" s="2">
        <v>1.583</v>
      </c>
      <c r="H214" s="2">
        <v>-1.583</v>
      </c>
      <c r="I214" s="2" t="s">
        <v>119</v>
      </c>
    </row>
    <row r="215" spans="1:9" x14ac:dyDescent="0.35">
      <c r="A215" s="2">
        <v>202606</v>
      </c>
      <c r="B215" s="2">
        <v>1900</v>
      </c>
      <c r="C215" s="2">
        <v>5000</v>
      </c>
      <c r="D215" s="2" t="s">
        <v>490</v>
      </c>
      <c r="E215" s="2" t="s">
        <v>35</v>
      </c>
      <c r="F215" s="2" t="s">
        <v>491</v>
      </c>
      <c r="G215" s="2">
        <v>8.94</v>
      </c>
      <c r="H215" s="2">
        <v>8.94</v>
      </c>
      <c r="I215" s="2" t="s">
        <v>119</v>
      </c>
    </row>
    <row r="216" spans="1:9" x14ac:dyDescent="0.35">
      <c r="A216" s="2">
        <v>202606</v>
      </c>
      <c r="B216" s="2">
        <v>1900</v>
      </c>
      <c r="C216" s="2">
        <v>6300</v>
      </c>
      <c r="D216" s="2" t="s">
        <v>54</v>
      </c>
      <c r="E216" s="2" t="s">
        <v>35</v>
      </c>
      <c r="F216" s="2" t="s">
        <v>492</v>
      </c>
      <c r="G216" s="2">
        <v>2.2770000000000001</v>
      </c>
      <c r="H216" s="2">
        <v>2.2770000000000001</v>
      </c>
      <c r="I216" s="2" t="s">
        <v>119</v>
      </c>
    </row>
    <row r="217" spans="1:9" x14ac:dyDescent="0.35">
      <c r="A217" s="2">
        <v>202606</v>
      </c>
      <c r="B217" s="2">
        <v>1900</v>
      </c>
      <c r="C217" s="2">
        <v>6050</v>
      </c>
      <c r="D217" s="2" t="s">
        <v>493</v>
      </c>
      <c r="E217" s="2" t="s">
        <v>35</v>
      </c>
      <c r="F217" s="2" t="s">
        <v>494</v>
      </c>
      <c r="G217" s="2">
        <v>1.2</v>
      </c>
      <c r="H217" s="2">
        <v>1.2</v>
      </c>
      <c r="I217" s="2" t="s">
        <v>119</v>
      </c>
    </row>
    <row r="218" spans="1:9" x14ac:dyDescent="0.35">
      <c r="A218" s="2">
        <v>202607</v>
      </c>
      <c r="B218" s="2">
        <v>1100</v>
      </c>
      <c r="C218" s="2">
        <v>3900</v>
      </c>
      <c r="D218" s="2" t="s">
        <v>31</v>
      </c>
      <c r="E218" s="2" t="s">
        <v>15</v>
      </c>
      <c r="F218" s="2" t="s">
        <v>485</v>
      </c>
      <c r="G218" s="2">
        <v>20.567</v>
      </c>
      <c r="H218" s="2">
        <v>-20.567</v>
      </c>
      <c r="I218" s="2" t="s">
        <v>119</v>
      </c>
    </row>
    <row r="219" spans="1:9" x14ac:dyDescent="0.35">
      <c r="A219" s="2">
        <v>202607</v>
      </c>
      <c r="B219" s="2">
        <v>1100</v>
      </c>
      <c r="C219" s="2">
        <v>3400</v>
      </c>
      <c r="D219" s="2" t="s">
        <v>486</v>
      </c>
      <c r="E219" s="2" t="s">
        <v>15</v>
      </c>
      <c r="F219" s="2" t="s">
        <v>487</v>
      </c>
      <c r="G219" s="2">
        <v>1.833</v>
      </c>
      <c r="H219" s="2">
        <v>-1.833</v>
      </c>
      <c r="I219" s="2" t="s">
        <v>119</v>
      </c>
    </row>
    <row r="220" spans="1:9" x14ac:dyDescent="0.35">
      <c r="A220" s="2">
        <v>202607</v>
      </c>
      <c r="B220" s="2">
        <v>1100</v>
      </c>
      <c r="C220" s="2">
        <v>3670</v>
      </c>
      <c r="D220" s="2" t="s">
        <v>488</v>
      </c>
      <c r="E220" s="2" t="s">
        <v>15</v>
      </c>
      <c r="F220" s="2" t="s">
        <v>489</v>
      </c>
      <c r="G220" s="2">
        <v>0.65</v>
      </c>
      <c r="H220" s="2">
        <v>-0.65</v>
      </c>
      <c r="I220" s="2" t="s">
        <v>119</v>
      </c>
    </row>
    <row r="221" spans="1:9" x14ac:dyDescent="0.35">
      <c r="A221" s="2">
        <v>202607</v>
      </c>
      <c r="B221" s="2">
        <v>1100</v>
      </c>
      <c r="C221" s="2">
        <v>5000</v>
      </c>
      <c r="D221" s="2" t="s">
        <v>490</v>
      </c>
      <c r="E221" s="2" t="s">
        <v>35</v>
      </c>
      <c r="F221" s="2" t="s">
        <v>491</v>
      </c>
      <c r="G221" s="2">
        <v>14.162000000000001</v>
      </c>
      <c r="H221" s="2">
        <v>14.162000000000001</v>
      </c>
      <c r="I221" s="2" t="s">
        <v>119</v>
      </c>
    </row>
    <row r="222" spans="1:9" x14ac:dyDescent="0.35">
      <c r="A222" s="2">
        <v>202607</v>
      </c>
      <c r="B222" s="2">
        <v>1100</v>
      </c>
      <c r="C222" s="2">
        <v>6300</v>
      </c>
      <c r="D222" s="2" t="s">
        <v>54</v>
      </c>
      <c r="E222" s="2" t="s">
        <v>35</v>
      </c>
      <c r="F222" s="2" t="s">
        <v>492</v>
      </c>
      <c r="G222" s="2">
        <v>5.407</v>
      </c>
      <c r="H222" s="2">
        <v>5.407</v>
      </c>
      <c r="I222" s="2" t="s">
        <v>119</v>
      </c>
    </row>
    <row r="223" spans="1:9" x14ac:dyDescent="0.35">
      <c r="A223" s="2">
        <v>202607</v>
      </c>
      <c r="B223" s="2">
        <v>1100</v>
      </c>
      <c r="C223" s="2">
        <v>6050</v>
      </c>
      <c r="D223" s="2" t="s">
        <v>493</v>
      </c>
      <c r="E223" s="2" t="s">
        <v>35</v>
      </c>
      <c r="F223" s="2" t="s">
        <v>494</v>
      </c>
      <c r="G223" s="2">
        <v>2.5329999999999999</v>
      </c>
      <c r="H223" s="2">
        <v>2.5329999999999999</v>
      </c>
      <c r="I223" s="2" t="s">
        <v>119</v>
      </c>
    </row>
    <row r="224" spans="1:9" x14ac:dyDescent="0.35">
      <c r="A224" s="2">
        <v>202607</v>
      </c>
      <c r="B224" s="2">
        <v>1200</v>
      </c>
      <c r="C224" s="2">
        <v>3900</v>
      </c>
      <c r="D224" s="2" t="s">
        <v>31</v>
      </c>
      <c r="E224" s="2" t="s">
        <v>15</v>
      </c>
      <c r="F224" s="2" t="s">
        <v>485</v>
      </c>
      <c r="G224" s="2">
        <v>27.766999999999999</v>
      </c>
      <c r="H224" s="2">
        <v>-27.766999999999999</v>
      </c>
      <c r="I224" s="2" t="s">
        <v>119</v>
      </c>
    </row>
    <row r="225" spans="1:9" x14ac:dyDescent="0.35">
      <c r="A225" s="2">
        <v>202607</v>
      </c>
      <c r="B225" s="2">
        <v>1200</v>
      </c>
      <c r="C225" s="2">
        <v>3400</v>
      </c>
      <c r="D225" s="2" t="s">
        <v>486</v>
      </c>
      <c r="E225" s="2" t="s">
        <v>15</v>
      </c>
      <c r="F225" s="2" t="s">
        <v>487</v>
      </c>
      <c r="G225" s="2">
        <v>4</v>
      </c>
      <c r="H225" s="2">
        <v>-4</v>
      </c>
      <c r="I225" s="2" t="s">
        <v>119</v>
      </c>
    </row>
    <row r="226" spans="1:9" x14ac:dyDescent="0.35">
      <c r="A226" s="2">
        <v>202607</v>
      </c>
      <c r="B226" s="2">
        <v>1200</v>
      </c>
      <c r="C226" s="2">
        <v>3670</v>
      </c>
      <c r="D226" s="2" t="s">
        <v>488</v>
      </c>
      <c r="E226" s="2" t="s">
        <v>15</v>
      </c>
      <c r="F226" s="2" t="s">
        <v>489</v>
      </c>
      <c r="G226" s="2">
        <v>1.633</v>
      </c>
      <c r="H226" s="2">
        <v>-1.633</v>
      </c>
      <c r="I226" s="2" t="s">
        <v>119</v>
      </c>
    </row>
    <row r="227" spans="1:9" x14ac:dyDescent="0.35">
      <c r="A227" s="2">
        <v>202607</v>
      </c>
      <c r="B227" s="2">
        <v>1200</v>
      </c>
      <c r="C227" s="2">
        <v>5000</v>
      </c>
      <c r="D227" s="2" t="s">
        <v>490</v>
      </c>
      <c r="E227" s="2" t="s">
        <v>35</v>
      </c>
      <c r="F227" s="2" t="s">
        <v>491</v>
      </c>
      <c r="G227" s="2">
        <v>20.122</v>
      </c>
      <c r="H227" s="2">
        <v>20.122</v>
      </c>
      <c r="I227" s="2" t="s">
        <v>119</v>
      </c>
    </row>
    <row r="228" spans="1:9" x14ac:dyDescent="0.35">
      <c r="A228" s="2">
        <v>202607</v>
      </c>
      <c r="B228" s="2">
        <v>1200</v>
      </c>
      <c r="C228" s="2">
        <v>6300</v>
      </c>
      <c r="D228" s="2" t="s">
        <v>54</v>
      </c>
      <c r="E228" s="2" t="s">
        <v>35</v>
      </c>
      <c r="F228" s="2" t="s">
        <v>492</v>
      </c>
      <c r="G228" s="2">
        <v>7.6840000000000002</v>
      </c>
      <c r="H228" s="2">
        <v>7.6840000000000002</v>
      </c>
      <c r="I228" s="2" t="s">
        <v>119</v>
      </c>
    </row>
    <row r="229" spans="1:9" x14ac:dyDescent="0.35">
      <c r="A229" s="2">
        <v>202607</v>
      </c>
      <c r="B229" s="2">
        <v>1200</v>
      </c>
      <c r="C229" s="2">
        <v>6050</v>
      </c>
      <c r="D229" s="2" t="s">
        <v>493</v>
      </c>
      <c r="E229" s="2" t="s">
        <v>35</v>
      </c>
      <c r="F229" s="2" t="s">
        <v>494</v>
      </c>
      <c r="G229" s="2">
        <v>4.6669999999999998</v>
      </c>
      <c r="H229" s="2">
        <v>4.6669999999999998</v>
      </c>
      <c r="I229" s="2" t="s">
        <v>119</v>
      </c>
    </row>
    <row r="230" spans="1:9" x14ac:dyDescent="0.35">
      <c r="A230" s="2">
        <v>202607</v>
      </c>
      <c r="B230" s="2">
        <v>1300</v>
      </c>
      <c r="C230" s="2">
        <v>3900</v>
      </c>
      <c r="D230" s="2" t="s">
        <v>31</v>
      </c>
      <c r="E230" s="2" t="s">
        <v>15</v>
      </c>
      <c r="F230" s="2" t="s">
        <v>485</v>
      </c>
      <c r="G230" s="2">
        <v>23.65</v>
      </c>
      <c r="H230" s="2">
        <v>-23.65</v>
      </c>
      <c r="I230" s="2" t="s">
        <v>119</v>
      </c>
    </row>
    <row r="231" spans="1:9" x14ac:dyDescent="0.35">
      <c r="A231" s="2">
        <v>202607</v>
      </c>
      <c r="B231" s="2">
        <v>1300</v>
      </c>
      <c r="C231" s="2">
        <v>3400</v>
      </c>
      <c r="D231" s="2" t="s">
        <v>486</v>
      </c>
      <c r="E231" s="2" t="s">
        <v>15</v>
      </c>
      <c r="F231" s="2" t="s">
        <v>487</v>
      </c>
      <c r="G231" s="2">
        <v>2.0830000000000002</v>
      </c>
      <c r="H231" s="2">
        <v>-2.0830000000000002</v>
      </c>
      <c r="I231" s="2" t="s">
        <v>119</v>
      </c>
    </row>
    <row r="232" spans="1:9" x14ac:dyDescent="0.35">
      <c r="A232" s="2">
        <v>202607</v>
      </c>
      <c r="B232" s="2">
        <v>1300</v>
      </c>
      <c r="C232" s="2">
        <v>3670</v>
      </c>
      <c r="D232" s="2" t="s">
        <v>488</v>
      </c>
      <c r="E232" s="2" t="s">
        <v>15</v>
      </c>
      <c r="F232" s="2" t="s">
        <v>489</v>
      </c>
      <c r="G232" s="2">
        <v>1.2330000000000001</v>
      </c>
      <c r="H232" s="2">
        <v>-1.2330000000000001</v>
      </c>
      <c r="I232" s="2" t="s">
        <v>119</v>
      </c>
    </row>
    <row r="233" spans="1:9" x14ac:dyDescent="0.35">
      <c r="A233" s="2">
        <v>202607</v>
      </c>
      <c r="B233" s="2">
        <v>1300</v>
      </c>
      <c r="C233" s="2">
        <v>5000</v>
      </c>
      <c r="D233" s="2" t="s">
        <v>490</v>
      </c>
      <c r="E233" s="2" t="s">
        <v>35</v>
      </c>
      <c r="F233" s="2" t="s">
        <v>491</v>
      </c>
      <c r="G233" s="2">
        <v>17.138000000000002</v>
      </c>
      <c r="H233" s="2">
        <v>17.138000000000002</v>
      </c>
      <c r="I233" s="2" t="s">
        <v>119</v>
      </c>
    </row>
    <row r="234" spans="1:9" x14ac:dyDescent="0.35">
      <c r="A234" s="2">
        <v>202607</v>
      </c>
      <c r="B234" s="2">
        <v>1300</v>
      </c>
      <c r="C234" s="2">
        <v>6300</v>
      </c>
      <c r="D234" s="2" t="s">
        <v>54</v>
      </c>
      <c r="E234" s="2" t="s">
        <v>35</v>
      </c>
      <c r="F234" s="2" t="s">
        <v>492</v>
      </c>
      <c r="G234" s="2">
        <v>6.5449999999999999</v>
      </c>
      <c r="H234" s="2">
        <v>6.5449999999999999</v>
      </c>
      <c r="I234" s="2" t="s">
        <v>119</v>
      </c>
    </row>
    <row r="235" spans="1:9" x14ac:dyDescent="0.35">
      <c r="A235" s="2">
        <v>202607</v>
      </c>
      <c r="B235" s="2">
        <v>1300</v>
      </c>
      <c r="C235" s="2">
        <v>6050</v>
      </c>
      <c r="D235" s="2" t="s">
        <v>493</v>
      </c>
      <c r="E235" s="2" t="s">
        <v>35</v>
      </c>
      <c r="F235" s="2" t="s">
        <v>494</v>
      </c>
      <c r="G235" s="2">
        <v>2.8</v>
      </c>
      <c r="H235" s="2">
        <v>2.8</v>
      </c>
      <c r="I235" s="2" t="s">
        <v>119</v>
      </c>
    </row>
    <row r="236" spans="1:9" x14ac:dyDescent="0.35">
      <c r="A236" s="2">
        <v>202607</v>
      </c>
      <c r="B236" s="2">
        <v>1400</v>
      </c>
      <c r="C236" s="2">
        <v>3900</v>
      </c>
      <c r="D236" s="2" t="s">
        <v>31</v>
      </c>
      <c r="E236" s="2" t="s">
        <v>15</v>
      </c>
      <c r="F236" s="2" t="s">
        <v>485</v>
      </c>
      <c r="G236" s="2">
        <v>13.367000000000001</v>
      </c>
      <c r="H236" s="2">
        <v>-13.367000000000001</v>
      </c>
      <c r="I236" s="2" t="s">
        <v>119</v>
      </c>
    </row>
    <row r="237" spans="1:9" x14ac:dyDescent="0.35">
      <c r="A237" s="2">
        <v>202607</v>
      </c>
      <c r="B237" s="2">
        <v>1400</v>
      </c>
      <c r="C237" s="2">
        <v>3400</v>
      </c>
      <c r="D237" s="2" t="s">
        <v>486</v>
      </c>
      <c r="E237" s="2" t="s">
        <v>15</v>
      </c>
      <c r="F237" s="2" t="s">
        <v>487</v>
      </c>
      <c r="G237" s="2">
        <v>1.25</v>
      </c>
      <c r="H237" s="2">
        <v>-1.25</v>
      </c>
      <c r="I237" s="2" t="s">
        <v>119</v>
      </c>
    </row>
    <row r="238" spans="1:9" x14ac:dyDescent="0.35">
      <c r="A238" s="2">
        <v>202607</v>
      </c>
      <c r="B238" s="2">
        <v>1400</v>
      </c>
      <c r="C238" s="2">
        <v>3670</v>
      </c>
      <c r="D238" s="2" t="s">
        <v>488</v>
      </c>
      <c r="E238" s="2" t="s">
        <v>15</v>
      </c>
      <c r="F238" s="2" t="s">
        <v>489</v>
      </c>
      <c r="G238" s="2">
        <v>0.74199999999999999</v>
      </c>
      <c r="H238" s="2">
        <v>-0.74199999999999999</v>
      </c>
      <c r="I238" s="2" t="s">
        <v>119</v>
      </c>
    </row>
    <row r="239" spans="1:9" x14ac:dyDescent="0.35">
      <c r="A239" s="2">
        <v>202607</v>
      </c>
      <c r="B239" s="2">
        <v>1400</v>
      </c>
      <c r="C239" s="2">
        <v>5000</v>
      </c>
      <c r="D239" s="2" t="s">
        <v>490</v>
      </c>
      <c r="E239" s="2" t="s">
        <v>35</v>
      </c>
      <c r="F239" s="2" t="s">
        <v>491</v>
      </c>
      <c r="G239" s="2">
        <v>9.6859999999999999</v>
      </c>
      <c r="H239" s="2">
        <v>9.6859999999999999</v>
      </c>
      <c r="I239" s="2" t="s">
        <v>119</v>
      </c>
    </row>
    <row r="240" spans="1:9" x14ac:dyDescent="0.35">
      <c r="A240" s="2">
        <v>202607</v>
      </c>
      <c r="B240" s="2">
        <v>1400</v>
      </c>
      <c r="C240" s="2">
        <v>6300</v>
      </c>
      <c r="D240" s="2" t="s">
        <v>54</v>
      </c>
      <c r="E240" s="2" t="s">
        <v>35</v>
      </c>
      <c r="F240" s="2" t="s">
        <v>492</v>
      </c>
      <c r="G240" s="2">
        <v>3.7</v>
      </c>
      <c r="H240" s="2">
        <v>3.7</v>
      </c>
      <c r="I240" s="2" t="s">
        <v>119</v>
      </c>
    </row>
    <row r="241" spans="1:9" x14ac:dyDescent="0.35">
      <c r="A241" s="2">
        <v>202607</v>
      </c>
      <c r="B241" s="2">
        <v>1400</v>
      </c>
      <c r="C241" s="2">
        <v>6050</v>
      </c>
      <c r="D241" s="2" t="s">
        <v>493</v>
      </c>
      <c r="E241" s="2" t="s">
        <v>35</v>
      </c>
      <c r="F241" s="2" t="s">
        <v>494</v>
      </c>
      <c r="G241" s="2">
        <v>1.2</v>
      </c>
      <c r="H241" s="2">
        <v>1.2</v>
      </c>
      <c r="I241" s="2" t="s">
        <v>119</v>
      </c>
    </row>
    <row r="242" spans="1:9" x14ac:dyDescent="0.35">
      <c r="A242" s="2">
        <v>202607</v>
      </c>
      <c r="B242" s="2">
        <v>1500</v>
      </c>
      <c r="C242" s="2">
        <v>3900</v>
      </c>
      <c r="D242" s="2" t="s">
        <v>31</v>
      </c>
      <c r="E242" s="2" t="s">
        <v>15</v>
      </c>
      <c r="F242" s="2" t="s">
        <v>485</v>
      </c>
      <c r="G242" s="2">
        <v>10.282999999999999</v>
      </c>
      <c r="H242" s="2">
        <v>-10.282999999999999</v>
      </c>
      <c r="I242" s="2" t="s">
        <v>119</v>
      </c>
    </row>
    <row r="243" spans="1:9" x14ac:dyDescent="0.35">
      <c r="A243" s="2">
        <v>202607</v>
      </c>
      <c r="B243" s="2">
        <v>1500</v>
      </c>
      <c r="C243" s="2">
        <v>3400</v>
      </c>
      <c r="D243" s="2" t="s">
        <v>486</v>
      </c>
      <c r="E243" s="2" t="s">
        <v>15</v>
      </c>
      <c r="F243" s="2" t="s">
        <v>487</v>
      </c>
      <c r="G243" s="2">
        <v>0.83299999999999996</v>
      </c>
      <c r="H243" s="2">
        <v>-0.83299999999999996</v>
      </c>
      <c r="I243" s="2" t="s">
        <v>119</v>
      </c>
    </row>
    <row r="244" spans="1:9" x14ac:dyDescent="0.35">
      <c r="A244" s="2">
        <v>202607</v>
      </c>
      <c r="B244" s="2">
        <v>1500</v>
      </c>
      <c r="C244" s="2">
        <v>3670</v>
      </c>
      <c r="D244" s="2" t="s">
        <v>488</v>
      </c>
      <c r="E244" s="2" t="s">
        <v>15</v>
      </c>
      <c r="F244" s="2" t="s">
        <v>489</v>
      </c>
      <c r="G244" s="2">
        <v>0.49199999999999999</v>
      </c>
      <c r="H244" s="2">
        <v>-0.49199999999999999</v>
      </c>
      <c r="I244" s="2" t="s">
        <v>119</v>
      </c>
    </row>
    <row r="245" spans="1:9" x14ac:dyDescent="0.35">
      <c r="A245" s="2">
        <v>202607</v>
      </c>
      <c r="B245" s="2">
        <v>1500</v>
      </c>
      <c r="C245" s="2">
        <v>5000</v>
      </c>
      <c r="D245" s="2" t="s">
        <v>490</v>
      </c>
      <c r="E245" s="2" t="s">
        <v>35</v>
      </c>
      <c r="F245" s="2" t="s">
        <v>491</v>
      </c>
      <c r="G245" s="2">
        <v>7.452</v>
      </c>
      <c r="H245" s="2">
        <v>7.452</v>
      </c>
      <c r="I245" s="2" t="s">
        <v>119</v>
      </c>
    </row>
    <row r="246" spans="1:9" x14ac:dyDescent="0.35">
      <c r="A246" s="2">
        <v>202607</v>
      </c>
      <c r="B246" s="2">
        <v>1500</v>
      </c>
      <c r="C246" s="2">
        <v>6300</v>
      </c>
      <c r="D246" s="2" t="s">
        <v>54</v>
      </c>
      <c r="E246" s="2" t="s">
        <v>35</v>
      </c>
      <c r="F246" s="2" t="s">
        <v>492</v>
      </c>
      <c r="G246" s="2">
        <v>2.8460000000000001</v>
      </c>
      <c r="H246" s="2">
        <v>2.8460000000000001</v>
      </c>
      <c r="I246" s="2" t="s">
        <v>119</v>
      </c>
    </row>
    <row r="247" spans="1:9" x14ac:dyDescent="0.35">
      <c r="A247" s="2">
        <v>202607</v>
      </c>
      <c r="B247" s="2">
        <v>1500</v>
      </c>
      <c r="C247" s="2">
        <v>6050</v>
      </c>
      <c r="D247" s="2" t="s">
        <v>493</v>
      </c>
      <c r="E247" s="2" t="s">
        <v>35</v>
      </c>
      <c r="F247" s="2" t="s">
        <v>494</v>
      </c>
      <c r="G247" s="2">
        <v>0.93300000000000005</v>
      </c>
      <c r="H247" s="2">
        <v>0.93300000000000005</v>
      </c>
      <c r="I247" s="2" t="s">
        <v>119</v>
      </c>
    </row>
    <row r="248" spans="1:9" x14ac:dyDescent="0.35">
      <c r="A248" s="2">
        <v>202607</v>
      </c>
      <c r="B248" s="2">
        <v>1900</v>
      </c>
      <c r="C248" s="2">
        <v>3900</v>
      </c>
      <c r="D248" s="2" t="s">
        <v>31</v>
      </c>
      <c r="E248" s="2" t="s">
        <v>15</v>
      </c>
      <c r="F248" s="2" t="s">
        <v>485</v>
      </c>
      <c r="G248" s="2">
        <v>7.2</v>
      </c>
      <c r="H248" s="2">
        <v>-7.2</v>
      </c>
      <c r="I248" s="2" t="s">
        <v>119</v>
      </c>
    </row>
    <row r="249" spans="1:9" x14ac:dyDescent="0.35">
      <c r="A249" s="2">
        <v>202607</v>
      </c>
      <c r="B249" s="2">
        <v>1900</v>
      </c>
      <c r="C249" s="2">
        <v>3400</v>
      </c>
      <c r="D249" s="2" t="s">
        <v>486</v>
      </c>
      <c r="E249" s="2" t="s">
        <v>15</v>
      </c>
      <c r="F249" s="2" t="s">
        <v>487</v>
      </c>
      <c r="G249" s="2">
        <v>0.25</v>
      </c>
      <c r="H249" s="2">
        <v>-0.25</v>
      </c>
      <c r="I249" s="2" t="s">
        <v>119</v>
      </c>
    </row>
    <row r="250" spans="1:9" x14ac:dyDescent="0.35">
      <c r="A250" s="2">
        <v>202607</v>
      </c>
      <c r="B250" s="2">
        <v>1900</v>
      </c>
      <c r="C250" s="2">
        <v>3670</v>
      </c>
      <c r="D250" s="2" t="s">
        <v>488</v>
      </c>
      <c r="E250" s="2" t="s">
        <v>15</v>
      </c>
      <c r="F250" s="2" t="s">
        <v>489</v>
      </c>
      <c r="G250" s="2">
        <v>1.583</v>
      </c>
      <c r="H250" s="2">
        <v>-1.583</v>
      </c>
      <c r="I250" s="2" t="s">
        <v>119</v>
      </c>
    </row>
    <row r="251" spans="1:9" x14ac:dyDescent="0.35">
      <c r="A251" s="2">
        <v>202607</v>
      </c>
      <c r="B251" s="2">
        <v>1900</v>
      </c>
      <c r="C251" s="2">
        <v>5000</v>
      </c>
      <c r="D251" s="2" t="s">
        <v>490</v>
      </c>
      <c r="E251" s="2" t="s">
        <v>35</v>
      </c>
      <c r="F251" s="2" t="s">
        <v>491</v>
      </c>
      <c r="G251" s="2">
        <v>5.96</v>
      </c>
      <c r="H251" s="2">
        <v>5.96</v>
      </c>
      <c r="I251" s="2" t="s">
        <v>119</v>
      </c>
    </row>
    <row r="252" spans="1:9" x14ac:dyDescent="0.35">
      <c r="A252" s="2">
        <v>202607</v>
      </c>
      <c r="B252" s="2">
        <v>1900</v>
      </c>
      <c r="C252" s="2">
        <v>6300</v>
      </c>
      <c r="D252" s="2" t="s">
        <v>54</v>
      </c>
      <c r="E252" s="2" t="s">
        <v>35</v>
      </c>
      <c r="F252" s="2" t="s">
        <v>492</v>
      </c>
      <c r="G252" s="2">
        <v>2.2770000000000001</v>
      </c>
      <c r="H252" s="2">
        <v>2.2770000000000001</v>
      </c>
      <c r="I252" s="2" t="s">
        <v>119</v>
      </c>
    </row>
    <row r="253" spans="1:9" x14ac:dyDescent="0.35">
      <c r="A253" s="2">
        <v>202607</v>
      </c>
      <c r="B253" s="2">
        <v>1900</v>
      </c>
      <c r="C253" s="2">
        <v>6050</v>
      </c>
      <c r="D253" s="2" t="s">
        <v>493</v>
      </c>
      <c r="E253" s="2" t="s">
        <v>35</v>
      </c>
      <c r="F253" s="2" t="s">
        <v>494</v>
      </c>
      <c r="G253" s="2">
        <v>1.2</v>
      </c>
      <c r="H253" s="2">
        <v>1.2</v>
      </c>
      <c r="I253" s="2" t="s">
        <v>119</v>
      </c>
    </row>
    <row r="254" spans="1:9" x14ac:dyDescent="0.35">
      <c r="A254" s="2">
        <v>202608</v>
      </c>
      <c r="B254" s="2">
        <v>1100</v>
      </c>
      <c r="C254" s="2">
        <v>3900</v>
      </c>
      <c r="D254" s="2" t="s">
        <v>31</v>
      </c>
      <c r="E254" s="2" t="s">
        <v>15</v>
      </c>
      <c r="F254" s="2" t="s">
        <v>485</v>
      </c>
      <c r="G254" s="2">
        <v>20.567</v>
      </c>
      <c r="H254" s="2">
        <v>-20.567</v>
      </c>
      <c r="I254" s="2" t="s">
        <v>119</v>
      </c>
    </row>
    <row r="255" spans="1:9" x14ac:dyDescent="0.35">
      <c r="A255" s="2">
        <v>202608</v>
      </c>
      <c r="B255" s="2">
        <v>1100</v>
      </c>
      <c r="C255" s="2">
        <v>3400</v>
      </c>
      <c r="D255" s="2" t="s">
        <v>486</v>
      </c>
      <c r="E255" s="2" t="s">
        <v>15</v>
      </c>
      <c r="F255" s="2" t="s">
        <v>487</v>
      </c>
      <c r="G255" s="2">
        <v>1.833</v>
      </c>
      <c r="H255" s="2">
        <v>-1.833</v>
      </c>
      <c r="I255" s="2" t="s">
        <v>119</v>
      </c>
    </row>
    <row r="256" spans="1:9" x14ac:dyDescent="0.35">
      <c r="A256" s="2">
        <v>202608</v>
      </c>
      <c r="B256" s="2">
        <v>1100</v>
      </c>
      <c r="C256" s="2">
        <v>3670</v>
      </c>
      <c r="D256" s="2" t="s">
        <v>488</v>
      </c>
      <c r="E256" s="2" t="s">
        <v>15</v>
      </c>
      <c r="F256" s="2" t="s">
        <v>489</v>
      </c>
      <c r="G256" s="2">
        <v>0.65</v>
      </c>
      <c r="H256" s="2">
        <v>-0.65</v>
      </c>
      <c r="I256" s="2" t="s">
        <v>119</v>
      </c>
    </row>
    <row r="257" spans="1:9" x14ac:dyDescent="0.35">
      <c r="A257" s="2">
        <v>202608</v>
      </c>
      <c r="B257" s="2">
        <v>1100</v>
      </c>
      <c r="C257" s="2">
        <v>5000</v>
      </c>
      <c r="D257" s="2" t="s">
        <v>490</v>
      </c>
      <c r="E257" s="2" t="s">
        <v>35</v>
      </c>
      <c r="F257" s="2" t="s">
        <v>491</v>
      </c>
      <c r="G257" s="2">
        <v>14.162000000000001</v>
      </c>
      <c r="H257" s="2">
        <v>14.162000000000001</v>
      </c>
      <c r="I257" s="2" t="s">
        <v>119</v>
      </c>
    </row>
    <row r="258" spans="1:9" x14ac:dyDescent="0.35">
      <c r="A258" s="2">
        <v>202608</v>
      </c>
      <c r="B258" s="2">
        <v>1100</v>
      </c>
      <c r="C258" s="2">
        <v>6300</v>
      </c>
      <c r="D258" s="2" t="s">
        <v>54</v>
      </c>
      <c r="E258" s="2" t="s">
        <v>35</v>
      </c>
      <c r="F258" s="2" t="s">
        <v>492</v>
      </c>
      <c r="G258" s="2">
        <v>5.407</v>
      </c>
      <c r="H258" s="2">
        <v>5.407</v>
      </c>
      <c r="I258" s="2" t="s">
        <v>119</v>
      </c>
    </row>
    <row r="259" spans="1:9" x14ac:dyDescent="0.35">
      <c r="A259" s="2">
        <v>202608</v>
      </c>
      <c r="B259" s="2">
        <v>1100</v>
      </c>
      <c r="C259" s="2">
        <v>6050</v>
      </c>
      <c r="D259" s="2" t="s">
        <v>493</v>
      </c>
      <c r="E259" s="2" t="s">
        <v>35</v>
      </c>
      <c r="F259" s="2" t="s">
        <v>494</v>
      </c>
      <c r="G259" s="2">
        <v>2.5329999999999999</v>
      </c>
      <c r="H259" s="2">
        <v>2.5329999999999999</v>
      </c>
      <c r="I259" s="2" t="s">
        <v>119</v>
      </c>
    </row>
    <row r="260" spans="1:9" x14ac:dyDescent="0.35">
      <c r="A260" s="2">
        <v>202608</v>
      </c>
      <c r="B260" s="2">
        <v>1200</v>
      </c>
      <c r="C260" s="2">
        <v>3900</v>
      </c>
      <c r="D260" s="2" t="s">
        <v>31</v>
      </c>
      <c r="E260" s="2" t="s">
        <v>15</v>
      </c>
      <c r="F260" s="2" t="s">
        <v>485</v>
      </c>
      <c r="G260" s="2">
        <v>27.766999999999999</v>
      </c>
      <c r="H260" s="2">
        <v>-27.766999999999999</v>
      </c>
      <c r="I260" s="2" t="s">
        <v>119</v>
      </c>
    </row>
    <row r="261" spans="1:9" x14ac:dyDescent="0.35">
      <c r="A261" s="2">
        <v>202608</v>
      </c>
      <c r="B261" s="2">
        <v>1200</v>
      </c>
      <c r="C261" s="2">
        <v>3400</v>
      </c>
      <c r="D261" s="2" t="s">
        <v>486</v>
      </c>
      <c r="E261" s="2" t="s">
        <v>15</v>
      </c>
      <c r="F261" s="2" t="s">
        <v>487</v>
      </c>
      <c r="G261" s="2">
        <v>4</v>
      </c>
      <c r="H261" s="2">
        <v>-4</v>
      </c>
      <c r="I261" s="2" t="s">
        <v>119</v>
      </c>
    </row>
    <row r="262" spans="1:9" x14ac:dyDescent="0.35">
      <c r="A262" s="2">
        <v>202608</v>
      </c>
      <c r="B262" s="2">
        <v>1200</v>
      </c>
      <c r="C262" s="2">
        <v>3670</v>
      </c>
      <c r="D262" s="2" t="s">
        <v>488</v>
      </c>
      <c r="E262" s="2" t="s">
        <v>15</v>
      </c>
      <c r="F262" s="2" t="s">
        <v>489</v>
      </c>
      <c r="G262" s="2">
        <v>1.633</v>
      </c>
      <c r="H262" s="2">
        <v>-1.633</v>
      </c>
      <c r="I262" s="2" t="s">
        <v>119</v>
      </c>
    </row>
    <row r="263" spans="1:9" x14ac:dyDescent="0.35">
      <c r="A263" s="2">
        <v>202608</v>
      </c>
      <c r="B263" s="2">
        <v>1200</v>
      </c>
      <c r="C263" s="2">
        <v>5000</v>
      </c>
      <c r="D263" s="2" t="s">
        <v>490</v>
      </c>
      <c r="E263" s="2" t="s">
        <v>35</v>
      </c>
      <c r="F263" s="2" t="s">
        <v>491</v>
      </c>
      <c r="G263" s="2">
        <v>20.122</v>
      </c>
      <c r="H263" s="2">
        <v>20.122</v>
      </c>
      <c r="I263" s="2" t="s">
        <v>119</v>
      </c>
    </row>
    <row r="264" spans="1:9" x14ac:dyDescent="0.35">
      <c r="A264" s="2">
        <v>202608</v>
      </c>
      <c r="B264" s="2">
        <v>1200</v>
      </c>
      <c r="C264" s="2">
        <v>6300</v>
      </c>
      <c r="D264" s="2" t="s">
        <v>54</v>
      </c>
      <c r="E264" s="2" t="s">
        <v>35</v>
      </c>
      <c r="F264" s="2" t="s">
        <v>492</v>
      </c>
      <c r="G264" s="2">
        <v>7.6840000000000002</v>
      </c>
      <c r="H264" s="2">
        <v>7.6840000000000002</v>
      </c>
      <c r="I264" s="2" t="s">
        <v>119</v>
      </c>
    </row>
    <row r="265" spans="1:9" x14ac:dyDescent="0.35">
      <c r="A265" s="2">
        <v>202608</v>
      </c>
      <c r="B265" s="2">
        <v>1200</v>
      </c>
      <c r="C265" s="2">
        <v>6050</v>
      </c>
      <c r="D265" s="2" t="s">
        <v>493</v>
      </c>
      <c r="E265" s="2" t="s">
        <v>35</v>
      </c>
      <c r="F265" s="2" t="s">
        <v>494</v>
      </c>
      <c r="G265" s="2">
        <v>4.6669999999999998</v>
      </c>
      <c r="H265" s="2">
        <v>4.6669999999999998</v>
      </c>
      <c r="I265" s="2" t="s">
        <v>119</v>
      </c>
    </row>
    <row r="266" spans="1:9" x14ac:dyDescent="0.35">
      <c r="A266" s="2">
        <v>202608</v>
      </c>
      <c r="B266" s="2">
        <v>1300</v>
      </c>
      <c r="C266" s="2">
        <v>3900</v>
      </c>
      <c r="D266" s="2" t="s">
        <v>31</v>
      </c>
      <c r="E266" s="2" t="s">
        <v>15</v>
      </c>
      <c r="F266" s="2" t="s">
        <v>485</v>
      </c>
      <c r="G266" s="2">
        <v>23.65</v>
      </c>
      <c r="H266" s="2">
        <v>-23.65</v>
      </c>
      <c r="I266" s="2" t="s">
        <v>119</v>
      </c>
    </row>
    <row r="267" spans="1:9" x14ac:dyDescent="0.35">
      <c r="A267" s="2">
        <v>202608</v>
      </c>
      <c r="B267" s="2">
        <v>1300</v>
      </c>
      <c r="C267" s="2">
        <v>3400</v>
      </c>
      <c r="D267" s="2" t="s">
        <v>486</v>
      </c>
      <c r="E267" s="2" t="s">
        <v>15</v>
      </c>
      <c r="F267" s="2" t="s">
        <v>487</v>
      </c>
      <c r="G267" s="2">
        <v>2.0830000000000002</v>
      </c>
      <c r="H267" s="2">
        <v>-2.0830000000000002</v>
      </c>
      <c r="I267" s="2" t="s">
        <v>119</v>
      </c>
    </row>
    <row r="268" spans="1:9" x14ac:dyDescent="0.35">
      <c r="A268" s="2">
        <v>202608</v>
      </c>
      <c r="B268" s="2">
        <v>1300</v>
      </c>
      <c r="C268" s="2">
        <v>3670</v>
      </c>
      <c r="D268" s="2" t="s">
        <v>488</v>
      </c>
      <c r="E268" s="2" t="s">
        <v>15</v>
      </c>
      <c r="F268" s="2" t="s">
        <v>489</v>
      </c>
      <c r="G268" s="2">
        <v>1.2330000000000001</v>
      </c>
      <c r="H268" s="2">
        <v>-1.2330000000000001</v>
      </c>
      <c r="I268" s="2" t="s">
        <v>119</v>
      </c>
    </row>
    <row r="269" spans="1:9" x14ac:dyDescent="0.35">
      <c r="A269" s="2">
        <v>202608</v>
      </c>
      <c r="B269" s="2">
        <v>1300</v>
      </c>
      <c r="C269" s="2">
        <v>5000</v>
      </c>
      <c r="D269" s="2" t="s">
        <v>490</v>
      </c>
      <c r="E269" s="2" t="s">
        <v>35</v>
      </c>
      <c r="F269" s="2" t="s">
        <v>491</v>
      </c>
      <c r="G269" s="2">
        <v>17.138000000000002</v>
      </c>
      <c r="H269" s="2">
        <v>17.138000000000002</v>
      </c>
      <c r="I269" s="2" t="s">
        <v>119</v>
      </c>
    </row>
    <row r="270" spans="1:9" x14ac:dyDescent="0.35">
      <c r="A270" s="2">
        <v>202608</v>
      </c>
      <c r="B270" s="2">
        <v>1300</v>
      </c>
      <c r="C270" s="2">
        <v>6300</v>
      </c>
      <c r="D270" s="2" t="s">
        <v>54</v>
      </c>
      <c r="E270" s="2" t="s">
        <v>35</v>
      </c>
      <c r="F270" s="2" t="s">
        <v>492</v>
      </c>
      <c r="G270" s="2">
        <v>6.5449999999999999</v>
      </c>
      <c r="H270" s="2">
        <v>6.5449999999999999</v>
      </c>
      <c r="I270" s="2" t="s">
        <v>119</v>
      </c>
    </row>
    <row r="271" spans="1:9" x14ac:dyDescent="0.35">
      <c r="A271" s="2">
        <v>202608</v>
      </c>
      <c r="B271" s="2">
        <v>1300</v>
      </c>
      <c r="C271" s="2">
        <v>6050</v>
      </c>
      <c r="D271" s="2" t="s">
        <v>493</v>
      </c>
      <c r="E271" s="2" t="s">
        <v>35</v>
      </c>
      <c r="F271" s="2" t="s">
        <v>494</v>
      </c>
      <c r="G271" s="2">
        <v>2.8</v>
      </c>
      <c r="H271" s="2">
        <v>2.8</v>
      </c>
      <c r="I271" s="2" t="s">
        <v>119</v>
      </c>
    </row>
    <row r="272" spans="1:9" x14ac:dyDescent="0.35">
      <c r="A272" s="2">
        <v>202608</v>
      </c>
      <c r="B272" s="2">
        <v>1400</v>
      </c>
      <c r="C272" s="2">
        <v>3900</v>
      </c>
      <c r="D272" s="2" t="s">
        <v>31</v>
      </c>
      <c r="E272" s="2" t="s">
        <v>15</v>
      </c>
      <c r="F272" s="2" t="s">
        <v>485</v>
      </c>
      <c r="G272" s="2">
        <v>13.367000000000001</v>
      </c>
      <c r="H272" s="2">
        <v>-13.367000000000001</v>
      </c>
      <c r="I272" s="2" t="s">
        <v>119</v>
      </c>
    </row>
    <row r="273" spans="1:9" x14ac:dyDescent="0.35">
      <c r="A273" s="2">
        <v>202608</v>
      </c>
      <c r="B273" s="2">
        <v>1400</v>
      </c>
      <c r="C273" s="2">
        <v>3400</v>
      </c>
      <c r="D273" s="2" t="s">
        <v>486</v>
      </c>
      <c r="E273" s="2" t="s">
        <v>15</v>
      </c>
      <c r="F273" s="2" t="s">
        <v>487</v>
      </c>
      <c r="G273" s="2">
        <v>1.25</v>
      </c>
      <c r="H273" s="2">
        <v>-1.25</v>
      </c>
      <c r="I273" s="2" t="s">
        <v>119</v>
      </c>
    </row>
    <row r="274" spans="1:9" x14ac:dyDescent="0.35">
      <c r="A274" s="2">
        <v>202608</v>
      </c>
      <c r="B274" s="2">
        <v>1400</v>
      </c>
      <c r="C274" s="2">
        <v>3670</v>
      </c>
      <c r="D274" s="2" t="s">
        <v>488</v>
      </c>
      <c r="E274" s="2" t="s">
        <v>15</v>
      </c>
      <c r="F274" s="2" t="s">
        <v>489</v>
      </c>
      <c r="G274" s="2">
        <v>0.74199999999999999</v>
      </c>
      <c r="H274" s="2">
        <v>-0.74199999999999999</v>
      </c>
      <c r="I274" s="2" t="s">
        <v>119</v>
      </c>
    </row>
    <row r="275" spans="1:9" x14ac:dyDescent="0.35">
      <c r="A275" s="2">
        <v>202608</v>
      </c>
      <c r="B275" s="2">
        <v>1400</v>
      </c>
      <c r="C275" s="2">
        <v>5000</v>
      </c>
      <c r="D275" s="2" t="s">
        <v>490</v>
      </c>
      <c r="E275" s="2" t="s">
        <v>35</v>
      </c>
      <c r="F275" s="2" t="s">
        <v>491</v>
      </c>
      <c r="G275" s="2">
        <v>9.6859999999999999</v>
      </c>
      <c r="H275" s="2">
        <v>9.6859999999999999</v>
      </c>
      <c r="I275" s="2" t="s">
        <v>119</v>
      </c>
    </row>
    <row r="276" spans="1:9" x14ac:dyDescent="0.35">
      <c r="A276" s="2">
        <v>202608</v>
      </c>
      <c r="B276" s="2">
        <v>1400</v>
      </c>
      <c r="C276" s="2">
        <v>6300</v>
      </c>
      <c r="D276" s="2" t="s">
        <v>54</v>
      </c>
      <c r="E276" s="2" t="s">
        <v>35</v>
      </c>
      <c r="F276" s="2" t="s">
        <v>492</v>
      </c>
      <c r="G276" s="2">
        <v>3.7</v>
      </c>
      <c r="H276" s="2">
        <v>3.7</v>
      </c>
      <c r="I276" s="2" t="s">
        <v>119</v>
      </c>
    </row>
    <row r="277" spans="1:9" x14ac:dyDescent="0.35">
      <c r="A277" s="2">
        <v>202608</v>
      </c>
      <c r="B277" s="2">
        <v>1400</v>
      </c>
      <c r="C277" s="2">
        <v>6050</v>
      </c>
      <c r="D277" s="2" t="s">
        <v>493</v>
      </c>
      <c r="E277" s="2" t="s">
        <v>35</v>
      </c>
      <c r="F277" s="2" t="s">
        <v>494</v>
      </c>
      <c r="G277" s="2">
        <v>1.2</v>
      </c>
      <c r="H277" s="2">
        <v>1.2</v>
      </c>
      <c r="I277" s="2" t="s">
        <v>119</v>
      </c>
    </row>
    <row r="278" spans="1:9" x14ac:dyDescent="0.35">
      <c r="A278" s="2">
        <v>202608</v>
      </c>
      <c r="B278" s="2">
        <v>1500</v>
      </c>
      <c r="C278" s="2">
        <v>3900</v>
      </c>
      <c r="D278" s="2" t="s">
        <v>31</v>
      </c>
      <c r="E278" s="2" t="s">
        <v>15</v>
      </c>
      <c r="F278" s="2" t="s">
        <v>485</v>
      </c>
      <c r="G278" s="2">
        <v>10.282999999999999</v>
      </c>
      <c r="H278" s="2">
        <v>-10.282999999999999</v>
      </c>
      <c r="I278" s="2" t="s">
        <v>119</v>
      </c>
    </row>
    <row r="279" spans="1:9" x14ac:dyDescent="0.35">
      <c r="A279" s="2">
        <v>202608</v>
      </c>
      <c r="B279" s="2">
        <v>1500</v>
      </c>
      <c r="C279" s="2">
        <v>3400</v>
      </c>
      <c r="D279" s="2" t="s">
        <v>486</v>
      </c>
      <c r="E279" s="2" t="s">
        <v>15</v>
      </c>
      <c r="F279" s="2" t="s">
        <v>487</v>
      </c>
      <c r="G279" s="2">
        <v>0.83299999999999996</v>
      </c>
      <c r="H279" s="2">
        <v>-0.83299999999999996</v>
      </c>
      <c r="I279" s="2" t="s">
        <v>119</v>
      </c>
    </row>
    <row r="280" spans="1:9" x14ac:dyDescent="0.35">
      <c r="A280" s="2">
        <v>202608</v>
      </c>
      <c r="B280" s="2">
        <v>1500</v>
      </c>
      <c r="C280" s="2">
        <v>3670</v>
      </c>
      <c r="D280" s="2" t="s">
        <v>488</v>
      </c>
      <c r="E280" s="2" t="s">
        <v>15</v>
      </c>
      <c r="F280" s="2" t="s">
        <v>489</v>
      </c>
      <c r="G280" s="2">
        <v>0.49199999999999999</v>
      </c>
      <c r="H280" s="2">
        <v>-0.49199999999999999</v>
      </c>
      <c r="I280" s="2" t="s">
        <v>119</v>
      </c>
    </row>
    <row r="281" spans="1:9" x14ac:dyDescent="0.35">
      <c r="A281" s="2">
        <v>202608</v>
      </c>
      <c r="B281" s="2">
        <v>1500</v>
      </c>
      <c r="C281" s="2">
        <v>5000</v>
      </c>
      <c r="D281" s="2" t="s">
        <v>490</v>
      </c>
      <c r="E281" s="2" t="s">
        <v>35</v>
      </c>
      <c r="F281" s="2" t="s">
        <v>491</v>
      </c>
      <c r="G281" s="2">
        <v>7.452</v>
      </c>
      <c r="H281" s="2">
        <v>7.452</v>
      </c>
      <c r="I281" s="2" t="s">
        <v>119</v>
      </c>
    </row>
    <row r="282" spans="1:9" x14ac:dyDescent="0.35">
      <c r="A282" s="2">
        <v>202608</v>
      </c>
      <c r="B282" s="2">
        <v>1500</v>
      </c>
      <c r="C282" s="2">
        <v>6300</v>
      </c>
      <c r="D282" s="2" t="s">
        <v>54</v>
      </c>
      <c r="E282" s="2" t="s">
        <v>35</v>
      </c>
      <c r="F282" s="2" t="s">
        <v>492</v>
      </c>
      <c r="G282" s="2">
        <v>2.8460000000000001</v>
      </c>
      <c r="H282" s="2">
        <v>2.8460000000000001</v>
      </c>
      <c r="I282" s="2" t="s">
        <v>119</v>
      </c>
    </row>
    <row r="283" spans="1:9" x14ac:dyDescent="0.35">
      <c r="A283" s="2">
        <v>202608</v>
      </c>
      <c r="B283" s="2">
        <v>1500</v>
      </c>
      <c r="C283" s="2">
        <v>6050</v>
      </c>
      <c r="D283" s="2" t="s">
        <v>493</v>
      </c>
      <c r="E283" s="2" t="s">
        <v>35</v>
      </c>
      <c r="F283" s="2" t="s">
        <v>494</v>
      </c>
      <c r="G283" s="2">
        <v>0.93300000000000005</v>
      </c>
      <c r="H283" s="2">
        <v>0.93300000000000005</v>
      </c>
      <c r="I283" s="2" t="s">
        <v>119</v>
      </c>
    </row>
    <row r="284" spans="1:9" x14ac:dyDescent="0.35">
      <c r="A284" s="2">
        <v>202608</v>
      </c>
      <c r="B284" s="2">
        <v>1900</v>
      </c>
      <c r="C284" s="2">
        <v>3900</v>
      </c>
      <c r="D284" s="2" t="s">
        <v>31</v>
      </c>
      <c r="E284" s="2" t="s">
        <v>15</v>
      </c>
      <c r="F284" s="2" t="s">
        <v>485</v>
      </c>
      <c r="G284" s="2">
        <v>7.2</v>
      </c>
      <c r="H284" s="2">
        <v>-7.2</v>
      </c>
      <c r="I284" s="2" t="s">
        <v>119</v>
      </c>
    </row>
    <row r="285" spans="1:9" x14ac:dyDescent="0.35">
      <c r="A285" s="2">
        <v>202608</v>
      </c>
      <c r="B285" s="2">
        <v>1900</v>
      </c>
      <c r="C285" s="2">
        <v>3400</v>
      </c>
      <c r="D285" s="2" t="s">
        <v>486</v>
      </c>
      <c r="E285" s="2" t="s">
        <v>15</v>
      </c>
      <c r="F285" s="2" t="s">
        <v>487</v>
      </c>
      <c r="G285" s="2">
        <v>0.25</v>
      </c>
      <c r="H285" s="2">
        <v>-0.25</v>
      </c>
      <c r="I285" s="2" t="s">
        <v>119</v>
      </c>
    </row>
    <row r="286" spans="1:9" x14ac:dyDescent="0.35">
      <c r="A286" s="2">
        <v>202608</v>
      </c>
      <c r="B286" s="2">
        <v>1900</v>
      </c>
      <c r="C286" s="2">
        <v>3670</v>
      </c>
      <c r="D286" s="2" t="s">
        <v>488</v>
      </c>
      <c r="E286" s="2" t="s">
        <v>15</v>
      </c>
      <c r="F286" s="2" t="s">
        <v>489</v>
      </c>
      <c r="G286" s="2">
        <v>1.583</v>
      </c>
      <c r="H286" s="2">
        <v>-1.583</v>
      </c>
      <c r="I286" s="2" t="s">
        <v>119</v>
      </c>
    </row>
    <row r="287" spans="1:9" x14ac:dyDescent="0.35">
      <c r="A287" s="2">
        <v>202608</v>
      </c>
      <c r="B287" s="2">
        <v>1900</v>
      </c>
      <c r="C287" s="2">
        <v>5000</v>
      </c>
      <c r="D287" s="2" t="s">
        <v>490</v>
      </c>
      <c r="E287" s="2" t="s">
        <v>35</v>
      </c>
      <c r="F287" s="2" t="s">
        <v>491</v>
      </c>
      <c r="G287" s="2">
        <v>5.96</v>
      </c>
      <c r="H287" s="2">
        <v>5.96</v>
      </c>
      <c r="I287" s="2" t="s">
        <v>119</v>
      </c>
    </row>
    <row r="288" spans="1:9" x14ac:dyDescent="0.35">
      <c r="A288" s="2">
        <v>202608</v>
      </c>
      <c r="B288" s="2">
        <v>1900</v>
      </c>
      <c r="C288" s="2">
        <v>6300</v>
      </c>
      <c r="D288" s="2" t="s">
        <v>54</v>
      </c>
      <c r="E288" s="2" t="s">
        <v>35</v>
      </c>
      <c r="F288" s="2" t="s">
        <v>492</v>
      </c>
      <c r="G288" s="2">
        <v>2.2770000000000001</v>
      </c>
      <c r="H288" s="2">
        <v>2.2770000000000001</v>
      </c>
      <c r="I288" s="2" t="s">
        <v>119</v>
      </c>
    </row>
    <row r="289" spans="1:9" x14ac:dyDescent="0.35">
      <c r="A289" s="2">
        <v>202608</v>
      </c>
      <c r="B289" s="2">
        <v>1900</v>
      </c>
      <c r="C289" s="2">
        <v>6050</v>
      </c>
      <c r="D289" s="2" t="s">
        <v>493</v>
      </c>
      <c r="E289" s="2" t="s">
        <v>35</v>
      </c>
      <c r="F289" s="2" t="s">
        <v>494</v>
      </c>
      <c r="G289" s="2">
        <v>1.2</v>
      </c>
      <c r="H289" s="2">
        <v>1.2</v>
      </c>
      <c r="I289" s="2" t="s">
        <v>119</v>
      </c>
    </row>
    <row r="290" spans="1:9" x14ac:dyDescent="0.35">
      <c r="A290" s="2">
        <v>202609</v>
      </c>
      <c r="B290" s="2">
        <v>1100</v>
      </c>
      <c r="C290" s="2">
        <v>3900</v>
      </c>
      <c r="D290" s="2" t="s">
        <v>31</v>
      </c>
      <c r="E290" s="2" t="s">
        <v>15</v>
      </c>
      <c r="F290" s="2" t="s">
        <v>485</v>
      </c>
      <c r="G290" s="2">
        <v>20.567</v>
      </c>
      <c r="H290" s="2">
        <v>-20.567</v>
      </c>
      <c r="I290" s="2" t="s">
        <v>119</v>
      </c>
    </row>
    <row r="291" spans="1:9" x14ac:dyDescent="0.35">
      <c r="A291" s="2">
        <v>202609</v>
      </c>
      <c r="B291" s="2">
        <v>1100</v>
      </c>
      <c r="C291" s="2">
        <v>3400</v>
      </c>
      <c r="D291" s="2" t="s">
        <v>486</v>
      </c>
      <c r="E291" s="2" t="s">
        <v>15</v>
      </c>
      <c r="F291" s="2" t="s">
        <v>487</v>
      </c>
      <c r="G291" s="2">
        <v>1.833</v>
      </c>
      <c r="H291" s="2">
        <v>-1.833</v>
      </c>
      <c r="I291" s="2" t="s">
        <v>119</v>
      </c>
    </row>
    <row r="292" spans="1:9" x14ac:dyDescent="0.35">
      <c r="A292" s="2">
        <v>202609</v>
      </c>
      <c r="B292" s="2">
        <v>1100</v>
      </c>
      <c r="C292" s="2">
        <v>3670</v>
      </c>
      <c r="D292" s="2" t="s">
        <v>488</v>
      </c>
      <c r="E292" s="2" t="s">
        <v>15</v>
      </c>
      <c r="F292" s="2" t="s">
        <v>489</v>
      </c>
      <c r="G292" s="2">
        <v>0.65</v>
      </c>
      <c r="H292" s="2">
        <v>-0.65</v>
      </c>
      <c r="I292" s="2" t="s">
        <v>119</v>
      </c>
    </row>
    <row r="293" spans="1:9" x14ac:dyDescent="0.35">
      <c r="A293" s="2">
        <v>202609</v>
      </c>
      <c r="B293" s="2">
        <v>1100</v>
      </c>
      <c r="C293" s="2">
        <v>5000</v>
      </c>
      <c r="D293" s="2" t="s">
        <v>490</v>
      </c>
      <c r="E293" s="2" t="s">
        <v>35</v>
      </c>
      <c r="F293" s="2" t="s">
        <v>491</v>
      </c>
      <c r="G293" s="2">
        <v>14.162000000000001</v>
      </c>
      <c r="H293" s="2">
        <v>14.162000000000001</v>
      </c>
      <c r="I293" s="2" t="s">
        <v>119</v>
      </c>
    </row>
    <row r="294" spans="1:9" x14ac:dyDescent="0.35">
      <c r="A294" s="2">
        <v>202609</v>
      </c>
      <c r="B294" s="2">
        <v>1100</v>
      </c>
      <c r="C294" s="2">
        <v>6300</v>
      </c>
      <c r="D294" s="2" t="s">
        <v>54</v>
      </c>
      <c r="E294" s="2" t="s">
        <v>35</v>
      </c>
      <c r="F294" s="2" t="s">
        <v>492</v>
      </c>
      <c r="G294" s="2">
        <v>5.407</v>
      </c>
      <c r="H294" s="2">
        <v>5.407</v>
      </c>
      <c r="I294" s="2" t="s">
        <v>119</v>
      </c>
    </row>
    <row r="295" spans="1:9" x14ac:dyDescent="0.35">
      <c r="A295" s="2">
        <v>202609</v>
      </c>
      <c r="B295" s="2">
        <v>1100</v>
      </c>
      <c r="C295" s="2">
        <v>6050</v>
      </c>
      <c r="D295" s="2" t="s">
        <v>493</v>
      </c>
      <c r="E295" s="2" t="s">
        <v>35</v>
      </c>
      <c r="F295" s="2" t="s">
        <v>494</v>
      </c>
      <c r="G295" s="2">
        <v>2.5329999999999999</v>
      </c>
      <c r="H295" s="2">
        <v>2.5329999999999999</v>
      </c>
      <c r="I295" s="2" t="s">
        <v>119</v>
      </c>
    </row>
    <row r="296" spans="1:9" x14ac:dyDescent="0.35">
      <c r="A296" s="2">
        <v>202609</v>
      </c>
      <c r="B296" s="2">
        <v>1200</v>
      </c>
      <c r="C296" s="2">
        <v>3900</v>
      </c>
      <c r="D296" s="2" t="s">
        <v>31</v>
      </c>
      <c r="E296" s="2" t="s">
        <v>15</v>
      </c>
      <c r="F296" s="2" t="s">
        <v>485</v>
      </c>
      <c r="G296" s="2">
        <v>27.766999999999999</v>
      </c>
      <c r="H296" s="2">
        <v>-27.766999999999999</v>
      </c>
      <c r="I296" s="2" t="s">
        <v>119</v>
      </c>
    </row>
    <row r="297" spans="1:9" x14ac:dyDescent="0.35">
      <c r="A297" s="2">
        <v>202609</v>
      </c>
      <c r="B297" s="2">
        <v>1200</v>
      </c>
      <c r="C297" s="2">
        <v>3400</v>
      </c>
      <c r="D297" s="2" t="s">
        <v>486</v>
      </c>
      <c r="E297" s="2" t="s">
        <v>15</v>
      </c>
      <c r="F297" s="2" t="s">
        <v>487</v>
      </c>
      <c r="G297" s="2">
        <v>4</v>
      </c>
      <c r="H297" s="2">
        <v>-4</v>
      </c>
      <c r="I297" s="2" t="s">
        <v>119</v>
      </c>
    </row>
    <row r="298" spans="1:9" x14ac:dyDescent="0.35">
      <c r="A298" s="2">
        <v>202609</v>
      </c>
      <c r="B298" s="2">
        <v>1200</v>
      </c>
      <c r="C298" s="2">
        <v>3670</v>
      </c>
      <c r="D298" s="2" t="s">
        <v>488</v>
      </c>
      <c r="E298" s="2" t="s">
        <v>15</v>
      </c>
      <c r="F298" s="2" t="s">
        <v>489</v>
      </c>
      <c r="G298" s="2">
        <v>1.633</v>
      </c>
      <c r="H298" s="2">
        <v>-1.633</v>
      </c>
      <c r="I298" s="2" t="s">
        <v>119</v>
      </c>
    </row>
    <row r="299" spans="1:9" x14ac:dyDescent="0.35">
      <c r="A299" s="2">
        <v>202609</v>
      </c>
      <c r="B299" s="2">
        <v>1200</v>
      </c>
      <c r="C299" s="2">
        <v>5000</v>
      </c>
      <c r="D299" s="2" t="s">
        <v>490</v>
      </c>
      <c r="E299" s="2" t="s">
        <v>35</v>
      </c>
      <c r="F299" s="2" t="s">
        <v>491</v>
      </c>
      <c r="G299" s="2">
        <v>20.122</v>
      </c>
      <c r="H299" s="2">
        <v>20.122</v>
      </c>
      <c r="I299" s="2" t="s">
        <v>119</v>
      </c>
    </row>
    <row r="300" spans="1:9" x14ac:dyDescent="0.35">
      <c r="A300" s="2">
        <v>202609</v>
      </c>
      <c r="B300" s="2">
        <v>1200</v>
      </c>
      <c r="C300" s="2">
        <v>6300</v>
      </c>
      <c r="D300" s="2" t="s">
        <v>54</v>
      </c>
      <c r="E300" s="2" t="s">
        <v>35</v>
      </c>
      <c r="F300" s="2" t="s">
        <v>492</v>
      </c>
      <c r="G300" s="2">
        <v>7.6840000000000002</v>
      </c>
      <c r="H300" s="2">
        <v>7.6840000000000002</v>
      </c>
      <c r="I300" s="2" t="s">
        <v>119</v>
      </c>
    </row>
    <row r="301" spans="1:9" x14ac:dyDescent="0.35">
      <c r="A301" s="2">
        <v>202609</v>
      </c>
      <c r="B301" s="2">
        <v>1200</v>
      </c>
      <c r="C301" s="2">
        <v>6050</v>
      </c>
      <c r="D301" s="2" t="s">
        <v>493</v>
      </c>
      <c r="E301" s="2" t="s">
        <v>35</v>
      </c>
      <c r="F301" s="2" t="s">
        <v>494</v>
      </c>
      <c r="G301" s="2">
        <v>4.6669999999999998</v>
      </c>
      <c r="H301" s="2">
        <v>4.6669999999999998</v>
      </c>
      <c r="I301" s="2" t="s">
        <v>119</v>
      </c>
    </row>
    <row r="302" spans="1:9" x14ac:dyDescent="0.35">
      <c r="A302" s="2">
        <v>202609</v>
      </c>
      <c r="B302" s="2">
        <v>1300</v>
      </c>
      <c r="C302" s="2">
        <v>3900</v>
      </c>
      <c r="D302" s="2" t="s">
        <v>31</v>
      </c>
      <c r="E302" s="2" t="s">
        <v>15</v>
      </c>
      <c r="F302" s="2" t="s">
        <v>485</v>
      </c>
      <c r="G302" s="2">
        <v>23.65</v>
      </c>
      <c r="H302" s="2">
        <v>-23.65</v>
      </c>
      <c r="I302" s="2" t="s">
        <v>119</v>
      </c>
    </row>
    <row r="303" spans="1:9" x14ac:dyDescent="0.35">
      <c r="A303" s="2">
        <v>202609</v>
      </c>
      <c r="B303" s="2">
        <v>1300</v>
      </c>
      <c r="C303" s="2">
        <v>3400</v>
      </c>
      <c r="D303" s="2" t="s">
        <v>486</v>
      </c>
      <c r="E303" s="2" t="s">
        <v>15</v>
      </c>
      <c r="F303" s="2" t="s">
        <v>487</v>
      </c>
      <c r="G303" s="2">
        <v>2.0830000000000002</v>
      </c>
      <c r="H303" s="2">
        <v>-2.0830000000000002</v>
      </c>
      <c r="I303" s="2" t="s">
        <v>119</v>
      </c>
    </row>
    <row r="304" spans="1:9" x14ac:dyDescent="0.35">
      <c r="A304" s="2">
        <v>202609</v>
      </c>
      <c r="B304" s="2">
        <v>1300</v>
      </c>
      <c r="C304" s="2">
        <v>3670</v>
      </c>
      <c r="D304" s="2" t="s">
        <v>488</v>
      </c>
      <c r="E304" s="2" t="s">
        <v>15</v>
      </c>
      <c r="F304" s="2" t="s">
        <v>489</v>
      </c>
      <c r="G304" s="2">
        <v>1.2330000000000001</v>
      </c>
      <c r="H304" s="2">
        <v>-1.2330000000000001</v>
      </c>
      <c r="I304" s="2" t="s">
        <v>119</v>
      </c>
    </row>
    <row r="305" spans="1:9" x14ac:dyDescent="0.35">
      <c r="A305" s="2">
        <v>202609</v>
      </c>
      <c r="B305" s="2">
        <v>1300</v>
      </c>
      <c r="C305" s="2">
        <v>5000</v>
      </c>
      <c r="D305" s="2" t="s">
        <v>490</v>
      </c>
      <c r="E305" s="2" t="s">
        <v>35</v>
      </c>
      <c r="F305" s="2" t="s">
        <v>491</v>
      </c>
      <c r="G305" s="2">
        <v>17.138000000000002</v>
      </c>
      <c r="H305" s="2">
        <v>17.138000000000002</v>
      </c>
      <c r="I305" s="2" t="s">
        <v>119</v>
      </c>
    </row>
    <row r="306" spans="1:9" x14ac:dyDescent="0.35">
      <c r="A306" s="2">
        <v>202609</v>
      </c>
      <c r="B306" s="2">
        <v>1300</v>
      </c>
      <c r="C306" s="2">
        <v>6300</v>
      </c>
      <c r="D306" s="2" t="s">
        <v>54</v>
      </c>
      <c r="E306" s="2" t="s">
        <v>35</v>
      </c>
      <c r="F306" s="2" t="s">
        <v>492</v>
      </c>
      <c r="G306" s="2">
        <v>6.5449999999999999</v>
      </c>
      <c r="H306" s="2">
        <v>6.5449999999999999</v>
      </c>
      <c r="I306" s="2" t="s">
        <v>119</v>
      </c>
    </row>
    <row r="307" spans="1:9" x14ac:dyDescent="0.35">
      <c r="A307" s="2">
        <v>202609</v>
      </c>
      <c r="B307" s="2">
        <v>1300</v>
      </c>
      <c r="C307" s="2">
        <v>6050</v>
      </c>
      <c r="D307" s="2" t="s">
        <v>493</v>
      </c>
      <c r="E307" s="2" t="s">
        <v>35</v>
      </c>
      <c r="F307" s="2" t="s">
        <v>494</v>
      </c>
      <c r="G307" s="2">
        <v>2.8</v>
      </c>
      <c r="H307" s="2">
        <v>2.8</v>
      </c>
      <c r="I307" s="2" t="s">
        <v>119</v>
      </c>
    </row>
    <row r="308" spans="1:9" x14ac:dyDescent="0.35">
      <c r="A308" s="2">
        <v>202609</v>
      </c>
      <c r="B308" s="2">
        <v>1400</v>
      </c>
      <c r="C308" s="2">
        <v>3900</v>
      </c>
      <c r="D308" s="2" t="s">
        <v>31</v>
      </c>
      <c r="E308" s="2" t="s">
        <v>15</v>
      </c>
      <c r="F308" s="2" t="s">
        <v>485</v>
      </c>
      <c r="G308" s="2">
        <v>13.367000000000001</v>
      </c>
      <c r="H308" s="2">
        <v>-13.367000000000001</v>
      </c>
      <c r="I308" s="2" t="s">
        <v>119</v>
      </c>
    </row>
    <row r="309" spans="1:9" x14ac:dyDescent="0.35">
      <c r="A309" s="2">
        <v>202609</v>
      </c>
      <c r="B309" s="2">
        <v>1400</v>
      </c>
      <c r="C309" s="2">
        <v>3400</v>
      </c>
      <c r="D309" s="2" t="s">
        <v>486</v>
      </c>
      <c r="E309" s="2" t="s">
        <v>15</v>
      </c>
      <c r="F309" s="2" t="s">
        <v>487</v>
      </c>
      <c r="G309" s="2">
        <v>1.25</v>
      </c>
      <c r="H309" s="2">
        <v>-1.25</v>
      </c>
      <c r="I309" s="2" t="s">
        <v>119</v>
      </c>
    </row>
    <row r="310" spans="1:9" x14ac:dyDescent="0.35">
      <c r="A310" s="2">
        <v>202609</v>
      </c>
      <c r="B310" s="2">
        <v>1400</v>
      </c>
      <c r="C310" s="2">
        <v>3670</v>
      </c>
      <c r="D310" s="2" t="s">
        <v>488</v>
      </c>
      <c r="E310" s="2" t="s">
        <v>15</v>
      </c>
      <c r="F310" s="2" t="s">
        <v>489</v>
      </c>
      <c r="G310" s="2">
        <v>0.74199999999999999</v>
      </c>
      <c r="H310" s="2">
        <v>-0.74199999999999999</v>
      </c>
      <c r="I310" s="2" t="s">
        <v>119</v>
      </c>
    </row>
    <row r="311" spans="1:9" x14ac:dyDescent="0.35">
      <c r="A311" s="2">
        <v>202609</v>
      </c>
      <c r="B311" s="2">
        <v>1400</v>
      </c>
      <c r="C311" s="2">
        <v>5000</v>
      </c>
      <c r="D311" s="2" t="s">
        <v>490</v>
      </c>
      <c r="E311" s="2" t="s">
        <v>35</v>
      </c>
      <c r="F311" s="2" t="s">
        <v>491</v>
      </c>
      <c r="G311" s="2">
        <v>9.6859999999999999</v>
      </c>
      <c r="H311" s="2">
        <v>9.6859999999999999</v>
      </c>
      <c r="I311" s="2" t="s">
        <v>119</v>
      </c>
    </row>
    <row r="312" spans="1:9" x14ac:dyDescent="0.35">
      <c r="A312" s="2">
        <v>202609</v>
      </c>
      <c r="B312" s="2">
        <v>1400</v>
      </c>
      <c r="C312" s="2">
        <v>6300</v>
      </c>
      <c r="D312" s="2" t="s">
        <v>54</v>
      </c>
      <c r="E312" s="2" t="s">
        <v>35</v>
      </c>
      <c r="F312" s="2" t="s">
        <v>492</v>
      </c>
      <c r="G312" s="2">
        <v>3.7</v>
      </c>
      <c r="H312" s="2">
        <v>3.7</v>
      </c>
      <c r="I312" s="2" t="s">
        <v>119</v>
      </c>
    </row>
    <row r="313" spans="1:9" x14ac:dyDescent="0.35">
      <c r="A313" s="2">
        <v>202609</v>
      </c>
      <c r="B313" s="2">
        <v>1400</v>
      </c>
      <c r="C313" s="2">
        <v>6050</v>
      </c>
      <c r="D313" s="2" t="s">
        <v>493</v>
      </c>
      <c r="E313" s="2" t="s">
        <v>35</v>
      </c>
      <c r="F313" s="2" t="s">
        <v>494</v>
      </c>
      <c r="G313" s="2">
        <v>1.2</v>
      </c>
      <c r="H313" s="2">
        <v>1.2</v>
      </c>
      <c r="I313" s="2" t="s">
        <v>119</v>
      </c>
    </row>
    <row r="314" spans="1:9" x14ac:dyDescent="0.35">
      <c r="A314" s="2">
        <v>202609</v>
      </c>
      <c r="B314" s="2">
        <v>1500</v>
      </c>
      <c r="C314" s="2">
        <v>3900</v>
      </c>
      <c r="D314" s="2" t="s">
        <v>31</v>
      </c>
      <c r="E314" s="2" t="s">
        <v>15</v>
      </c>
      <c r="F314" s="2" t="s">
        <v>485</v>
      </c>
      <c r="G314" s="2">
        <v>10.282999999999999</v>
      </c>
      <c r="H314" s="2">
        <v>-10.282999999999999</v>
      </c>
      <c r="I314" s="2" t="s">
        <v>119</v>
      </c>
    </row>
    <row r="315" spans="1:9" x14ac:dyDescent="0.35">
      <c r="A315" s="2">
        <v>202609</v>
      </c>
      <c r="B315" s="2">
        <v>1500</v>
      </c>
      <c r="C315" s="2">
        <v>3400</v>
      </c>
      <c r="D315" s="2" t="s">
        <v>486</v>
      </c>
      <c r="E315" s="2" t="s">
        <v>15</v>
      </c>
      <c r="F315" s="2" t="s">
        <v>487</v>
      </c>
      <c r="G315" s="2">
        <v>0.83299999999999996</v>
      </c>
      <c r="H315" s="2">
        <v>-0.83299999999999996</v>
      </c>
      <c r="I315" s="2" t="s">
        <v>119</v>
      </c>
    </row>
    <row r="316" spans="1:9" x14ac:dyDescent="0.35">
      <c r="A316" s="2">
        <v>202609</v>
      </c>
      <c r="B316" s="2">
        <v>1500</v>
      </c>
      <c r="C316" s="2">
        <v>3670</v>
      </c>
      <c r="D316" s="2" t="s">
        <v>488</v>
      </c>
      <c r="E316" s="2" t="s">
        <v>15</v>
      </c>
      <c r="F316" s="2" t="s">
        <v>489</v>
      </c>
      <c r="G316" s="2">
        <v>0.49199999999999999</v>
      </c>
      <c r="H316" s="2">
        <v>-0.49199999999999999</v>
      </c>
      <c r="I316" s="2" t="s">
        <v>119</v>
      </c>
    </row>
    <row r="317" spans="1:9" x14ac:dyDescent="0.35">
      <c r="A317" s="2">
        <v>202609</v>
      </c>
      <c r="B317" s="2">
        <v>1500</v>
      </c>
      <c r="C317" s="2">
        <v>5000</v>
      </c>
      <c r="D317" s="2" t="s">
        <v>490</v>
      </c>
      <c r="E317" s="2" t="s">
        <v>35</v>
      </c>
      <c r="F317" s="2" t="s">
        <v>491</v>
      </c>
      <c r="G317" s="2">
        <v>7.452</v>
      </c>
      <c r="H317" s="2">
        <v>7.452</v>
      </c>
      <c r="I317" s="2" t="s">
        <v>119</v>
      </c>
    </row>
    <row r="318" spans="1:9" x14ac:dyDescent="0.35">
      <c r="A318" s="2">
        <v>202609</v>
      </c>
      <c r="B318" s="2">
        <v>1500</v>
      </c>
      <c r="C318" s="2">
        <v>6300</v>
      </c>
      <c r="D318" s="2" t="s">
        <v>54</v>
      </c>
      <c r="E318" s="2" t="s">
        <v>35</v>
      </c>
      <c r="F318" s="2" t="s">
        <v>492</v>
      </c>
      <c r="G318" s="2">
        <v>2.8460000000000001</v>
      </c>
      <c r="H318" s="2">
        <v>2.8460000000000001</v>
      </c>
      <c r="I318" s="2" t="s">
        <v>119</v>
      </c>
    </row>
    <row r="319" spans="1:9" x14ac:dyDescent="0.35">
      <c r="A319" s="2">
        <v>202609</v>
      </c>
      <c r="B319" s="2">
        <v>1500</v>
      </c>
      <c r="C319" s="2">
        <v>6050</v>
      </c>
      <c r="D319" s="2" t="s">
        <v>493</v>
      </c>
      <c r="E319" s="2" t="s">
        <v>35</v>
      </c>
      <c r="F319" s="2" t="s">
        <v>494</v>
      </c>
      <c r="G319" s="2">
        <v>0.93300000000000005</v>
      </c>
      <c r="H319" s="2">
        <v>0.93300000000000005</v>
      </c>
      <c r="I319" s="2" t="s">
        <v>119</v>
      </c>
    </row>
    <row r="320" spans="1:9" x14ac:dyDescent="0.35">
      <c r="A320" s="2">
        <v>202609</v>
      </c>
      <c r="B320" s="2">
        <v>1900</v>
      </c>
      <c r="C320" s="2">
        <v>3900</v>
      </c>
      <c r="D320" s="2" t="s">
        <v>31</v>
      </c>
      <c r="E320" s="2" t="s">
        <v>15</v>
      </c>
      <c r="F320" s="2" t="s">
        <v>485</v>
      </c>
      <c r="G320" s="2">
        <v>7.2</v>
      </c>
      <c r="H320" s="2">
        <v>-7.2</v>
      </c>
      <c r="I320" s="2" t="s">
        <v>119</v>
      </c>
    </row>
    <row r="321" spans="1:9" x14ac:dyDescent="0.35">
      <c r="A321" s="2">
        <v>202609</v>
      </c>
      <c r="B321" s="2">
        <v>1900</v>
      </c>
      <c r="C321" s="2">
        <v>3400</v>
      </c>
      <c r="D321" s="2" t="s">
        <v>486</v>
      </c>
      <c r="E321" s="2" t="s">
        <v>15</v>
      </c>
      <c r="F321" s="2" t="s">
        <v>487</v>
      </c>
      <c r="G321" s="2">
        <v>0.25</v>
      </c>
      <c r="H321" s="2">
        <v>-0.25</v>
      </c>
      <c r="I321" s="2" t="s">
        <v>119</v>
      </c>
    </row>
    <row r="322" spans="1:9" x14ac:dyDescent="0.35">
      <c r="A322" s="2">
        <v>202609</v>
      </c>
      <c r="B322" s="2">
        <v>1900</v>
      </c>
      <c r="C322" s="2">
        <v>3670</v>
      </c>
      <c r="D322" s="2" t="s">
        <v>488</v>
      </c>
      <c r="E322" s="2" t="s">
        <v>15</v>
      </c>
      <c r="F322" s="2" t="s">
        <v>489</v>
      </c>
      <c r="G322" s="2">
        <v>1.583</v>
      </c>
      <c r="H322" s="2">
        <v>-1.583</v>
      </c>
      <c r="I322" s="2" t="s">
        <v>119</v>
      </c>
    </row>
    <row r="323" spans="1:9" x14ac:dyDescent="0.35">
      <c r="A323" s="2">
        <v>202609</v>
      </c>
      <c r="B323" s="2">
        <v>1900</v>
      </c>
      <c r="C323" s="2">
        <v>5000</v>
      </c>
      <c r="D323" s="2" t="s">
        <v>490</v>
      </c>
      <c r="E323" s="2" t="s">
        <v>35</v>
      </c>
      <c r="F323" s="2" t="s">
        <v>491</v>
      </c>
      <c r="G323" s="2">
        <v>5.96</v>
      </c>
      <c r="H323" s="2">
        <v>5.96</v>
      </c>
      <c r="I323" s="2" t="s">
        <v>119</v>
      </c>
    </row>
    <row r="324" spans="1:9" x14ac:dyDescent="0.35">
      <c r="A324" s="2">
        <v>202609</v>
      </c>
      <c r="B324" s="2">
        <v>1900</v>
      </c>
      <c r="C324" s="2">
        <v>6300</v>
      </c>
      <c r="D324" s="2" t="s">
        <v>54</v>
      </c>
      <c r="E324" s="2" t="s">
        <v>35</v>
      </c>
      <c r="F324" s="2" t="s">
        <v>492</v>
      </c>
      <c r="G324" s="2">
        <v>2.2770000000000001</v>
      </c>
      <c r="H324" s="2">
        <v>2.2770000000000001</v>
      </c>
      <c r="I324" s="2" t="s">
        <v>119</v>
      </c>
    </row>
    <row r="325" spans="1:9" x14ac:dyDescent="0.35">
      <c r="A325" s="2">
        <v>202609</v>
      </c>
      <c r="B325" s="2">
        <v>1900</v>
      </c>
      <c r="C325" s="2">
        <v>6050</v>
      </c>
      <c r="D325" s="2" t="s">
        <v>493</v>
      </c>
      <c r="E325" s="2" t="s">
        <v>35</v>
      </c>
      <c r="F325" s="2" t="s">
        <v>494</v>
      </c>
      <c r="G325" s="2">
        <v>1.2</v>
      </c>
      <c r="H325" s="2">
        <v>1.2</v>
      </c>
      <c r="I325" s="2" t="s">
        <v>119</v>
      </c>
    </row>
    <row r="326" spans="1:9" x14ac:dyDescent="0.35">
      <c r="A326" s="2">
        <v>202610</v>
      </c>
      <c r="B326" s="2">
        <v>1100</v>
      </c>
      <c r="C326" s="2">
        <v>3900</v>
      </c>
      <c r="D326" s="2" t="s">
        <v>31</v>
      </c>
      <c r="E326" s="2" t="s">
        <v>15</v>
      </c>
      <c r="F326" s="2" t="s">
        <v>485</v>
      </c>
      <c r="G326" s="2">
        <v>20.567</v>
      </c>
      <c r="H326" s="2">
        <v>-20.567</v>
      </c>
      <c r="I326" s="2" t="s">
        <v>119</v>
      </c>
    </row>
    <row r="327" spans="1:9" x14ac:dyDescent="0.35">
      <c r="A327" s="2">
        <v>202610</v>
      </c>
      <c r="B327" s="2">
        <v>1100</v>
      </c>
      <c r="C327" s="2">
        <v>3400</v>
      </c>
      <c r="D327" s="2" t="s">
        <v>486</v>
      </c>
      <c r="E327" s="2" t="s">
        <v>15</v>
      </c>
      <c r="F327" s="2" t="s">
        <v>487</v>
      </c>
      <c r="G327" s="2">
        <v>1.833</v>
      </c>
      <c r="H327" s="2">
        <v>-1.833</v>
      </c>
      <c r="I327" s="2" t="s">
        <v>119</v>
      </c>
    </row>
    <row r="328" spans="1:9" x14ac:dyDescent="0.35">
      <c r="A328" s="2">
        <v>202610</v>
      </c>
      <c r="B328" s="2">
        <v>1100</v>
      </c>
      <c r="C328" s="2">
        <v>3670</v>
      </c>
      <c r="D328" s="2" t="s">
        <v>488</v>
      </c>
      <c r="E328" s="2" t="s">
        <v>15</v>
      </c>
      <c r="F328" s="2" t="s">
        <v>489</v>
      </c>
      <c r="G328" s="2">
        <v>0.65</v>
      </c>
      <c r="H328" s="2">
        <v>-0.65</v>
      </c>
      <c r="I328" s="2" t="s">
        <v>119</v>
      </c>
    </row>
    <row r="329" spans="1:9" x14ac:dyDescent="0.35">
      <c r="A329" s="2">
        <v>202610</v>
      </c>
      <c r="B329" s="2">
        <v>1100</v>
      </c>
      <c r="C329" s="2">
        <v>5000</v>
      </c>
      <c r="D329" s="2" t="s">
        <v>490</v>
      </c>
      <c r="E329" s="2" t="s">
        <v>35</v>
      </c>
      <c r="F329" s="2" t="s">
        <v>491</v>
      </c>
      <c r="G329" s="2">
        <v>14.162000000000001</v>
      </c>
      <c r="H329" s="2">
        <v>14.162000000000001</v>
      </c>
      <c r="I329" s="2" t="s">
        <v>119</v>
      </c>
    </row>
    <row r="330" spans="1:9" x14ac:dyDescent="0.35">
      <c r="A330" s="2">
        <v>202610</v>
      </c>
      <c r="B330" s="2">
        <v>1100</v>
      </c>
      <c r="C330" s="2">
        <v>6300</v>
      </c>
      <c r="D330" s="2" t="s">
        <v>54</v>
      </c>
      <c r="E330" s="2" t="s">
        <v>35</v>
      </c>
      <c r="F330" s="2" t="s">
        <v>492</v>
      </c>
      <c r="G330" s="2">
        <v>5.407</v>
      </c>
      <c r="H330" s="2">
        <v>5.407</v>
      </c>
      <c r="I330" s="2" t="s">
        <v>119</v>
      </c>
    </row>
    <row r="331" spans="1:9" x14ac:dyDescent="0.35">
      <c r="A331" s="2">
        <v>202610</v>
      </c>
      <c r="B331" s="2">
        <v>1100</v>
      </c>
      <c r="C331" s="2">
        <v>6050</v>
      </c>
      <c r="D331" s="2" t="s">
        <v>493</v>
      </c>
      <c r="E331" s="2" t="s">
        <v>35</v>
      </c>
      <c r="F331" s="2" t="s">
        <v>494</v>
      </c>
      <c r="G331" s="2">
        <v>2.5329999999999999</v>
      </c>
      <c r="H331" s="2">
        <v>2.5329999999999999</v>
      </c>
      <c r="I331" s="2" t="s">
        <v>119</v>
      </c>
    </row>
    <row r="332" spans="1:9" x14ac:dyDescent="0.35">
      <c r="A332" s="2">
        <v>202610</v>
      </c>
      <c r="B332" s="2">
        <v>1200</v>
      </c>
      <c r="C332" s="2">
        <v>3900</v>
      </c>
      <c r="D332" s="2" t="s">
        <v>31</v>
      </c>
      <c r="E332" s="2" t="s">
        <v>15</v>
      </c>
      <c r="F332" s="2" t="s">
        <v>485</v>
      </c>
      <c r="G332" s="2">
        <v>27.766999999999999</v>
      </c>
      <c r="H332" s="2">
        <v>-27.766999999999999</v>
      </c>
      <c r="I332" s="2" t="s">
        <v>119</v>
      </c>
    </row>
    <row r="333" spans="1:9" x14ac:dyDescent="0.35">
      <c r="A333" s="2">
        <v>202610</v>
      </c>
      <c r="B333" s="2">
        <v>1200</v>
      </c>
      <c r="C333" s="2">
        <v>3400</v>
      </c>
      <c r="D333" s="2" t="s">
        <v>486</v>
      </c>
      <c r="E333" s="2" t="s">
        <v>15</v>
      </c>
      <c r="F333" s="2" t="s">
        <v>487</v>
      </c>
      <c r="G333" s="2">
        <v>4</v>
      </c>
      <c r="H333" s="2">
        <v>-4</v>
      </c>
      <c r="I333" s="2" t="s">
        <v>119</v>
      </c>
    </row>
    <row r="334" spans="1:9" x14ac:dyDescent="0.35">
      <c r="A334" s="2">
        <v>202610</v>
      </c>
      <c r="B334" s="2">
        <v>1200</v>
      </c>
      <c r="C334" s="2">
        <v>3670</v>
      </c>
      <c r="D334" s="2" t="s">
        <v>488</v>
      </c>
      <c r="E334" s="2" t="s">
        <v>15</v>
      </c>
      <c r="F334" s="2" t="s">
        <v>489</v>
      </c>
      <c r="G334" s="2">
        <v>1.633</v>
      </c>
      <c r="H334" s="2">
        <v>-1.633</v>
      </c>
      <c r="I334" s="2" t="s">
        <v>119</v>
      </c>
    </row>
    <row r="335" spans="1:9" x14ac:dyDescent="0.35">
      <c r="A335" s="2">
        <v>202610</v>
      </c>
      <c r="B335" s="2">
        <v>1200</v>
      </c>
      <c r="C335" s="2">
        <v>5000</v>
      </c>
      <c r="D335" s="2" t="s">
        <v>490</v>
      </c>
      <c r="E335" s="2" t="s">
        <v>35</v>
      </c>
      <c r="F335" s="2" t="s">
        <v>491</v>
      </c>
      <c r="G335" s="2">
        <v>20.122</v>
      </c>
      <c r="H335" s="2">
        <v>20.122</v>
      </c>
      <c r="I335" s="2" t="s">
        <v>119</v>
      </c>
    </row>
    <row r="336" spans="1:9" x14ac:dyDescent="0.35">
      <c r="A336" s="2">
        <v>202610</v>
      </c>
      <c r="B336" s="2">
        <v>1200</v>
      </c>
      <c r="C336" s="2">
        <v>6300</v>
      </c>
      <c r="D336" s="2" t="s">
        <v>54</v>
      </c>
      <c r="E336" s="2" t="s">
        <v>35</v>
      </c>
      <c r="F336" s="2" t="s">
        <v>492</v>
      </c>
      <c r="G336" s="2">
        <v>7.6840000000000002</v>
      </c>
      <c r="H336" s="2">
        <v>7.6840000000000002</v>
      </c>
      <c r="I336" s="2" t="s">
        <v>119</v>
      </c>
    </row>
    <row r="337" spans="1:9" x14ac:dyDescent="0.35">
      <c r="A337" s="2">
        <v>202610</v>
      </c>
      <c r="B337" s="2">
        <v>1200</v>
      </c>
      <c r="C337" s="2">
        <v>6050</v>
      </c>
      <c r="D337" s="2" t="s">
        <v>493</v>
      </c>
      <c r="E337" s="2" t="s">
        <v>35</v>
      </c>
      <c r="F337" s="2" t="s">
        <v>494</v>
      </c>
      <c r="G337" s="2">
        <v>4.6669999999999998</v>
      </c>
      <c r="H337" s="2">
        <v>4.6669999999999998</v>
      </c>
      <c r="I337" s="2" t="s">
        <v>119</v>
      </c>
    </row>
    <row r="338" spans="1:9" x14ac:dyDescent="0.35">
      <c r="A338" s="2">
        <v>202610</v>
      </c>
      <c r="B338" s="2">
        <v>1300</v>
      </c>
      <c r="C338" s="2">
        <v>3900</v>
      </c>
      <c r="D338" s="2" t="s">
        <v>31</v>
      </c>
      <c r="E338" s="2" t="s">
        <v>15</v>
      </c>
      <c r="F338" s="2" t="s">
        <v>485</v>
      </c>
      <c r="G338" s="2">
        <v>23.65</v>
      </c>
      <c r="H338" s="2">
        <v>-23.65</v>
      </c>
      <c r="I338" s="2" t="s">
        <v>119</v>
      </c>
    </row>
    <row r="339" spans="1:9" x14ac:dyDescent="0.35">
      <c r="A339" s="2">
        <v>202610</v>
      </c>
      <c r="B339" s="2">
        <v>1300</v>
      </c>
      <c r="C339" s="2">
        <v>3400</v>
      </c>
      <c r="D339" s="2" t="s">
        <v>486</v>
      </c>
      <c r="E339" s="2" t="s">
        <v>15</v>
      </c>
      <c r="F339" s="2" t="s">
        <v>487</v>
      </c>
      <c r="G339" s="2">
        <v>2.0830000000000002</v>
      </c>
      <c r="H339" s="2">
        <v>-2.0830000000000002</v>
      </c>
      <c r="I339" s="2" t="s">
        <v>119</v>
      </c>
    </row>
    <row r="340" spans="1:9" x14ac:dyDescent="0.35">
      <c r="A340" s="2">
        <v>202610</v>
      </c>
      <c r="B340" s="2">
        <v>1300</v>
      </c>
      <c r="C340" s="2">
        <v>3670</v>
      </c>
      <c r="D340" s="2" t="s">
        <v>488</v>
      </c>
      <c r="E340" s="2" t="s">
        <v>15</v>
      </c>
      <c r="F340" s="2" t="s">
        <v>489</v>
      </c>
      <c r="G340" s="2">
        <v>1.2330000000000001</v>
      </c>
      <c r="H340" s="2">
        <v>-1.2330000000000001</v>
      </c>
      <c r="I340" s="2" t="s">
        <v>119</v>
      </c>
    </row>
    <row r="341" spans="1:9" x14ac:dyDescent="0.35">
      <c r="A341" s="2">
        <v>202610</v>
      </c>
      <c r="B341" s="2">
        <v>1300</v>
      </c>
      <c r="C341" s="2">
        <v>5000</v>
      </c>
      <c r="D341" s="2" t="s">
        <v>490</v>
      </c>
      <c r="E341" s="2" t="s">
        <v>35</v>
      </c>
      <c r="F341" s="2" t="s">
        <v>491</v>
      </c>
      <c r="G341" s="2">
        <v>17.138000000000002</v>
      </c>
      <c r="H341" s="2">
        <v>17.138000000000002</v>
      </c>
      <c r="I341" s="2" t="s">
        <v>119</v>
      </c>
    </row>
    <row r="342" spans="1:9" x14ac:dyDescent="0.35">
      <c r="A342" s="2">
        <v>202610</v>
      </c>
      <c r="B342" s="2">
        <v>1300</v>
      </c>
      <c r="C342" s="2">
        <v>6300</v>
      </c>
      <c r="D342" s="2" t="s">
        <v>54</v>
      </c>
      <c r="E342" s="2" t="s">
        <v>35</v>
      </c>
      <c r="F342" s="2" t="s">
        <v>492</v>
      </c>
      <c r="G342" s="2">
        <v>6.5449999999999999</v>
      </c>
      <c r="H342" s="2">
        <v>6.5449999999999999</v>
      </c>
      <c r="I342" s="2" t="s">
        <v>119</v>
      </c>
    </row>
    <row r="343" spans="1:9" x14ac:dyDescent="0.35">
      <c r="A343" s="2">
        <v>202610</v>
      </c>
      <c r="B343" s="2">
        <v>1300</v>
      </c>
      <c r="C343" s="2">
        <v>6050</v>
      </c>
      <c r="D343" s="2" t="s">
        <v>493</v>
      </c>
      <c r="E343" s="2" t="s">
        <v>35</v>
      </c>
      <c r="F343" s="2" t="s">
        <v>494</v>
      </c>
      <c r="G343" s="2">
        <v>2.8</v>
      </c>
      <c r="H343" s="2">
        <v>2.8</v>
      </c>
      <c r="I343" s="2" t="s">
        <v>119</v>
      </c>
    </row>
    <row r="344" spans="1:9" x14ac:dyDescent="0.35">
      <c r="A344" s="2">
        <v>202610</v>
      </c>
      <c r="B344" s="2">
        <v>1400</v>
      </c>
      <c r="C344" s="2">
        <v>3900</v>
      </c>
      <c r="D344" s="2" t="s">
        <v>31</v>
      </c>
      <c r="E344" s="2" t="s">
        <v>15</v>
      </c>
      <c r="F344" s="2" t="s">
        <v>485</v>
      </c>
      <c r="G344" s="2">
        <v>13.367000000000001</v>
      </c>
      <c r="H344" s="2">
        <v>-13.367000000000001</v>
      </c>
      <c r="I344" s="2" t="s">
        <v>119</v>
      </c>
    </row>
    <row r="345" spans="1:9" x14ac:dyDescent="0.35">
      <c r="A345" s="2">
        <v>202610</v>
      </c>
      <c r="B345" s="2">
        <v>1400</v>
      </c>
      <c r="C345" s="2">
        <v>3400</v>
      </c>
      <c r="D345" s="2" t="s">
        <v>486</v>
      </c>
      <c r="E345" s="2" t="s">
        <v>15</v>
      </c>
      <c r="F345" s="2" t="s">
        <v>487</v>
      </c>
      <c r="G345" s="2">
        <v>1.25</v>
      </c>
      <c r="H345" s="2">
        <v>-1.25</v>
      </c>
      <c r="I345" s="2" t="s">
        <v>119</v>
      </c>
    </row>
    <row r="346" spans="1:9" x14ac:dyDescent="0.35">
      <c r="A346" s="2">
        <v>202610</v>
      </c>
      <c r="B346" s="2">
        <v>1400</v>
      </c>
      <c r="C346" s="2">
        <v>3670</v>
      </c>
      <c r="D346" s="2" t="s">
        <v>488</v>
      </c>
      <c r="E346" s="2" t="s">
        <v>15</v>
      </c>
      <c r="F346" s="2" t="s">
        <v>489</v>
      </c>
      <c r="G346" s="2">
        <v>0.74199999999999999</v>
      </c>
      <c r="H346" s="2">
        <v>-0.74199999999999999</v>
      </c>
      <c r="I346" s="2" t="s">
        <v>119</v>
      </c>
    </row>
    <row r="347" spans="1:9" x14ac:dyDescent="0.35">
      <c r="A347" s="2">
        <v>202610</v>
      </c>
      <c r="B347" s="2">
        <v>1400</v>
      </c>
      <c r="C347" s="2">
        <v>5000</v>
      </c>
      <c r="D347" s="2" t="s">
        <v>490</v>
      </c>
      <c r="E347" s="2" t="s">
        <v>35</v>
      </c>
      <c r="F347" s="2" t="s">
        <v>491</v>
      </c>
      <c r="G347" s="2">
        <v>9.6859999999999999</v>
      </c>
      <c r="H347" s="2">
        <v>9.6859999999999999</v>
      </c>
      <c r="I347" s="2" t="s">
        <v>119</v>
      </c>
    </row>
    <row r="348" spans="1:9" x14ac:dyDescent="0.35">
      <c r="A348" s="2">
        <v>202610</v>
      </c>
      <c r="B348" s="2">
        <v>1400</v>
      </c>
      <c r="C348" s="2">
        <v>6300</v>
      </c>
      <c r="D348" s="2" t="s">
        <v>54</v>
      </c>
      <c r="E348" s="2" t="s">
        <v>35</v>
      </c>
      <c r="F348" s="2" t="s">
        <v>492</v>
      </c>
      <c r="G348" s="2">
        <v>3.7</v>
      </c>
      <c r="H348" s="2">
        <v>3.7</v>
      </c>
      <c r="I348" s="2" t="s">
        <v>119</v>
      </c>
    </row>
    <row r="349" spans="1:9" x14ac:dyDescent="0.35">
      <c r="A349" s="2">
        <v>202610</v>
      </c>
      <c r="B349" s="2">
        <v>1400</v>
      </c>
      <c r="C349" s="2">
        <v>6050</v>
      </c>
      <c r="D349" s="2" t="s">
        <v>493</v>
      </c>
      <c r="E349" s="2" t="s">
        <v>35</v>
      </c>
      <c r="F349" s="2" t="s">
        <v>494</v>
      </c>
      <c r="G349" s="2">
        <v>1.2</v>
      </c>
      <c r="H349" s="2">
        <v>1.2</v>
      </c>
      <c r="I349" s="2" t="s">
        <v>119</v>
      </c>
    </row>
    <row r="350" spans="1:9" x14ac:dyDescent="0.35">
      <c r="A350" s="2">
        <v>202610</v>
      </c>
      <c r="B350" s="2">
        <v>1500</v>
      </c>
      <c r="C350" s="2">
        <v>3900</v>
      </c>
      <c r="D350" s="2" t="s">
        <v>31</v>
      </c>
      <c r="E350" s="2" t="s">
        <v>15</v>
      </c>
      <c r="F350" s="2" t="s">
        <v>485</v>
      </c>
      <c r="G350" s="2">
        <v>10.282999999999999</v>
      </c>
      <c r="H350" s="2">
        <v>-10.282999999999999</v>
      </c>
      <c r="I350" s="2" t="s">
        <v>119</v>
      </c>
    </row>
    <row r="351" spans="1:9" x14ac:dyDescent="0.35">
      <c r="A351" s="2">
        <v>202610</v>
      </c>
      <c r="B351" s="2">
        <v>1500</v>
      </c>
      <c r="C351" s="2">
        <v>3400</v>
      </c>
      <c r="D351" s="2" t="s">
        <v>486</v>
      </c>
      <c r="E351" s="2" t="s">
        <v>15</v>
      </c>
      <c r="F351" s="2" t="s">
        <v>487</v>
      </c>
      <c r="G351" s="2">
        <v>0.83299999999999996</v>
      </c>
      <c r="H351" s="2">
        <v>-0.83299999999999996</v>
      </c>
      <c r="I351" s="2" t="s">
        <v>119</v>
      </c>
    </row>
    <row r="352" spans="1:9" x14ac:dyDescent="0.35">
      <c r="A352" s="2">
        <v>202610</v>
      </c>
      <c r="B352" s="2">
        <v>1500</v>
      </c>
      <c r="C352" s="2">
        <v>3670</v>
      </c>
      <c r="D352" s="2" t="s">
        <v>488</v>
      </c>
      <c r="E352" s="2" t="s">
        <v>15</v>
      </c>
      <c r="F352" s="2" t="s">
        <v>489</v>
      </c>
      <c r="G352" s="2">
        <v>0.49199999999999999</v>
      </c>
      <c r="H352" s="2">
        <v>-0.49199999999999999</v>
      </c>
      <c r="I352" s="2" t="s">
        <v>119</v>
      </c>
    </row>
    <row r="353" spans="1:9" x14ac:dyDescent="0.35">
      <c r="A353" s="2">
        <v>202610</v>
      </c>
      <c r="B353" s="2">
        <v>1500</v>
      </c>
      <c r="C353" s="2">
        <v>5000</v>
      </c>
      <c r="D353" s="2" t="s">
        <v>490</v>
      </c>
      <c r="E353" s="2" t="s">
        <v>35</v>
      </c>
      <c r="F353" s="2" t="s">
        <v>491</v>
      </c>
      <c r="G353" s="2">
        <v>7.452</v>
      </c>
      <c r="H353" s="2">
        <v>7.452</v>
      </c>
      <c r="I353" s="2" t="s">
        <v>119</v>
      </c>
    </row>
    <row r="354" spans="1:9" x14ac:dyDescent="0.35">
      <c r="A354" s="2">
        <v>202610</v>
      </c>
      <c r="B354" s="2">
        <v>1500</v>
      </c>
      <c r="C354" s="2">
        <v>6300</v>
      </c>
      <c r="D354" s="2" t="s">
        <v>54</v>
      </c>
      <c r="E354" s="2" t="s">
        <v>35</v>
      </c>
      <c r="F354" s="2" t="s">
        <v>492</v>
      </c>
      <c r="G354" s="2">
        <v>2.8460000000000001</v>
      </c>
      <c r="H354" s="2">
        <v>2.8460000000000001</v>
      </c>
      <c r="I354" s="2" t="s">
        <v>119</v>
      </c>
    </row>
    <row r="355" spans="1:9" x14ac:dyDescent="0.35">
      <c r="A355" s="2">
        <v>202610</v>
      </c>
      <c r="B355" s="2">
        <v>1500</v>
      </c>
      <c r="C355" s="2">
        <v>6050</v>
      </c>
      <c r="D355" s="2" t="s">
        <v>493</v>
      </c>
      <c r="E355" s="2" t="s">
        <v>35</v>
      </c>
      <c r="F355" s="2" t="s">
        <v>494</v>
      </c>
      <c r="G355" s="2">
        <v>0.93300000000000005</v>
      </c>
      <c r="H355" s="2">
        <v>0.93300000000000005</v>
      </c>
      <c r="I355" s="2" t="s">
        <v>119</v>
      </c>
    </row>
    <row r="356" spans="1:9" x14ac:dyDescent="0.35">
      <c r="A356" s="2">
        <v>202610</v>
      </c>
      <c r="B356" s="2">
        <v>1900</v>
      </c>
      <c r="C356" s="2">
        <v>3900</v>
      </c>
      <c r="D356" s="2" t="s">
        <v>31</v>
      </c>
      <c r="E356" s="2" t="s">
        <v>15</v>
      </c>
      <c r="F356" s="2" t="s">
        <v>485</v>
      </c>
      <c r="G356" s="2">
        <v>7.2</v>
      </c>
      <c r="H356" s="2">
        <v>-7.2</v>
      </c>
      <c r="I356" s="2" t="s">
        <v>119</v>
      </c>
    </row>
    <row r="357" spans="1:9" x14ac:dyDescent="0.35">
      <c r="A357" s="2">
        <v>202610</v>
      </c>
      <c r="B357" s="2">
        <v>1900</v>
      </c>
      <c r="C357" s="2">
        <v>3400</v>
      </c>
      <c r="D357" s="2" t="s">
        <v>486</v>
      </c>
      <c r="E357" s="2" t="s">
        <v>15</v>
      </c>
      <c r="F357" s="2" t="s">
        <v>487</v>
      </c>
      <c r="G357" s="2">
        <v>0.25</v>
      </c>
      <c r="H357" s="2">
        <v>-0.25</v>
      </c>
      <c r="I357" s="2" t="s">
        <v>119</v>
      </c>
    </row>
    <row r="358" spans="1:9" x14ac:dyDescent="0.35">
      <c r="A358" s="2">
        <v>202610</v>
      </c>
      <c r="B358" s="2">
        <v>1900</v>
      </c>
      <c r="C358" s="2">
        <v>3670</v>
      </c>
      <c r="D358" s="2" t="s">
        <v>488</v>
      </c>
      <c r="E358" s="2" t="s">
        <v>15</v>
      </c>
      <c r="F358" s="2" t="s">
        <v>489</v>
      </c>
      <c r="G358" s="2">
        <v>1.583</v>
      </c>
      <c r="H358" s="2">
        <v>-1.583</v>
      </c>
      <c r="I358" s="2" t="s">
        <v>119</v>
      </c>
    </row>
    <row r="359" spans="1:9" x14ac:dyDescent="0.35">
      <c r="A359" s="2">
        <v>202610</v>
      </c>
      <c r="B359" s="2">
        <v>1900</v>
      </c>
      <c r="C359" s="2">
        <v>5000</v>
      </c>
      <c r="D359" s="2" t="s">
        <v>490</v>
      </c>
      <c r="E359" s="2" t="s">
        <v>35</v>
      </c>
      <c r="F359" s="2" t="s">
        <v>491</v>
      </c>
      <c r="G359" s="2">
        <v>5.96</v>
      </c>
      <c r="H359" s="2">
        <v>5.96</v>
      </c>
      <c r="I359" s="2" t="s">
        <v>119</v>
      </c>
    </row>
    <row r="360" spans="1:9" x14ac:dyDescent="0.35">
      <c r="A360" s="2">
        <v>202610</v>
      </c>
      <c r="B360" s="2">
        <v>1900</v>
      </c>
      <c r="C360" s="2">
        <v>6300</v>
      </c>
      <c r="D360" s="2" t="s">
        <v>54</v>
      </c>
      <c r="E360" s="2" t="s">
        <v>35</v>
      </c>
      <c r="F360" s="2" t="s">
        <v>492</v>
      </c>
      <c r="G360" s="2">
        <v>2.2770000000000001</v>
      </c>
      <c r="H360" s="2">
        <v>2.2770000000000001</v>
      </c>
      <c r="I360" s="2" t="s">
        <v>119</v>
      </c>
    </row>
    <row r="361" spans="1:9" x14ac:dyDescent="0.35">
      <c r="A361" s="2">
        <v>202610</v>
      </c>
      <c r="B361" s="2">
        <v>1900</v>
      </c>
      <c r="C361" s="2">
        <v>6050</v>
      </c>
      <c r="D361" s="2" t="s">
        <v>493</v>
      </c>
      <c r="E361" s="2" t="s">
        <v>35</v>
      </c>
      <c r="F361" s="2" t="s">
        <v>494</v>
      </c>
      <c r="G361" s="2">
        <v>1.2</v>
      </c>
      <c r="H361" s="2">
        <v>1.2</v>
      </c>
      <c r="I361" s="2" t="s">
        <v>119</v>
      </c>
    </row>
    <row r="362" spans="1:9" x14ac:dyDescent="0.35">
      <c r="A362" s="2">
        <v>202611</v>
      </c>
      <c r="B362" s="2">
        <v>1100</v>
      </c>
      <c r="C362" s="2">
        <v>3900</v>
      </c>
      <c r="D362" s="2" t="s">
        <v>31</v>
      </c>
      <c r="E362" s="2" t="s">
        <v>15</v>
      </c>
      <c r="F362" s="2" t="s">
        <v>485</v>
      </c>
      <c r="G362" s="2">
        <v>20.567</v>
      </c>
      <c r="H362" s="2">
        <v>-20.567</v>
      </c>
      <c r="I362" s="2" t="s">
        <v>119</v>
      </c>
    </row>
    <row r="363" spans="1:9" x14ac:dyDescent="0.35">
      <c r="A363" s="2">
        <v>202611</v>
      </c>
      <c r="B363" s="2">
        <v>1100</v>
      </c>
      <c r="C363" s="2">
        <v>3400</v>
      </c>
      <c r="D363" s="2" t="s">
        <v>486</v>
      </c>
      <c r="E363" s="2" t="s">
        <v>15</v>
      </c>
      <c r="F363" s="2" t="s">
        <v>487</v>
      </c>
      <c r="G363" s="2">
        <v>1.833</v>
      </c>
      <c r="H363" s="2">
        <v>-1.833</v>
      </c>
      <c r="I363" s="2" t="s">
        <v>119</v>
      </c>
    </row>
    <row r="364" spans="1:9" x14ac:dyDescent="0.35">
      <c r="A364" s="2">
        <v>202611</v>
      </c>
      <c r="B364" s="2">
        <v>1100</v>
      </c>
      <c r="C364" s="2">
        <v>3670</v>
      </c>
      <c r="D364" s="2" t="s">
        <v>488</v>
      </c>
      <c r="E364" s="2" t="s">
        <v>15</v>
      </c>
      <c r="F364" s="2" t="s">
        <v>489</v>
      </c>
      <c r="G364" s="2">
        <v>0.65</v>
      </c>
      <c r="H364" s="2">
        <v>-0.65</v>
      </c>
      <c r="I364" s="2" t="s">
        <v>119</v>
      </c>
    </row>
    <row r="365" spans="1:9" x14ac:dyDescent="0.35">
      <c r="A365" s="2">
        <v>202611</v>
      </c>
      <c r="B365" s="2">
        <v>1100</v>
      </c>
      <c r="C365" s="2">
        <v>5000</v>
      </c>
      <c r="D365" s="2" t="s">
        <v>490</v>
      </c>
      <c r="E365" s="2" t="s">
        <v>35</v>
      </c>
      <c r="F365" s="2" t="s">
        <v>491</v>
      </c>
      <c r="G365" s="2">
        <v>14.162000000000001</v>
      </c>
      <c r="H365" s="2">
        <v>14.162000000000001</v>
      </c>
      <c r="I365" s="2" t="s">
        <v>119</v>
      </c>
    </row>
    <row r="366" spans="1:9" x14ac:dyDescent="0.35">
      <c r="A366" s="2">
        <v>202611</v>
      </c>
      <c r="B366" s="2">
        <v>1100</v>
      </c>
      <c r="C366" s="2">
        <v>6300</v>
      </c>
      <c r="D366" s="2" t="s">
        <v>54</v>
      </c>
      <c r="E366" s="2" t="s">
        <v>35</v>
      </c>
      <c r="F366" s="2" t="s">
        <v>492</v>
      </c>
      <c r="G366" s="2">
        <v>5.407</v>
      </c>
      <c r="H366" s="2">
        <v>5.407</v>
      </c>
      <c r="I366" s="2" t="s">
        <v>119</v>
      </c>
    </row>
    <row r="367" spans="1:9" x14ac:dyDescent="0.35">
      <c r="A367" s="2">
        <v>202611</v>
      </c>
      <c r="B367" s="2">
        <v>1100</v>
      </c>
      <c r="C367" s="2">
        <v>6050</v>
      </c>
      <c r="D367" s="2" t="s">
        <v>493</v>
      </c>
      <c r="E367" s="2" t="s">
        <v>35</v>
      </c>
      <c r="F367" s="2" t="s">
        <v>494</v>
      </c>
      <c r="G367" s="2">
        <v>2.5329999999999999</v>
      </c>
      <c r="H367" s="2">
        <v>2.5329999999999999</v>
      </c>
      <c r="I367" s="2" t="s">
        <v>119</v>
      </c>
    </row>
    <row r="368" spans="1:9" x14ac:dyDescent="0.35">
      <c r="A368" s="2">
        <v>202611</v>
      </c>
      <c r="B368" s="2">
        <v>1200</v>
      </c>
      <c r="C368" s="2">
        <v>3900</v>
      </c>
      <c r="D368" s="2" t="s">
        <v>31</v>
      </c>
      <c r="E368" s="2" t="s">
        <v>15</v>
      </c>
      <c r="F368" s="2" t="s">
        <v>485</v>
      </c>
      <c r="G368" s="2">
        <v>27.766999999999999</v>
      </c>
      <c r="H368" s="2">
        <v>-27.766999999999999</v>
      </c>
      <c r="I368" s="2" t="s">
        <v>119</v>
      </c>
    </row>
    <row r="369" spans="1:9" x14ac:dyDescent="0.35">
      <c r="A369" s="2">
        <v>202611</v>
      </c>
      <c r="B369" s="2">
        <v>1200</v>
      </c>
      <c r="C369" s="2">
        <v>3400</v>
      </c>
      <c r="D369" s="2" t="s">
        <v>486</v>
      </c>
      <c r="E369" s="2" t="s">
        <v>15</v>
      </c>
      <c r="F369" s="2" t="s">
        <v>487</v>
      </c>
      <c r="G369" s="2">
        <v>4</v>
      </c>
      <c r="H369" s="2">
        <v>-4</v>
      </c>
      <c r="I369" s="2" t="s">
        <v>119</v>
      </c>
    </row>
    <row r="370" spans="1:9" x14ac:dyDescent="0.35">
      <c r="A370" s="2">
        <v>202611</v>
      </c>
      <c r="B370" s="2">
        <v>1200</v>
      </c>
      <c r="C370" s="2">
        <v>3670</v>
      </c>
      <c r="D370" s="2" t="s">
        <v>488</v>
      </c>
      <c r="E370" s="2" t="s">
        <v>15</v>
      </c>
      <c r="F370" s="2" t="s">
        <v>489</v>
      </c>
      <c r="G370" s="2">
        <v>1.633</v>
      </c>
      <c r="H370" s="2">
        <v>-1.633</v>
      </c>
      <c r="I370" s="2" t="s">
        <v>119</v>
      </c>
    </row>
    <row r="371" spans="1:9" x14ac:dyDescent="0.35">
      <c r="A371" s="2">
        <v>202611</v>
      </c>
      <c r="B371" s="2">
        <v>1200</v>
      </c>
      <c r="C371" s="2">
        <v>5000</v>
      </c>
      <c r="D371" s="2" t="s">
        <v>490</v>
      </c>
      <c r="E371" s="2" t="s">
        <v>35</v>
      </c>
      <c r="F371" s="2" t="s">
        <v>491</v>
      </c>
      <c r="G371" s="2">
        <v>20.122</v>
      </c>
      <c r="H371" s="2">
        <v>20.122</v>
      </c>
      <c r="I371" s="2" t="s">
        <v>119</v>
      </c>
    </row>
    <row r="372" spans="1:9" x14ac:dyDescent="0.35">
      <c r="A372" s="2">
        <v>202611</v>
      </c>
      <c r="B372" s="2">
        <v>1200</v>
      </c>
      <c r="C372" s="2">
        <v>6300</v>
      </c>
      <c r="D372" s="2" t="s">
        <v>54</v>
      </c>
      <c r="E372" s="2" t="s">
        <v>35</v>
      </c>
      <c r="F372" s="2" t="s">
        <v>492</v>
      </c>
      <c r="G372" s="2">
        <v>7.6840000000000002</v>
      </c>
      <c r="H372" s="2">
        <v>7.6840000000000002</v>
      </c>
      <c r="I372" s="2" t="s">
        <v>119</v>
      </c>
    </row>
    <row r="373" spans="1:9" x14ac:dyDescent="0.35">
      <c r="A373" s="2">
        <v>202611</v>
      </c>
      <c r="B373" s="2">
        <v>1200</v>
      </c>
      <c r="C373" s="2">
        <v>6050</v>
      </c>
      <c r="D373" s="2" t="s">
        <v>493</v>
      </c>
      <c r="E373" s="2" t="s">
        <v>35</v>
      </c>
      <c r="F373" s="2" t="s">
        <v>494</v>
      </c>
      <c r="G373" s="2">
        <v>4.6669999999999998</v>
      </c>
      <c r="H373" s="2">
        <v>4.6669999999999998</v>
      </c>
      <c r="I373" s="2" t="s">
        <v>119</v>
      </c>
    </row>
    <row r="374" spans="1:9" x14ac:dyDescent="0.35">
      <c r="A374" s="2">
        <v>202611</v>
      </c>
      <c r="B374" s="2">
        <v>1300</v>
      </c>
      <c r="C374" s="2">
        <v>3900</v>
      </c>
      <c r="D374" s="2" t="s">
        <v>31</v>
      </c>
      <c r="E374" s="2" t="s">
        <v>15</v>
      </c>
      <c r="F374" s="2" t="s">
        <v>485</v>
      </c>
      <c r="G374" s="2">
        <v>23.65</v>
      </c>
      <c r="H374" s="2">
        <v>-23.65</v>
      </c>
      <c r="I374" s="2" t="s">
        <v>119</v>
      </c>
    </row>
    <row r="375" spans="1:9" x14ac:dyDescent="0.35">
      <c r="A375" s="2">
        <v>202611</v>
      </c>
      <c r="B375" s="2">
        <v>1300</v>
      </c>
      <c r="C375" s="2">
        <v>3400</v>
      </c>
      <c r="D375" s="2" t="s">
        <v>486</v>
      </c>
      <c r="E375" s="2" t="s">
        <v>15</v>
      </c>
      <c r="F375" s="2" t="s">
        <v>487</v>
      </c>
      <c r="G375" s="2">
        <v>2.0830000000000002</v>
      </c>
      <c r="H375" s="2">
        <v>-2.0830000000000002</v>
      </c>
      <c r="I375" s="2" t="s">
        <v>119</v>
      </c>
    </row>
    <row r="376" spans="1:9" x14ac:dyDescent="0.35">
      <c r="A376" s="2">
        <v>202611</v>
      </c>
      <c r="B376" s="2">
        <v>1300</v>
      </c>
      <c r="C376" s="2">
        <v>3670</v>
      </c>
      <c r="D376" s="2" t="s">
        <v>488</v>
      </c>
      <c r="E376" s="2" t="s">
        <v>15</v>
      </c>
      <c r="F376" s="2" t="s">
        <v>489</v>
      </c>
      <c r="G376" s="2">
        <v>1.2330000000000001</v>
      </c>
      <c r="H376" s="2">
        <v>-1.2330000000000001</v>
      </c>
      <c r="I376" s="2" t="s">
        <v>119</v>
      </c>
    </row>
    <row r="377" spans="1:9" x14ac:dyDescent="0.35">
      <c r="A377" s="2">
        <v>202611</v>
      </c>
      <c r="B377" s="2">
        <v>1300</v>
      </c>
      <c r="C377" s="2">
        <v>5000</v>
      </c>
      <c r="D377" s="2" t="s">
        <v>490</v>
      </c>
      <c r="E377" s="2" t="s">
        <v>35</v>
      </c>
      <c r="F377" s="2" t="s">
        <v>491</v>
      </c>
      <c r="G377" s="2">
        <v>17.138000000000002</v>
      </c>
      <c r="H377" s="2">
        <v>17.138000000000002</v>
      </c>
      <c r="I377" s="2" t="s">
        <v>119</v>
      </c>
    </row>
    <row r="378" spans="1:9" x14ac:dyDescent="0.35">
      <c r="A378" s="2">
        <v>202611</v>
      </c>
      <c r="B378" s="2">
        <v>1300</v>
      </c>
      <c r="C378" s="2">
        <v>6300</v>
      </c>
      <c r="D378" s="2" t="s">
        <v>54</v>
      </c>
      <c r="E378" s="2" t="s">
        <v>35</v>
      </c>
      <c r="F378" s="2" t="s">
        <v>492</v>
      </c>
      <c r="G378" s="2">
        <v>6.5449999999999999</v>
      </c>
      <c r="H378" s="2">
        <v>6.5449999999999999</v>
      </c>
      <c r="I378" s="2" t="s">
        <v>119</v>
      </c>
    </row>
    <row r="379" spans="1:9" x14ac:dyDescent="0.35">
      <c r="A379" s="2">
        <v>202611</v>
      </c>
      <c r="B379" s="2">
        <v>1300</v>
      </c>
      <c r="C379" s="2">
        <v>6050</v>
      </c>
      <c r="D379" s="2" t="s">
        <v>493</v>
      </c>
      <c r="E379" s="2" t="s">
        <v>35</v>
      </c>
      <c r="F379" s="2" t="s">
        <v>494</v>
      </c>
      <c r="G379" s="2">
        <v>2.8</v>
      </c>
      <c r="H379" s="2">
        <v>2.8</v>
      </c>
      <c r="I379" s="2" t="s">
        <v>119</v>
      </c>
    </row>
    <row r="380" spans="1:9" x14ac:dyDescent="0.35">
      <c r="A380" s="2">
        <v>202611</v>
      </c>
      <c r="B380" s="2">
        <v>1400</v>
      </c>
      <c r="C380" s="2">
        <v>3900</v>
      </c>
      <c r="D380" s="2" t="s">
        <v>31</v>
      </c>
      <c r="E380" s="2" t="s">
        <v>15</v>
      </c>
      <c r="F380" s="2" t="s">
        <v>485</v>
      </c>
      <c r="G380" s="2">
        <v>13.367000000000001</v>
      </c>
      <c r="H380" s="2">
        <v>-13.367000000000001</v>
      </c>
      <c r="I380" s="2" t="s">
        <v>119</v>
      </c>
    </row>
    <row r="381" spans="1:9" x14ac:dyDescent="0.35">
      <c r="A381" s="2">
        <v>202611</v>
      </c>
      <c r="B381" s="2">
        <v>1400</v>
      </c>
      <c r="C381" s="2">
        <v>3400</v>
      </c>
      <c r="D381" s="2" t="s">
        <v>486</v>
      </c>
      <c r="E381" s="2" t="s">
        <v>15</v>
      </c>
      <c r="F381" s="2" t="s">
        <v>487</v>
      </c>
      <c r="G381" s="2">
        <v>1.25</v>
      </c>
      <c r="H381" s="2">
        <v>-1.25</v>
      </c>
      <c r="I381" s="2" t="s">
        <v>119</v>
      </c>
    </row>
    <row r="382" spans="1:9" x14ac:dyDescent="0.35">
      <c r="A382" s="2">
        <v>202611</v>
      </c>
      <c r="B382" s="2">
        <v>1400</v>
      </c>
      <c r="C382" s="2">
        <v>3670</v>
      </c>
      <c r="D382" s="2" t="s">
        <v>488</v>
      </c>
      <c r="E382" s="2" t="s">
        <v>15</v>
      </c>
      <c r="F382" s="2" t="s">
        <v>489</v>
      </c>
      <c r="G382" s="2">
        <v>0.74199999999999999</v>
      </c>
      <c r="H382" s="2">
        <v>-0.74199999999999999</v>
      </c>
      <c r="I382" s="2" t="s">
        <v>119</v>
      </c>
    </row>
    <row r="383" spans="1:9" x14ac:dyDescent="0.35">
      <c r="A383" s="2">
        <v>202611</v>
      </c>
      <c r="B383" s="2">
        <v>1400</v>
      </c>
      <c r="C383" s="2">
        <v>5000</v>
      </c>
      <c r="D383" s="2" t="s">
        <v>490</v>
      </c>
      <c r="E383" s="2" t="s">
        <v>35</v>
      </c>
      <c r="F383" s="2" t="s">
        <v>491</v>
      </c>
      <c r="G383" s="2">
        <v>9.6859999999999999</v>
      </c>
      <c r="H383" s="2">
        <v>9.6859999999999999</v>
      </c>
      <c r="I383" s="2" t="s">
        <v>119</v>
      </c>
    </row>
    <row r="384" spans="1:9" x14ac:dyDescent="0.35">
      <c r="A384" s="2">
        <v>202611</v>
      </c>
      <c r="B384" s="2">
        <v>1400</v>
      </c>
      <c r="C384" s="2">
        <v>6300</v>
      </c>
      <c r="D384" s="2" t="s">
        <v>54</v>
      </c>
      <c r="E384" s="2" t="s">
        <v>35</v>
      </c>
      <c r="F384" s="2" t="s">
        <v>492</v>
      </c>
      <c r="G384" s="2">
        <v>3.7</v>
      </c>
      <c r="H384" s="2">
        <v>3.7</v>
      </c>
      <c r="I384" s="2" t="s">
        <v>119</v>
      </c>
    </row>
    <row r="385" spans="1:9" x14ac:dyDescent="0.35">
      <c r="A385" s="2">
        <v>202611</v>
      </c>
      <c r="B385" s="2">
        <v>1400</v>
      </c>
      <c r="C385" s="2">
        <v>6050</v>
      </c>
      <c r="D385" s="2" t="s">
        <v>493</v>
      </c>
      <c r="E385" s="2" t="s">
        <v>35</v>
      </c>
      <c r="F385" s="2" t="s">
        <v>494</v>
      </c>
      <c r="G385" s="2">
        <v>1.2</v>
      </c>
      <c r="H385" s="2">
        <v>1.2</v>
      </c>
      <c r="I385" s="2" t="s">
        <v>119</v>
      </c>
    </row>
    <row r="386" spans="1:9" x14ac:dyDescent="0.35">
      <c r="A386" s="2">
        <v>202611</v>
      </c>
      <c r="B386" s="2">
        <v>1500</v>
      </c>
      <c r="C386" s="2">
        <v>3900</v>
      </c>
      <c r="D386" s="2" t="s">
        <v>31</v>
      </c>
      <c r="E386" s="2" t="s">
        <v>15</v>
      </c>
      <c r="F386" s="2" t="s">
        <v>485</v>
      </c>
      <c r="G386" s="2">
        <v>10.282999999999999</v>
      </c>
      <c r="H386" s="2">
        <v>-10.282999999999999</v>
      </c>
      <c r="I386" s="2" t="s">
        <v>119</v>
      </c>
    </row>
    <row r="387" spans="1:9" x14ac:dyDescent="0.35">
      <c r="A387" s="2">
        <v>202611</v>
      </c>
      <c r="B387" s="2">
        <v>1500</v>
      </c>
      <c r="C387" s="2">
        <v>3400</v>
      </c>
      <c r="D387" s="2" t="s">
        <v>486</v>
      </c>
      <c r="E387" s="2" t="s">
        <v>15</v>
      </c>
      <c r="F387" s="2" t="s">
        <v>487</v>
      </c>
      <c r="G387" s="2">
        <v>0.83299999999999996</v>
      </c>
      <c r="H387" s="2">
        <v>-0.83299999999999996</v>
      </c>
      <c r="I387" s="2" t="s">
        <v>119</v>
      </c>
    </row>
    <row r="388" spans="1:9" x14ac:dyDescent="0.35">
      <c r="A388" s="2">
        <v>202611</v>
      </c>
      <c r="B388" s="2">
        <v>1500</v>
      </c>
      <c r="C388" s="2">
        <v>3670</v>
      </c>
      <c r="D388" s="2" t="s">
        <v>488</v>
      </c>
      <c r="E388" s="2" t="s">
        <v>15</v>
      </c>
      <c r="F388" s="2" t="s">
        <v>489</v>
      </c>
      <c r="G388" s="2">
        <v>0.49199999999999999</v>
      </c>
      <c r="H388" s="2">
        <v>-0.49199999999999999</v>
      </c>
      <c r="I388" s="2" t="s">
        <v>119</v>
      </c>
    </row>
    <row r="389" spans="1:9" x14ac:dyDescent="0.35">
      <c r="A389" s="2">
        <v>202611</v>
      </c>
      <c r="B389" s="2">
        <v>1500</v>
      </c>
      <c r="C389" s="2">
        <v>5000</v>
      </c>
      <c r="D389" s="2" t="s">
        <v>490</v>
      </c>
      <c r="E389" s="2" t="s">
        <v>35</v>
      </c>
      <c r="F389" s="2" t="s">
        <v>491</v>
      </c>
      <c r="G389" s="2">
        <v>7.452</v>
      </c>
      <c r="H389" s="2">
        <v>7.452</v>
      </c>
      <c r="I389" s="2" t="s">
        <v>119</v>
      </c>
    </row>
    <row r="390" spans="1:9" x14ac:dyDescent="0.35">
      <c r="A390" s="2">
        <v>202611</v>
      </c>
      <c r="B390" s="2">
        <v>1500</v>
      </c>
      <c r="C390" s="2">
        <v>6300</v>
      </c>
      <c r="D390" s="2" t="s">
        <v>54</v>
      </c>
      <c r="E390" s="2" t="s">
        <v>35</v>
      </c>
      <c r="F390" s="2" t="s">
        <v>492</v>
      </c>
      <c r="G390" s="2">
        <v>2.8460000000000001</v>
      </c>
      <c r="H390" s="2">
        <v>2.8460000000000001</v>
      </c>
      <c r="I390" s="2" t="s">
        <v>119</v>
      </c>
    </row>
    <row r="391" spans="1:9" x14ac:dyDescent="0.35">
      <c r="A391" s="2">
        <v>202611</v>
      </c>
      <c r="B391" s="2">
        <v>1500</v>
      </c>
      <c r="C391" s="2">
        <v>6050</v>
      </c>
      <c r="D391" s="2" t="s">
        <v>493</v>
      </c>
      <c r="E391" s="2" t="s">
        <v>35</v>
      </c>
      <c r="F391" s="2" t="s">
        <v>494</v>
      </c>
      <c r="G391" s="2">
        <v>0.93300000000000005</v>
      </c>
      <c r="H391" s="2">
        <v>0.93300000000000005</v>
      </c>
      <c r="I391" s="2" t="s">
        <v>119</v>
      </c>
    </row>
    <row r="392" spans="1:9" x14ac:dyDescent="0.35">
      <c r="A392" s="2">
        <v>202611</v>
      </c>
      <c r="B392" s="2">
        <v>1900</v>
      </c>
      <c r="C392" s="2">
        <v>3900</v>
      </c>
      <c r="D392" s="2" t="s">
        <v>31</v>
      </c>
      <c r="E392" s="2" t="s">
        <v>15</v>
      </c>
      <c r="F392" s="2" t="s">
        <v>485</v>
      </c>
      <c r="G392" s="2">
        <v>7.2</v>
      </c>
      <c r="H392" s="2">
        <v>-7.2</v>
      </c>
      <c r="I392" s="2" t="s">
        <v>119</v>
      </c>
    </row>
    <row r="393" spans="1:9" x14ac:dyDescent="0.35">
      <c r="A393" s="2">
        <v>202611</v>
      </c>
      <c r="B393" s="2">
        <v>1900</v>
      </c>
      <c r="C393" s="2">
        <v>3400</v>
      </c>
      <c r="D393" s="2" t="s">
        <v>486</v>
      </c>
      <c r="E393" s="2" t="s">
        <v>15</v>
      </c>
      <c r="F393" s="2" t="s">
        <v>487</v>
      </c>
      <c r="G393" s="2">
        <v>0.25</v>
      </c>
      <c r="H393" s="2">
        <v>-0.25</v>
      </c>
      <c r="I393" s="2" t="s">
        <v>119</v>
      </c>
    </row>
    <row r="394" spans="1:9" x14ac:dyDescent="0.35">
      <c r="A394" s="2">
        <v>202611</v>
      </c>
      <c r="B394" s="2">
        <v>1900</v>
      </c>
      <c r="C394" s="2">
        <v>3670</v>
      </c>
      <c r="D394" s="2" t="s">
        <v>488</v>
      </c>
      <c r="E394" s="2" t="s">
        <v>15</v>
      </c>
      <c r="F394" s="2" t="s">
        <v>489</v>
      </c>
      <c r="G394" s="2">
        <v>1.583</v>
      </c>
      <c r="H394" s="2">
        <v>-1.583</v>
      </c>
      <c r="I394" s="2" t="s">
        <v>119</v>
      </c>
    </row>
    <row r="395" spans="1:9" x14ac:dyDescent="0.35">
      <c r="A395" s="2">
        <v>202611</v>
      </c>
      <c r="B395" s="2">
        <v>1900</v>
      </c>
      <c r="C395" s="2">
        <v>5000</v>
      </c>
      <c r="D395" s="2" t="s">
        <v>490</v>
      </c>
      <c r="E395" s="2" t="s">
        <v>35</v>
      </c>
      <c r="F395" s="2" t="s">
        <v>491</v>
      </c>
      <c r="G395" s="2">
        <v>5.96</v>
      </c>
      <c r="H395" s="2">
        <v>5.96</v>
      </c>
      <c r="I395" s="2" t="s">
        <v>119</v>
      </c>
    </row>
    <row r="396" spans="1:9" x14ac:dyDescent="0.35">
      <c r="A396" s="2">
        <v>202611</v>
      </c>
      <c r="B396" s="2">
        <v>1900</v>
      </c>
      <c r="C396" s="2">
        <v>6300</v>
      </c>
      <c r="D396" s="2" t="s">
        <v>54</v>
      </c>
      <c r="E396" s="2" t="s">
        <v>35</v>
      </c>
      <c r="F396" s="2" t="s">
        <v>492</v>
      </c>
      <c r="G396" s="2">
        <v>2.2770000000000001</v>
      </c>
      <c r="H396" s="2">
        <v>2.2770000000000001</v>
      </c>
      <c r="I396" s="2" t="s">
        <v>119</v>
      </c>
    </row>
    <row r="397" spans="1:9" x14ac:dyDescent="0.35">
      <c r="A397" s="2">
        <v>202611</v>
      </c>
      <c r="B397" s="2">
        <v>1900</v>
      </c>
      <c r="C397" s="2">
        <v>6050</v>
      </c>
      <c r="D397" s="2" t="s">
        <v>493</v>
      </c>
      <c r="E397" s="2" t="s">
        <v>35</v>
      </c>
      <c r="F397" s="2" t="s">
        <v>494</v>
      </c>
      <c r="G397" s="2">
        <v>1.2</v>
      </c>
      <c r="H397" s="2">
        <v>1.2</v>
      </c>
      <c r="I397" s="2" t="s">
        <v>119</v>
      </c>
    </row>
    <row r="398" spans="1:9" x14ac:dyDescent="0.35">
      <c r="A398" s="2">
        <v>202612</v>
      </c>
      <c r="B398" s="2">
        <v>1100</v>
      </c>
      <c r="C398" s="2">
        <v>3900</v>
      </c>
      <c r="D398" s="2" t="s">
        <v>31</v>
      </c>
      <c r="E398" s="2" t="s">
        <v>15</v>
      </c>
      <c r="F398" s="2" t="s">
        <v>485</v>
      </c>
      <c r="G398" s="2">
        <v>20.567</v>
      </c>
      <c r="H398" s="2">
        <v>-20.567</v>
      </c>
      <c r="I398" s="2" t="s">
        <v>119</v>
      </c>
    </row>
    <row r="399" spans="1:9" x14ac:dyDescent="0.35">
      <c r="A399" s="2">
        <v>202612</v>
      </c>
      <c r="B399" s="2">
        <v>1100</v>
      </c>
      <c r="C399" s="2">
        <v>3400</v>
      </c>
      <c r="D399" s="2" t="s">
        <v>486</v>
      </c>
      <c r="E399" s="2" t="s">
        <v>15</v>
      </c>
      <c r="F399" s="2" t="s">
        <v>487</v>
      </c>
      <c r="G399" s="2">
        <v>1.833</v>
      </c>
      <c r="H399" s="2">
        <v>-1.833</v>
      </c>
      <c r="I399" s="2" t="s">
        <v>119</v>
      </c>
    </row>
    <row r="400" spans="1:9" x14ac:dyDescent="0.35">
      <c r="A400" s="2">
        <v>202612</v>
      </c>
      <c r="B400" s="2">
        <v>1100</v>
      </c>
      <c r="C400" s="2">
        <v>3670</v>
      </c>
      <c r="D400" s="2" t="s">
        <v>488</v>
      </c>
      <c r="E400" s="2" t="s">
        <v>15</v>
      </c>
      <c r="F400" s="2" t="s">
        <v>489</v>
      </c>
      <c r="G400" s="2">
        <v>0.65</v>
      </c>
      <c r="H400" s="2">
        <v>-0.65</v>
      </c>
      <c r="I400" s="2" t="s">
        <v>119</v>
      </c>
    </row>
    <row r="401" spans="1:9" x14ac:dyDescent="0.35">
      <c r="A401" s="2">
        <v>202612</v>
      </c>
      <c r="B401" s="2">
        <v>1100</v>
      </c>
      <c r="C401" s="2">
        <v>5000</v>
      </c>
      <c r="D401" s="2" t="s">
        <v>490</v>
      </c>
      <c r="E401" s="2" t="s">
        <v>35</v>
      </c>
      <c r="F401" s="2" t="s">
        <v>491</v>
      </c>
      <c r="G401" s="2">
        <v>14.162000000000001</v>
      </c>
      <c r="H401" s="2">
        <v>14.162000000000001</v>
      </c>
      <c r="I401" s="2" t="s">
        <v>119</v>
      </c>
    </row>
    <row r="402" spans="1:9" x14ac:dyDescent="0.35">
      <c r="A402" s="2">
        <v>202612</v>
      </c>
      <c r="B402" s="2">
        <v>1100</v>
      </c>
      <c r="C402" s="2">
        <v>6300</v>
      </c>
      <c r="D402" s="2" t="s">
        <v>54</v>
      </c>
      <c r="E402" s="2" t="s">
        <v>35</v>
      </c>
      <c r="F402" s="2" t="s">
        <v>492</v>
      </c>
      <c r="G402" s="2">
        <v>5.407</v>
      </c>
      <c r="H402" s="2">
        <v>5.407</v>
      </c>
      <c r="I402" s="2" t="s">
        <v>119</v>
      </c>
    </row>
    <row r="403" spans="1:9" x14ac:dyDescent="0.35">
      <c r="A403" s="2">
        <v>202612</v>
      </c>
      <c r="B403" s="2">
        <v>1100</v>
      </c>
      <c r="C403" s="2">
        <v>6050</v>
      </c>
      <c r="D403" s="2" t="s">
        <v>493</v>
      </c>
      <c r="E403" s="2" t="s">
        <v>35</v>
      </c>
      <c r="F403" s="2" t="s">
        <v>494</v>
      </c>
      <c r="G403" s="2">
        <v>2.5329999999999999</v>
      </c>
      <c r="H403" s="2">
        <v>2.5329999999999999</v>
      </c>
      <c r="I403" s="2" t="s">
        <v>119</v>
      </c>
    </row>
    <row r="404" spans="1:9" x14ac:dyDescent="0.35">
      <c r="A404" s="2">
        <v>202612</v>
      </c>
      <c r="B404" s="2">
        <v>1200</v>
      </c>
      <c r="C404" s="2">
        <v>3900</v>
      </c>
      <c r="D404" s="2" t="s">
        <v>31</v>
      </c>
      <c r="E404" s="2" t="s">
        <v>15</v>
      </c>
      <c r="F404" s="2" t="s">
        <v>485</v>
      </c>
      <c r="G404" s="2">
        <v>27.766999999999999</v>
      </c>
      <c r="H404" s="2">
        <v>-27.766999999999999</v>
      </c>
      <c r="I404" s="2" t="s">
        <v>119</v>
      </c>
    </row>
    <row r="405" spans="1:9" x14ac:dyDescent="0.35">
      <c r="A405" s="2">
        <v>202612</v>
      </c>
      <c r="B405" s="2">
        <v>1200</v>
      </c>
      <c r="C405" s="2">
        <v>3400</v>
      </c>
      <c r="D405" s="2" t="s">
        <v>486</v>
      </c>
      <c r="E405" s="2" t="s">
        <v>15</v>
      </c>
      <c r="F405" s="2" t="s">
        <v>487</v>
      </c>
      <c r="G405" s="2">
        <v>4</v>
      </c>
      <c r="H405" s="2">
        <v>-4</v>
      </c>
      <c r="I405" s="2" t="s">
        <v>119</v>
      </c>
    </row>
    <row r="406" spans="1:9" x14ac:dyDescent="0.35">
      <c r="A406" s="2">
        <v>202612</v>
      </c>
      <c r="B406" s="2">
        <v>1200</v>
      </c>
      <c r="C406" s="2">
        <v>3670</v>
      </c>
      <c r="D406" s="2" t="s">
        <v>488</v>
      </c>
      <c r="E406" s="2" t="s">
        <v>15</v>
      </c>
      <c r="F406" s="2" t="s">
        <v>489</v>
      </c>
      <c r="G406" s="2">
        <v>1.633</v>
      </c>
      <c r="H406" s="2">
        <v>-1.633</v>
      </c>
      <c r="I406" s="2" t="s">
        <v>119</v>
      </c>
    </row>
    <row r="407" spans="1:9" x14ac:dyDescent="0.35">
      <c r="A407" s="2">
        <v>202612</v>
      </c>
      <c r="B407" s="2">
        <v>1200</v>
      </c>
      <c r="C407" s="2">
        <v>5000</v>
      </c>
      <c r="D407" s="2" t="s">
        <v>490</v>
      </c>
      <c r="E407" s="2" t="s">
        <v>35</v>
      </c>
      <c r="F407" s="2" t="s">
        <v>491</v>
      </c>
      <c r="G407" s="2">
        <v>20.122</v>
      </c>
      <c r="H407" s="2">
        <v>20.122</v>
      </c>
      <c r="I407" s="2" t="s">
        <v>119</v>
      </c>
    </row>
    <row r="408" spans="1:9" x14ac:dyDescent="0.35">
      <c r="A408" s="2">
        <v>202612</v>
      </c>
      <c r="B408" s="2">
        <v>1200</v>
      </c>
      <c r="C408" s="2">
        <v>6300</v>
      </c>
      <c r="D408" s="2" t="s">
        <v>54</v>
      </c>
      <c r="E408" s="2" t="s">
        <v>35</v>
      </c>
      <c r="F408" s="2" t="s">
        <v>492</v>
      </c>
      <c r="G408" s="2">
        <v>7.6840000000000002</v>
      </c>
      <c r="H408" s="2">
        <v>7.6840000000000002</v>
      </c>
      <c r="I408" s="2" t="s">
        <v>119</v>
      </c>
    </row>
    <row r="409" spans="1:9" x14ac:dyDescent="0.35">
      <c r="A409" s="2">
        <v>202612</v>
      </c>
      <c r="B409" s="2">
        <v>1200</v>
      </c>
      <c r="C409" s="2">
        <v>6050</v>
      </c>
      <c r="D409" s="2" t="s">
        <v>493</v>
      </c>
      <c r="E409" s="2" t="s">
        <v>35</v>
      </c>
      <c r="F409" s="2" t="s">
        <v>494</v>
      </c>
      <c r="G409" s="2">
        <v>4.6669999999999998</v>
      </c>
      <c r="H409" s="2">
        <v>4.6669999999999998</v>
      </c>
      <c r="I409" s="2" t="s">
        <v>119</v>
      </c>
    </row>
    <row r="410" spans="1:9" x14ac:dyDescent="0.35">
      <c r="A410" s="2">
        <v>202612</v>
      </c>
      <c r="B410" s="2">
        <v>1300</v>
      </c>
      <c r="C410" s="2">
        <v>3900</v>
      </c>
      <c r="D410" s="2" t="s">
        <v>31</v>
      </c>
      <c r="E410" s="2" t="s">
        <v>15</v>
      </c>
      <c r="F410" s="2" t="s">
        <v>485</v>
      </c>
      <c r="G410" s="2">
        <v>23.65</v>
      </c>
      <c r="H410" s="2">
        <v>-23.65</v>
      </c>
      <c r="I410" s="2" t="s">
        <v>119</v>
      </c>
    </row>
    <row r="411" spans="1:9" x14ac:dyDescent="0.35">
      <c r="A411" s="2">
        <v>202612</v>
      </c>
      <c r="B411" s="2">
        <v>1300</v>
      </c>
      <c r="C411" s="2">
        <v>3400</v>
      </c>
      <c r="D411" s="2" t="s">
        <v>486</v>
      </c>
      <c r="E411" s="2" t="s">
        <v>15</v>
      </c>
      <c r="F411" s="2" t="s">
        <v>487</v>
      </c>
      <c r="G411" s="2">
        <v>2.0830000000000002</v>
      </c>
      <c r="H411" s="2">
        <v>-2.0830000000000002</v>
      </c>
      <c r="I411" s="2" t="s">
        <v>119</v>
      </c>
    </row>
    <row r="412" spans="1:9" x14ac:dyDescent="0.35">
      <c r="A412" s="2">
        <v>202612</v>
      </c>
      <c r="B412" s="2">
        <v>1300</v>
      </c>
      <c r="C412" s="2">
        <v>3670</v>
      </c>
      <c r="D412" s="2" t="s">
        <v>488</v>
      </c>
      <c r="E412" s="2" t="s">
        <v>15</v>
      </c>
      <c r="F412" s="2" t="s">
        <v>489</v>
      </c>
      <c r="G412" s="2">
        <v>1.2330000000000001</v>
      </c>
      <c r="H412" s="2">
        <v>-1.2330000000000001</v>
      </c>
      <c r="I412" s="2" t="s">
        <v>119</v>
      </c>
    </row>
    <row r="413" spans="1:9" x14ac:dyDescent="0.35">
      <c r="A413" s="2">
        <v>202612</v>
      </c>
      <c r="B413" s="2">
        <v>1300</v>
      </c>
      <c r="C413" s="2">
        <v>5000</v>
      </c>
      <c r="D413" s="2" t="s">
        <v>490</v>
      </c>
      <c r="E413" s="2" t="s">
        <v>35</v>
      </c>
      <c r="F413" s="2" t="s">
        <v>491</v>
      </c>
      <c r="G413" s="2">
        <v>17.138000000000002</v>
      </c>
      <c r="H413" s="2">
        <v>17.138000000000002</v>
      </c>
      <c r="I413" s="2" t="s">
        <v>119</v>
      </c>
    </row>
    <row r="414" spans="1:9" x14ac:dyDescent="0.35">
      <c r="A414" s="2">
        <v>202612</v>
      </c>
      <c r="B414" s="2">
        <v>1300</v>
      </c>
      <c r="C414" s="2">
        <v>6300</v>
      </c>
      <c r="D414" s="2" t="s">
        <v>54</v>
      </c>
      <c r="E414" s="2" t="s">
        <v>35</v>
      </c>
      <c r="F414" s="2" t="s">
        <v>492</v>
      </c>
      <c r="G414" s="2">
        <v>6.5449999999999999</v>
      </c>
      <c r="H414" s="2">
        <v>6.5449999999999999</v>
      </c>
      <c r="I414" s="2" t="s">
        <v>119</v>
      </c>
    </row>
    <row r="415" spans="1:9" x14ac:dyDescent="0.35">
      <c r="A415" s="2">
        <v>202612</v>
      </c>
      <c r="B415" s="2">
        <v>1300</v>
      </c>
      <c r="C415" s="2">
        <v>6050</v>
      </c>
      <c r="D415" s="2" t="s">
        <v>493</v>
      </c>
      <c r="E415" s="2" t="s">
        <v>35</v>
      </c>
      <c r="F415" s="2" t="s">
        <v>494</v>
      </c>
      <c r="G415" s="2">
        <v>2.8</v>
      </c>
      <c r="H415" s="2">
        <v>2.8</v>
      </c>
      <c r="I415" s="2" t="s">
        <v>119</v>
      </c>
    </row>
    <row r="416" spans="1:9" x14ac:dyDescent="0.35">
      <c r="A416" s="2">
        <v>202612</v>
      </c>
      <c r="B416" s="2">
        <v>1400</v>
      </c>
      <c r="C416" s="2">
        <v>3900</v>
      </c>
      <c r="D416" s="2" t="s">
        <v>31</v>
      </c>
      <c r="E416" s="2" t="s">
        <v>15</v>
      </c>
      <c r="F416" s="2" t="s">
        <v>485</v>
      </c>
      <c r="G416" s="2">
        <v>13.367000000000001</v>
      </c>
      <c r="H416" s="2">
        <v>-13.367000000000001</v>
      </c>
      <c r="I416" s="2" t="s">
        <v>119</v>
      </c>
    </row>
    <row r="417" spans="1:9" x14ac:dyDescent="0.35">
      <c r="A417" s="2">
        <v>202612</v>
      </c>
      <c r="B417" s="2">
        <v>1400</v>
      </c>
      <c r="C417" s="2">
        <v>3400</v>
      </c>
      <c r="D417" s="2" t="s">
        <v>486</v>
      </c>
      <c r="E417" s="2" t="s">
        <v>15</v>
      </c>
      <c r="F417" s="2" t="s">
        <v>487</v>
      </c>
      <c r="G417" s="2">
        <v>1.25</v>
      </c>
      <c r="H417" s="2">
        <v>-1.25</v>
      </c>
      <c r="I417" s="2" t="s">
        <v>119</v>
      </c>
    </row>
    <row r="418" spans="1:9" x14ac:dyDescent="0.35">
      <c r="A418" s="2">
        <v>202612</v>
      </c>
      <c r="B418" s="2">
        <v>1400</v>
      </c>
      <c r="C418" s="2">
        <v>3670</v>
      </c>
      <c r="D418" s="2" t="s">
        <v>488</v>
      </c>
      <c r="E418" s="2" t="s">
        <v>15</v>
      </c>
      <c r="F418" s="2" t="s">
        <v>489</v>
      </c>
      <c r="G418" s="2">
        <v>0.74199999999999999</v>
      </c>
      <c r="H418" s="2">
        <v>-0.74199999999999999</v>
      </c>
      <c r="I418" s="2" t="s">
        <v>119</v>
      </c>
    </row>
    <row r="419" spans="1:9" x14ac:dyDescent="0.35">
      <c r="A419" s="2">
        <v>202612</v>
      </c>
      <c r="B419" s="2">
        <v>1400</v>
      </c>
      <c r="C419" s="2">
        <v>5000</v>
      </c>
      <c r="D419" s="2" t="s">
        <v>490</v>
      </c>
      <c r="E419" s="2" t="s">
        <v>35</v>
      </c>
      <c r="F419" s="2" t="s">
        <v>491</v>
      </c>
      <c r="G419" s="2">
        <v>9.6859999999999999</v>
      </c>
      <c r="H419" s="2">
        <v>9.6859999999999999</v>
      </c>
      <c r="I419" s="2" t="s">
        <v>119</v>
      </c>
    </row>
    <row r="420" spans="1:9" x14ac:dyDescent="0.35">
      <c r="A420" s="2">
        <v>202612</v>
      </c>
      <c r="B420" s="2">
        <v>1400</v>
      </c>
      <c r="C420" s="2">
        <v>6300</v>
      </c>
      <c r="D420" s="2" t="s">
        <v>54</v>
      </c>
      <c r="E420" s="2" t="s">
        <v>35</v>
      </c>
      <c r="F420" s="2" t="s">
        <v>492</v>
      </c>
      <c r="G420" s="2">
        <v>3.7</v>
      </c>
      <c r="H420" s="2">
        <v>3.7</v>
      </c>
      <c r="I420" s="2" t="s">
        <v>119</v>
      </c>
    </row>
    <row r="421" spans="1:9" x14ac:dyDescent="0.35">
      <c r="A421" s="2">
        <v>202612</v>
      </c>
      <c r="B421" s="2">
        <v>1400</v>
      </c>
      <c r="C421" s="2">
        <v>6050</v>
      </c>
      <c r="D421" s="2" t="s">
        <v>493</v>
      </c>
      <c r="E421" s="2" t="s">
        <v>35</v>
      </c>
      <c r="F421" s="2" t="s">
        <v>494</v>
      </c>
      <c r="G421" s="2">
        <v>1.2</v>
      </c>
      <c r="H421" s="2">
        <v>1.2</v>
      </c>
      <c r="I421" s="2" t="s">
        <v>119</v>
      </c>
    </row>
    <row r="422" spans="1:9" x14ac:dyDescent="0.35">
      <c r="A422" s="2">
        <v>202612</v>
      </c>
      <c r="B422" s="2">
        <v>1500</v>
      </c>
      <c r="C422" s="2">
        <v>3900</v>
      </c>
      <c r="D422" s="2" t="s">
        <v>31</v>
      </c>
      <c r="E422" s="2" t="s">
        <v>15</v>
      </c>
      <c r="F422" s="2" t="s">
        <v>485</v>
      </c>
      <c r="G422" s="2">
        <v>10.282999999999999</v>
      </c>
      <c r="H422" s="2">
        <v>-10.282999999999999</v>
      </c>
      <c r="I422" s="2" t="s">
        <v>119</v>
      </c>
    </row>
    <row r="423" spans="1:9" x14ac:dyDescent="0.35">
      <c r="A423" s="2">
        <v>202612</v>
      </c>
      <c r="B423" s="2">
        <v>1500</v>
      </c>
      <c r="C423" s="2">
        <v>3400</v>
      </c>
      <c r="D423" s="2" t="s">
        <v>486</v>
      </c>
      <c r="E423" s="2" t="s">
        <v>15</v>
      </c>
      <c r="F423" s="2" t="s">
        <v>487</v>
      </c>
      <c r="G423" s="2">
        <v>0.83299999999999996</v>
      </c>
      <c r="H423" s="2">
        <v>-0.83299999999999996</v>
      </c>
      <c r="I423" s="2" t="s">
        <v>119</v>
      </c>
    </row>
    <row r="424" spans="1:9" x14ac:dyDescent="0.35">
      <c r="A424" s="2">
        <v>202612</v>
      </c>
      <c r="B424" s="2">
        <v>1500</v>
      </c>
      <c r="C424" s="2">
        <v>3670</v>
      </c>
      <c r="D424" s="2" t="s">
        <v>488</v>
      </c>
      <c r="E424" s="2" t="s">
        <v>15</v>
      </c>
      <c r="F424" s="2" t="s">
        <v>489</v>
      </c>
      <c r="G424" s="2">
        <v>0.49199999999999999</v>
      </c>
      <c r="H424" s="2">
        <v>-0.49199999999999999</v>
      </c>
      <c r="I424" s="2" t="s">
        <v>119</v>
      </c>
    </row>
    <row r="425" spans="1:9" x14ac:dyDescent="0.35">
      <c r="A425" s="2">
        <v>202612</v>
      </c>
      <c r="B425" s="2">
        <v>1500</v>
      </c>
      <c r="C425" s="2">
        <v>5000</v>
      </c>
      <c r="D425" s="2" t="s">
        <v>490</v>
      </c>
      <c r="E425" s="2" t="s">
        <v>35</v>
      </c>
      <c r="F425" s="2" t="s">
        <v>491</v>
      </c>
      <c r="G425" s="2">
        <v>7.452</v>
      </c>
      <c r="H425" s="2">
        <v>7.452</v>
      </c>
      <c r="I425" s="2" t="s">
        <v>119</v>
      </c>
    </row>
    <row r="426" spans="1:9" x14ac:dyDescent="0.35">
      <c r="A426" s="2">
        <v>202612</v>
      </c>
      <c r="B426" s="2">
        <v>1500</v>
      </c>
      <c r="C426" s="2">
        <v>6300</v>
      </c>
      <c r="D426" s="2" t="s">
        <v>54</v>
      </c>
      <c r="E426" s="2" t="s">
        <v>35</v>
      </c>
      <c r="F426" s="2" t="s">
        <v>492</v>
      </c>
      <c r="G426" s="2">
        <v>2.8460000000000001</v>
      </c>
      <c r="H426" s="2">
        <v>2.8460000000000001</v>
      </c>
      <c r="I426" s="2" t="s">
        <v>119</v>
      </c>
    </row>
    <row r="427" spans="1:9" x14ac:dyDescent="0.35">
      <c r="A427" s="2">
        <v>202612</v>
      </c>
      <c r="B427" s="2">
        <v>1500</v>
      </c>
      <c r="C427" s="2">
        <v>6050</v>
      </c>
      <c r="D427" s="2" t="s">
        <v>493</v>
      </c>
      <c r="E427" s="2" t="s">
        <v>35</v>
      </c>
      <c r="F427" s="2" t="s">
        <v>494</v>
      </c>
      <c r="G427" s="2">
        <v>0.93300000000000005</v>
      </c>
      <c r="H427" s="2">
        <v>0.93300000000000005</v>
      </c>
      <c r="I427" s="2" t="s">
        <v>119</v>
      </c>
    </row>
    <row r="428" spans="1:9" x14ac:dyDescent="0.35">
      <c r="A428" s="2">
        <v>202612</v>
      </c>
      <c r="B428" s="2">
        <v>1900</v>
      </c>
      <c r="C428" s="2">
        <v>3900</v>
      </c>
      <c r="D428" s="2" t="s">
        <v>31</v>
      </c>
      <c r="E428" s="2" t="s">
        <v>15</v>
      </c>
      <c r="F428" s="2" t="s">
        <v>485</v>
      </c>
      <c r="G428" s="2">
        <v>7.2</v>
      </c>
      <c r="H428" s="2">
        <v>-7.2</v>
      </c>
      <c r="I428" s="2" t="s">
        <v>119</v>
      </c>
    </row>
    <row r="429" spans="1:9" x14ac:dyDescent="0.35">
      <c r="A429" s="2">
        <v>202612</v>
      </c>
      <c r="B429" s="2">
        <v>1900</v>
      </c>
      <c r="C429" s="2">
        <v>3400</v>
      </c>
      <c r="D429" s="2" t="s">
        <v>486</v>
      </c>
      <c r="E429" s="2" t="s">
        <v>15</v>
      </c>
      <c r="F429" s="2" t="s">
        <v>487</v>
      </c>
      <c r="G429" s="2">
        <v>0.25</v>
      </c>
      <c r="H429" s="2">
        <v>-0.25</v>
      </c>
      <c r="I429" s="2" t="s">
        <v>119</v>
      </c>
    </row>
    <row r="430" spans="1:9" x14ac:dyDescent="0.35">
      <c r="A430" s="2">
        <v>202612</v>
      </c>
      <c r="B430" s="2">
        <v>1900</v>
      </c>
      <c r="C430" s="2">
        <v>3670</v>
      </c>
      <c r="D430" s="2" t="s">
        <v>488</v>
      </c>
      <c r="E430" s="2" t="s">
        <v>15</v>
      </c>
      <c r="F430" s="2" t="s">
        <v>489</v>
      </c>
      <c r="G430" s="2">
        <v>1.583</v>
      </c>
      <c r="H430" s="2">
        <v>-1.583</v>
      </c>
      <c r="I430" s="2" t="s">
        <v>119</v>
      </c>
    </row>
    <row r="431" spans="1:9" x14ac:dyDescent="0.35">
      <c r="A431" s="2">
        <v>202612</v>
      </c>
      <c r="B431" s="2">
        <v>1900</v>
      </c>
      <c r="C431" s="2">
        <v>5000</v>
      </c>
      <c r="D431" s="2" t="s">
        <v>490</v>
      </c>
      <c r="E431" s="2" t="s">
        <v>35</v>
      </c>
      <c r="F431" s="2" t="s">
        <v>491</v>
      </c>
      <c r="G431" s="2">
        <v>5.96</v>
      </c>
      <c r="H431" s="2">
        <v>5.96</v>
      </c>
      <c r="I431" s="2" t="s">
        <v>119</v>
      </c>
    </row>
    <row r="432" spans="1:9" x14ac:dyDescent="0.35">
      <c r="A432" s="2">
        <v>202612</v>
      </c>
      <c r="B432" s="2">
        <v>1900</v>
      </c>
      <c r="C432" s="2">
        <v>6300</v>
      </c>
      <c r="D432" s="2" t="s">
        <v>54</v>
      </c>
      <c r="E432" s="2" t="s">
        <v>35</v>
      </c>
      <c r="F432" s="2" t="s">
        <v>492</v>
      </c>
      <c r="G432" s="2">
        <v>2.2770000000000001</v>
      </c>
      <c r="H432" s="2">
        <v>2.2770000000000001</v>
      </c>
      <c r="I432" s="2" t="s">
        <v>119</v>
      </c>
    </row>
    <row r="433" spans="1:9" x14ac:dyDescent="0.35">
      <c r="A433" s="2">
        <v>202612</v>
      </c>
      <c r="B433" s="2">
        <v>1900</v>
      </c>
      <c r="C433" s="2">
        <v>6050</v>
      </c>
      <c r="D433" s="2" t="s">
        <v>493</v>
      </c>
      <c r="E433" s="2" t="s">
        <v>35</v>
      </c>
      <c r="F433" s="2" t="s">
        <v>494</v>
      </c>
      <c r="G433" s="2">
        <v>1.2</v>
      </c>
      <c r="H433" s="2">
        <v>1.2</v>
      </c>
      <c r="I433" s="2" t="s">
        <v>119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97B9-211D-4E8C-BA46-6C360427D770}">
  <dimension ref="A1:I43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10.36328125" bestFit="1" customWidth="1"/>
    <col min="3" max="3" width="8" bestFit="1" customWidth="1"/>
    <col min="4" max="4" width="24.6328125" bestFit="1" customWidth="1"/>
    <col min="5" max="5" width="10.1796875" bestFit="1" customWidth="1"/>
    <col min="6" max="6" width="17.90625" bestFit="1" customWidth="1"/>
    <col min="7" max="7" width="13.90625" customWidth="1"/>
    <col min="8" max="8" width="20.7265625" customWidth="1"/>
    <col min="9" max="9" width="19.453125" bestFit="1" customWidth="1"/>
  </cols>
  <sheetData>
    <row r="1" spans="1:9" ht="28" customHeight="1" x14ac:dyDescent="0.35">
      <c r="A1" s="2" t="s">
        <v>91</v>
      </c>
      <c r="B1" s="2" t="s">
        <v>327</v>
      </c>
      <c r="C1" s="2" t="s">
        <v>0</v>
      </c>
      <c r="D1" s="2" t="s">
        <v>1</v>
      </c>
      <c r="E1" s="2" t="s">
        <v>481</v>
      </c>
      <c r="F1" s="2" t="s">
        <v>482</v>
      </c>
      <c r="G1" s="2" t="s">
        <v>495</v>
      </c>
      <c r="H1" s="2" t="s">
        <v>496</v>
      </c>
      <c r="I1" s="2" t="s">
        <v>116</v>
      </c>
    </row>
    <row r="2" spans="1:9" x14ac:dyDescent="0.35">
      <c r="A2" s="2">
        <v>202601</v>
      </c>
      <c r="B2" s="2">
        <v>1100</v>
      </c>
      <c r="C2" s="2">
        <v>3900</v>
      </c>
      <c r="D2" s="2" t="s">
        <v>31</v>
      </c>
      <c r="E2" s="2" t="s">
        <v>15</v>
      </c>
      <c r="F2" s="2" t="s">
        <v>485</v>
      </c>
      <c r="G2" s="2">
        <v>20.56</v>
      </c>
      <c r="H2" s="2">
        <v>-20.56</v>
      </c>
      <c r="I2" s="2" t="s">
        <v>122</v>
      </c>
    </row>
    <row r="3" spans="1:9" x14ac:dyDescent="0.35">
      <c r="A3" s="2">
        <v>202601</v>
      </c>
      <c r="B3" s="2">
        <v>1100</v>
      </c>
      <c r="C3" s="2">
        <v>3400</v>
      </c>
      <c r="D3" s="2" t="s">
        <v>486</v>
      </c>
      <c r="E3" s="2" t="s">
        <v>15</v>
      </c>
      <c r="F3" s="2" t="s">
        <v>487</v>
      </c>
      <c r="G3" s="2">
        <v>1.52</v>
      </c>
      <c r="H3" s="2">
        <v>-1.52</v>
      </c>
      <c r="I3" s="2" t="s">
        <v>122</v>
      </c>
    </row>
    <row r="4" spans="1:9" x14ac:dyDescent="0.35">
      <c r="A4" s="2">
        <v>202601</v>
      </c>
      <c r="B4" s="2">
        <v>1100</v>
      </c>
      <c r="C4" s="2">
        <v>3670</v>
      </c>
      <c r="D4" s="2" t="s">
        <v>488</v>
      </c>
      <c r="E4" s="2" t="s">
        <v>15</v>
      </c>
      <c r="F4" s="2" t="s">
        <v>489</v>
      </c>
      <c r="G4" s="2">
        <v>0.59499999999999997</v>
      </c>
      <c r="H4" s="2">
        <v>-0.59499999999999997</v>
      </c>
      <c r="I4" s="2" t="s">
        <v>122</v>
      </c>
    </row>
    <row r="5" spans="1:9" x14ac:dyDescent="0.35">
      <c r="A5" s="2">
        <v>202601</v>
      </c>
      <c r="B5" s="2">
        <v>1100</v>
      </c>
      <c r="C5" s="2">
        <v>5000</v>
      </c>
      <c r="D5" s="2" t="s">
        <v>490</v>
      </c>
      <c r="E5" s="2" t="s">
        <v>35</v>
      </c>
      <c r="F5" s="2" t="s">
        <v>491</v>
      </c>
      <c r="G5" s="2">
        <v>14.538</v>
      </c>
      <c r="H5" s="2">
        <v>14.538</v>
      </c>
      <c r="I5" s="2" t="s">
        <v>122</v>
      </c>
    </row>
    <row r="6" spans="1:9" x14ac:dyDescent="0.35">
      <c r="A6" s="2">
        <v>202601</v>
      </c>
      <c r="B6" s="2">
        <v>1100</v>
      </c>
      <c r="C6" s="2">
        <v>6300</v>
      </c>
      <c r="D6" s="2" t="s">
        <v>54</v>
      </c>
      <c r="E6" s="2" t="s">
        <v>35</v>
      </c>
      <c r="F6" s="2" t="s">
        <v>492</v>
      </c>
      <c r="G6" s="2">
        <v>5.2249999999999996</v>
      </c>
      <c r="H6" s="2">
        <v>5.2249999999999996</v>
      </c>
      <c r="I6" s="2" t="s">
        <v>122</v>
      </c>
    </row>
    <row r="7" spans="1:9" x14ac:dyDescent="0.35">
      <c r="A7" s="2">
        <v>202601</v>
      </c>
      <c r="B7" s="2">
        <v>1100</v>
      </c>
      <c r="C7" s="2">
        <v>6050</v>
      </c>
      <c r="D7" s="2" t="s">
        <v>493</v>
      </c>
      <c r="E7" s="2" t="s">
        <v>35</v>
      </c>
      <c r="F7" s="2" t="s">
        <v>494</v>
      </c>
      <c r="G7" s="2">
        <v>1.9950000000000001</v>
      </c>
      <c r="H7" s="2">
        <v>1.9950000000000001</v>
      </c>
      <c r="I7" s="2" t="s">
        <v>122</v>
      </c>
    </row>
    <row r="8" spans="1:9" x14ac:dyDescent="0.35">
      <c r="A8" s="2">
        <v>202601</v>
      </c>
      <c r="B8" s="2">
        <v>1200</v>
      </c>
      <c r="C8" s="2">
        <v>3900</v>
      </c>
      <c r="D8" s="2" t="s">
        <v>31</v>
      </c>
      <c r="E8" s="2" t="s">
        <v>15</v>
      </c>
      <c r="F8" s="2" t="s">
        <v>485</v>
      </c>
      <c r="G8" s="2">
        <v>27.757999999999999</v>
      </c>
      <c r="H8" s="2">
        <v>-27.757999999999999</v>
      </c>
      <c r="I8" s="2" t="s">
        <v>122</v>
      </c>
    </row>
    <row r="9" spans="1:9" x14ac:dyDescent="0.35">
      <c r="A9" s="2">
        <v>202601</v>
      </c>
      <c r="B9" s="2">
        <v>1200</v>
      </c>
      <c r="C9" s="2">
        <v>3400</v>
      </c>
      <c r="D9" s="2" t="s">
        <v>486</v>
      </c>
      <c r="E9" s="2" t="s">
        <v>15</v>
      </c>
      <c r="F9" s="2" t="s">
        <v>487</v>
      </c>
      <c r="G9" s="2">
        <v>3.3170000000000002</v>
      </c>
      <c r="H9" s="2">
        <v>-3.3170000000000002</v>
      </c>
      <c r="I9" s="2" t="s">
        <v>122</v>
      </c>
    </row>
    <row r="10" spans="1:9" x14ac:dyDescent="0.35">
      <c r="A10" s="2">
        <v>202601</v>
      </c>
      <c r="B10" s="2">
        <v>1200</v>
      </c>
      <c r="C10" s="2">
        <v>3670</v>
      </c>
      <c r="D10" s="2" t="s">
        <v>488</v>
      </c>
      <c r="E10" s="2" t="s">
        <v>15</v>
      </c>
      <c r="F10" s="2" t="s">
        <v>489</v>
      </c>
      <c r="G10" s="2">
        <v>1.496</v>
      </c>
      <c r="H10" s="2">
        <v>-1.496</v>
      </c>
      <c r="I10" s="2" t="s">
        <v>122</v>
      </c>
    </row>
    <row r="11" spans="1:9" x14ac:dyDescent="0.35">
      <c r="A11" s="2">
        <v>202601</v>
      </c>
      <c r="B11" s="2">
        <v>1200</v>
      </c>
      <c r="C11" s="2">
        <v>5000</v>
      </c>
      <c r="D11" s="2" t="s">
        <v>490</v>
      </c>
      <c r="E11" s="2" t="s">
        <v>35</v>
      </c>
      <c r="F11" s="2" t="s">
        <v>491</v>
      </c>
      <c r="G11" s="2">
        <v>20.657</v>
      </c>
      <c r="H11" s="2">
        <v>20.657</v>
      </c>
      <c r="I11" s="2" t="s">
        <v>122</v>
      </c>
    </row>
    <row r="12" spans="1:9" x14ac:dyDescent="0.35">
      <c r="A12" s="2">
        <v>202601</v>
      </c>
      <c r="B12" s="2">
        <v>1200</v>
      </c>
      <c r="C12" s="2">
        <v>6300</v>
      </c>
      <c r="D12" s="2" t="s">
        <v>54</v>
      </c>
      <c r="E12" s="2" t="s">
        <v>35</v>
      </c>
      <c r="F12" s="2" t="s">
        <v>492</v>
      </c>
      <c r="G12" s="2">
        <v>7.4249999999999998</v>
      </c>
      <c r="H12" s="2">
        <v>7.4249999999999998</v>
      </c>
      <c r="I12" s="2" t="s">
        <v>122</v>
      </c>
    </row>
    <row r="13" spans="1:9" x14ac:dyDescent="0.35">
      <c r="A13" s="2">
        <v>202601</v>
      </c>
      <c r="B13" s="2">
        <v>1200</v>
      </c>
      <c r="C13" s="2">
        <v>6050</v>
      </c>
      <c r="D13" s="2" t="s">
        <v>493</v>
      </c>
      <c r="E13" s="2" t="s">
        <v>35</v>
      </c>
      <c r="F13" s="2" t="s">
        <v>494</v>
      </c>
      <c r="G13" s="2">
        <v>3.6749999999999998</v>
      </c>
      <c r="H13" s="2">
        <v>3.6749999999999998</v>
      </c>
      <c r="I13" s="2" t="s">
        <v>122</v>
      </c>
    </row>
    <row r="14" spans="1:9" x14ac:dyDescent="0.35">
      <c r="A14" s="2">
        <v>202601</v>
      </c>
      <c r="B14" s="2">
        <v>1300</v>
      </c>
      <c r="C14" s="2">
        <v>3900</v>
      </c>
      <c r="D14" s="2" t="s">
        <v>31</v>
      </c>
      <c r="E14" s="2" t="s">
        <v>15</v>
      </c>
      <c r="F14" s="2" t="s">
        <v>485</v>
      </c>
      <c r="G14" s="2">
        <v>23.641999999999999</v>
      </c>
      <c r="H14" s="2">
        <v>-23.641999999999999</v>
      </c>
      <c r="I14" s="2" t="s">
        <v>122</v>
      </c>
    </row>
    <row r="15" spans="1:9" x14ac:dyDescent="0.35">
      <c r="A15" s="2">
        <v>202601</v>
      </c>
      <c r="B15" s="2">
        <v>1300</v>
      </c>
      <c r="C15" s="2">
        <v>3400</v>
      </c>
      <c r="D15" s="2" t="s">
        <v>486</v>
      </c>
      <c r="E15" s="2" t="s">
        <v>15</v>
      </c>
      <c r="F15" s="2" t="s">
        <v>487</v>
      </c>
      <c r="G15" s="2">
        <v>1.728</v>
      </c>
      <c r="H15" s="2">
        <v>-1.728</v>
      </c>
      <c r="I15" s="2" t="s">
        <v>122</v>
      </c>
    </row>
    <row r="16" spans="1:9" x14ac:dyDescent="0.35">
      <c r="A16" s="2">
        <v>202601</v>
      </c>
      <c r="B16" s="2">
        <v>1300</v>
      </c>
      <c r="C16" s="2">
        <v>3670</v>
      </c>
      <c r="D16" s="2" t="s">
        <v>488</v>
      </c>
      <c r="E16" s="2" t="s">
        <v>15</v>
      </c>
      <c r="F16" s="2" t="s">
        <v>489</v>
      </c>
      <c r="G16" s="2">
        <v>1.129</v>
      </c>
      <c r="H16" s="2">
        <v>-1.129</v>
      </c>
      <c r="I16" s="2" t="s">
        <v>122</v>
      </c>
    </row>
    <row r="17" spans="1:9" x14ac:dyDescent="0.35">
      <c r="A17" s="2">
        <v>202601</v>
      </c>
      <c r="B17" s="2">
        <v>1300</v>
      </c>
      <c r="C17" s="2">
        <v>5000</v>
      </c>
      <c r="D17" s="2" t="s">
        <v>490</v>
      </c>
      <c r="E17" s="2" t="s">
        <v>35</v>
      </c>
      <c r="F17" s="2" t="s">
        <v>491</v>
      </c>
      <c r="G17" s="2">
        <v>17.593</v>
      </c>
      <c r="H17" s="2">
        <v>17.593</v>
      </c>
      <c r="I17" s="2" t="s">
        <v>122</v>
      </c>
    </row>
    <row r="18" spans="1:9" x14ac:dyDescent="0.35">
      <c r="A18" s="2">
        <v>202601</v>
      </c>
      <c r="B18" s="2">
        <v>1300</v>
      </c>
      <c r="C18" s="2">
        <v>6300</v>
      </c>
      <c r="D18" s="2" t="s">
        <v>54</v>
      </c>
      <c r="E18" s="2" t="s">
        <v>35</v>
      </c>
      <c r="F18" s="2" t="s">
        <v>492</v>
      </c>
      <c r="G18" s="2">
        <v>6.3250000000000002</v>
      </c>
      <c r="H18" s="2">
        <v>6.3250000000000002</v>
      </c>
      <c r="I18" s="2" t="s">
        <v>122</v>
      </c>
    </row>
    <row r="19" spans="1:9" x14ac:dyDescent="0.35">
      <c r="A19" s="2">
        <v>202601</v>
      </c>
      <c r="B19" s="2">
        <v>1300</v>
      </c>
      <c r="C19" s="2">
        <v>6050</v>
      </c>
      <c r="D19" s="2" t="s">
        <v>493</v>
      </c>
      <c r="E19" s="2" t="s">
        <v>35</v>
      </c>
      <c r="F19" s="2" t="s">
        <v>494</v>
      </c>
      <c r="G19" s="2">
        <v>2.2050000000000001</v>
      </c>
      <c r="H19" s="2">
        <v>2.2050000000000001</v>
      </c>
      <c r="I19" s="2" t="s">
        <v>122</v>
      </c>
    </row>
    <row r="20" spans="1:9" x14ac:dyDescent="0.35">
      <c r="A20" s="2">
        <v>202601</v>
      </c>
      <c r="B20" s="2">
        <v>1400</v>
      </c>
      <c r="C20" s="2">
        <v>3900</v>
      </c>
      <c r="D20" s="2" t="s">
        <v>31</v>
      </c>
      <c r="E20" s="2" t="s">
        <v>15</v>
      </c>
      <c r="F20" s="2" t="s">
        <v>485</v>
      </c>
      <c r="G20" s="2">
        <v>13.362</v>
      </c>
      <c r="H20" s="2">
        <v>-13.362</v>
      </c>
      <c r="I20" s="2" t="s">
        <v>122</v>
      </c>
    </row>
    <row r="21" spans="1:9" x14ac:dyDescent="0.35">
      <c r="A21" s="2">
        <v>202601</v>
      </c>
      <c r="B21" s="2">
        <v>1400</v>
      </c>
      <c r="C21" s="2">
        <v>3400</v>
      </c>
      <c r="D21" s="2" t="s">
        <v>486</v>
      </c>
      <c r="E21" s="2" t="s">
        <v>15</v>
      </c>
      <c r="F21" s="2" t="s">
        <v>487</v>
      </c>
      <c r="G21" s="2">
        <v>1.0369999999999999</v>
      </c>
      <c r="H21" s="2">
        <v>-1.0369999999999999</v>
      </c>
      <c r="I21" s="2" t="s">
        <v>122</v>
      </c>
    </row>
    <row r="22" spans="1:9" x14ac:dyDescent="0.35">
      <c r="A22" s="2">
        <v>202601</v>
      </c>
      <c r="B22" s="2">
        <v>1400</v>
      </c>
      <c r="C22" s="2">
        <v>3670</v>
      </c>
      <c r="D22" s="2" t="s">
        <v>488</v>
      </c>
      <c r="E22" s="2" t="s">
        <v>15</v>
      </c>
      <c r="F22" s="2" t="s">
        <v>489</v>
      </c>
      <c r="G22" s="2">
        <v>0.67900000000000005</v>
      </c>
      <c r="H22" s="2">
        <v>-0.67900000000000005</v>
      </c>
      <c r="I22" s="2" t="s">
        <v>122</v>
      </c>
    </row>
    <row r="23" spans="1:9" x14ac:dyDescent="0.35">
      <c r="A23" s="2">
        <v>202601</v>
      </c>
      <c r="B23" s="2">
        <v>1400</v>
      </c>
      <c r="C23" s="2">
        <v>5000</v>
      </c>
      <c r="D23" s="2" t="s">
        <v>490</v>
      </c>
      <c r="E23" s="2" t="s">
        <v>35</v>
      </c>
      <c r="F23" s="2" t="s">
        <v>491</v>
      </c>
      <c r="G23" s="2">
        <v>9.9429999999999996</v>
      </c>
      <c r="H23" s="2">
        <v>9.9429999999999996</v>
      </c>
      <c r="I23" s="2" t="s">
        <v>122</v>
      </c>
    </row>
    <row r="24" spans="1:9" x14ac:dyDescent="0.35">
      <c r="A24" s="2">
        <v>202601</v>
      </c>
      <c r="B24" s="2">
        <v>1400</v>
      </c>
      <c r="C24" s="2">
        <v>6300</v>
      </c>
      <c r="D24" s="2" t="s">
        <v>54</v>
      </c>
      <c r="E24" s="2" t="s">
        <v>35</v>
      </c>
      <c r="F24" s="2" t="s">
        <v>492</v>
      </c>
      <c r="G24" s="2">
        <v>3.5750000000000002</v>
      </c>
      <c r="H24" s="2">
        <v>3.5750000000000002</v>
      </c>
      <c r="I24" s="2" t="s">
        <v>122</v>
      </c>
    </row>
    <row r="25" spans="1:9" x14ac:dyDescent="0.35">
      <c r="A25" s="2">
        <v>202601</v>
      </c>
      <c r="B25" s="2">
        <v>1400</v>
      </c>
      <c r="C25" s="2">
        <v>6050</v>
      </c>
      <c r="D25" s="2" t="s">
        <v>493</v>
      </c>
      <c r="E25" s="2" t="s">
        <v>35</v>
      </c>
      <c r="F25" s="2" t="s">
        <v>494</v>
      </c>
      <c r="G25" s="2">
        <v>0.94499999999999995</v>
      </c>
      <c r="H25" s="2">
        <v>0.94499999999999995</v>
      </c>
      <c r="I25" s="2" t="s">
        <v>122</v>
      </c>
    </row>
    <row r="26" spans="1:9" x14ac:dyDescent="0.35">
      <c r="A26" s="2">
        <v>202601</v>
      </c>
      <c r="B26" s="2">
        <v>1500</v>
      </c>
      <c r="C26" s="2">
        <v>3900</v>
      </c>
      <c r="D26" s="2" t="s">
        <v>31</v>
      </c>
      <c r="E26" s="2" t="s">
        <v>15</v>
      </c>
      <c r="F26" s="2" t="s">
        <v>485</v>
      </c>
      <c r="G26" s="2">
        <v>10.28</v>
      </c>
      <c r="H26" s="2">
        <v>-10.28</v>
      </c>
      <c r="I26" s="2" t="s">
        <v>122</v>
      </c>
    </row>
    <row r="27" spans="1:9" x14ac:dyDescent="0.35">
      <c r="A27" s="2">
        <v>202601</v>
      </c>
      <c r="B27" s="2">
        <v>1500</v>
      </c>
      <c r="C27" s="2">
        <v>3400</v>
      </c>
      <c r="D27" s="2" t="s">
        <v>486</v>
      </c>
      <c r="E27" s="2" t="s">
        <v>15</v>
      </c>
      <c r="F27" s="2" t="s">
        <v>487</v>
      </c>
      <c r="G27" s="2">
        <v>0.69099999999999995</v>
      </c>
      <c r="H27" s="2">
        <v>-0.69099999999999995</v>
      </c>
      <c r="I27" s="2" t="s">
        <v>122</v>
      </c>
    </row>
    <row r="28" spans="1:9" x14ac:dyDescent="0.35">
      <c r="A28" s="2">
        <v>202601</v>
      </c>
      <c r="B28" s="2">
        <v>1500</v>
      </c>
      <c r="C28" s="2">
        <v>3670</v>
      </c>
      <c r="D28" s="2" t="s">
        <v>488</v>
      </c>
      <c r="E28" s="2" t="s">
        <v>15</v>
      </c>
      <c r="F28" s="2" t="s">
        <v>489</v>
      </c>
      <c r="G28" s="2">
        <v>0.45</v>
      </c>
      <c r="H28" s="2">
        <v>-0.45</v>
      </c>
      <c r="I28" s="2" t="s">
        <v>122</v>
      </c>
    </row>
    <row r="29" spans="1:9" x14ac:dyDescent="0.35">
      <c r="A29" s="2">
        <v>202601</v>
      </c>
      <c r="B29" s="2">
        <v>1500</v>
      </c>
      <c r="C29" s="2">
        <v>5000</v>
      </c>
      <c r="D29" s="2" t="s">
        <v>490</v>
      </c>
      <c r="E29" s="2" t="s">
        <v>35</v>
      </c>
      <c r="F29" s="2" t="s">
        <v>491</v>
      </c>
      <c r="G29" s="2">
        <v>7.65</v>
      </c>
      <c r="H29" s="2">
        <v>7.65</v>
      </c>
      <c r="I29" s="2" t="s">
        <v>122</v>
      </c>
    </row>
    <row r="30" spans="1:9" x14ac:dyDescent="0.35">
      <c r="A30" s="2">
        <v>202601</v>
      </c>
      <c r="B30" s="2">
        <v>1500</v>
      </c>
      <c r="C30" s="2">
        <v>6300</v>
      </c>
      <c r="D30" s="2" t="s">
        <v>54</v>
      </c>
      <c r="E30" s="2" t="s">
        <v>35</v>
      </c>
      <c r="F30" s="2" t="s">
        <v>492</v>
      </c>
      <c r="G30" s="2">
        <v>2.75</v>
      </c>
      <c r="H30" s="2">
        <v>2.75</v>
      </c>
      <c r="I30" s="2" t="s">
        <v>122</v>
      </c>
    </row>
    <row r="31" spans="1:9" x14ac:dyDescent="0.35">
      <c r="A31" s="2">
        <v>202601</v>
      </c>
      <c r="B31" s="2">
        <v>1500</v>
      </c>
      <c r="C31" s="2">
        <v>6050</v>
      </c>
      <c r="D31" s="2" t="s">
        <v>493</v>
      </c>
      <c r="E31" s="2" t="s">
        <v>35</v>
      </c>
      <c r="F31" s="2" t="s">
        <v>494</v>
      </c>
      <c r="G31" s="2">
        <v>0.73499999999999999</v>
      </c>
      <c r="H31" s="2">
        <v>0.73499999999999999</v>
      </c>
      <c r="I31" s="2" t="s">
        <v>122</v>
      </c>
    </row>
    <row r="32" spans="1:9" x14ac:dyDescent="0.35">
      <c r="A32" s="2">
        <v>202601</v>
      </c>
      <c r="B32" s="2">
        <v>1900</v>
      </c>
      <c r="C32" s="2">
        <v>3900</v>
      </c>
      <c r="D32" s="2" t="s">
        <v>31</v>
      </c>
      <c r="E32" s="2" t="s">
        <v>15</v>
      </c>
      <c r="F32" s="2" t="s">
        <v>485</v>
      </c>
      <c r="G32" s="2">
        <v>7.1980000000000004</v>
      </c>
      <c r="H32" s="2">
        <v>-7.1980000000000004</v>
      </c>
      <c r="I32" s="2" t="s">
        <v>122</v>
      </c>
    </row>
    <row r="33" spans="1:9" x14ac:dyDescent="0.35">
      <c r="A33" s="2">
        <v>202601</v>
      </c>
      <c r="B33" s="2">
        <v>1900</v>
      </c>
      <c r="C33" s="2">
        <v>3400</v>
      </c>
      <c r="D33" s="2" t="s">
        <v>486</v>
      </c>
      <c r="E33" s="2" t="s">
        <v>15</v>
      </c>
      <c r="F33" s="2" t="s">
        <v>487</v>
      </c>
      <c r="G33" s="2">
        <v>0.20699999999999999</v>
      </c>
      <c r="H33" s="2">
        <v>-0.20699999999999999</v>
      </c>
      <c r="I33" s="2" t="s">
        <v>122</v>
      </c>
    </row>
    <row r="34" spans="1:9" x14ac:dyDescent="0.35">
      <c r="A34" s="2">
        <v>202601</v>
      </c>
      <c r="B34" s="2">
        <v>1900</v>
      </c>
      <c r="C34" s="2">
        <v>3670</v>
      </c>
      <c r="D34" s="2" t="s">
        <v>488</v>
      </c>
      <c r="E34" s="2" t="s">
        <v>15</v>
      </c>
      <c r="F34" s="2" t="s">
        <v>489</v>
      </c>
      <c r="G34" s="2">
        <v>1.45</v>
      </c>
      <c r="H34" s="2">
        <v>-1.45</v>
      </c>
      <c r="I34" s="2" t="s">
        <v>122</v>
      </c>
    </row>
    <row r="35" spans="1:9" x14ac:dyDescent="0.35">
      <c r="A35" s="2">
        <v>202601</v>
      </c>
      <c r="B35" s="2">
        <v>1900</v>
      </c>
      <c r="C35" s="2">
        <v>5000</v>
      </c>
      <c r="D35" s="2" t="s">
        <v>490</v>
      </c>
      <c r="E35" s="2" t="s">
        <v>35</v>
      </c>
      <c r="F35" s="2" t="s">
        <v>491</v>
      </c>
      <c r="G35" s="2">
        <v>6.1180000000000003</v>
      </c>
      <c r="H35" s="2">
        <v>6.1180000000000003</v>
      </c>
      <c r="I35" s="2" t="s">
        <v>122</v>
      </c>
    </row>
    <row r="36" spans="1:9" x14ac:dyDescent="0.35">
      <c r="A36" s="2">
        <v>202601</v>
      </c>
      <c r="B36" s="2">
        <v>1900</v>
      </c>
      <c r="C36" s="2">
        <v>6300</v>
      </c>
      <c r="D36" s="2" t="s">
        <v>54</v>
      </c>
      <c r="E36" s="2" t="s">
        <v>35</v>
      </c>
      <c r="F36" s="2" t="s">
        <v>492</v>
      </c>
      <c r="G36" s="2">
        <v>2.2000000000000002</v>
      </c>
      <c r="H36" s="2">
        <v>2.2000000000000002</v>
      </c>
      <c r="I36" s="2" t="s">
        <v>122</v>
      </c>
    </row>
    <row r="37" spans="1:9" x14ac:dyDescent="0.35">
      <c r="A37" s="2">
        <v>202601</v>
      </c>
      <c r="B37" s="2">
        <v>1900</v>
      </c>
      <c r="C37" s="2">
        <v>6050</v>
      </c>
      <c r="D37" s="2" t="s">
        <v>493</v>
      </c>
      <c r="E37" s="2" t="s">
        <v>35</v>
      </c>
      <c r="F37" s="2" t="s">
        <v>494</v>
      </c>
      <c r="G37" s="2">
        <v>0.94499999999999995</v>
      </c>
      <c r="H37" s="2">
        <v>0.94499999999999995</v>
      </c>
      <c r="I37" s="2" t="s">
        <v>122</v>
      </c>
    </row>
    <row r="38" spans="1:9" x14ac:dyDescent="0.35">
      <c r="A38" s="2">
        <v>202602</v>
      </c>
      <c r="B38" s="2">
        <v>1100</v>
      </c>
      <c r="C38" s="2">
        <v>3900</v>
      </c>
      <c r="D38" s="2" t="s">
        <v>31</v>
      </c>
      <c r="E38" s="2" t="s">
        <v>15</v>
      </c>
      <c r="F38" s="2" t="s">
        <v>485</v>
      </c>
      <c r="G38" s="2">
        <v>20.56</v>
      </c>
      <c r="H38" s="2">
        <v>-20.56</v>
      </c>
      <c r="I38" s="2" t="s">
        <v>122</v>
      </c>
    </row>
    <row r="39" spans="1:9" x14ac:dyDescent="0.35">
      <c r="A39" s="2">
        <v>202602</v>
      </c>
      <c r="B39" s="2">
        <v>1100</v>
      </c>
      <c r="C39" s="2">
        <v>3400</v>
      </c>
      <c r="D39" s="2" t="s">
        <v>486</v>
      </c>
      <c r="E39" s="2" t="s">
        <v>15</v>
      </c>
      <c r="F39" s="2" t="s">
        <v>487</v>
      </c>
      <c r="G39" s="2">
        <v>1.6459999999999999</v>
      </c>
      <c r="H39" s="2">
        <v>-1.6459999999999999</v>
      </c>
      <c r="I39" s="2" t="s">
        <v>122</v>
      </c>
    </row>
    <row r="40" spans="1:9" x14ac:dyDescent="0.35">
      <c r="A40" s="2">
        <v>202602</v>
      </c>
      <c r="B40" s="2">
        <v>1100</v>
      </c>
      <c r="C40" s="2">
        <v>3670</v>
      </c>
      <c r="D40" s="2" t="s">
        <v>488</v>
      </c>
      <c r="E40" s="2" t="s">
        <v>15</v>
      </c>
      <c r="F40" s="2" t="s">
        <v>489</v>
      </c>
      <c r="G40" s="2">
        <v>0.77</v>
      </c>
      <c r="H40" s="2">
        <v>-0.77</v>
      </c>
      <c r="I40" s="2" t="s">
        <v>122</v>
      </c>
    </row>
    <row r="41" spans="1:9" x14ac:dyDescent="0.35">
      <c r="A41" s="2">
        <v>202602</v>
      </c>
      <c r="B41" s="2">
        <v>1100</v>
      </c>
      <c r="C41" s="2">
        <v>5000</v>
      </c>
      <c r="D41" s="2" t="s">
        <v>490</v>
      </c>
      <c r="E41" s="2" t="s">
        <v>35</v>
      </c>
      <c r="F41" s="2" t="s">
        <v>491</v>
      </c>
      <c r="G41" s="2">
        <v>14.632999999999999</v>
      </c>
      <c r="H41" s="2">
        <v>14.632999999999999</v>
      </c>
      <c r="I41" s="2" t="s">
        <v>122</v>
      </c>
    </row>
    <row r="42" spans="1:9" x14ac:dyDescent="0.35">
      <c r="A42" s="2">
        <v>202602</v>
      </c>
      <c r="B42" s="2">
        <v>1100</v>
      </c>
      <c r="C42" s="2">
        <v>6300</v>
      </c>
      <c r="D42" s="2" t="s">
        <v>54</v>
      </c>
      <c r="E42" s="2" t="s">
        <v>35</v>
      </c>
      <c r="F42" s="2" t="s">
        <v>492</v>
      </c>
      <c r="G42" s="2">
        <v>5.0350000000000001</v>
      </c>
      <c r="H42" s="2">
        <v>5.0350000000000001</v>
      </c>
      <c r="I42" s="2" t="s">
        <v>122</v>
      </c>
    </row>
    <row r="43" spans="1:9" x14ac:dyDescent="0.35">
      <c r="A43" s="2">
        <v>202602</v>
      </c>
      <c r="B43" s="2">
        <v>1100</v>
      </c>
      <c r="C43" s="2">
        <v>6050</v>
      </c>
      <c r="D43" s="2" t="s">
        <v>493</v>
      </c>
      <c r="E43" s="2" t="s">
        <v>35</v>
      </c>
      <c r="F43" s="2" t="s">
        <v>494</v>
      </c>
      <c r="G43" s="2">
        <v>2.09</v>
      </c>
      <c r="H43" s="2">
        <v>2.09</v>
      </c>
      <c r="I43" s="2" t="s">
        <v>122</v>
      </c>
    </row>
    <row r="44" spans="1:9" x14ac:dyDescent="0.35">
      <c r="A44" s="2">
        <v>202602</v>
      </c>
      <c r="B44" s="2">
        <v>1200</v>
      </c>
      <c r="C44" s="2">
        <v>3900</v>
      </c>
      <c r="D44" s="2" t="s">
        <v>31</v>
      </c>
      <c r="E44" s="2" t="s">
        <v>15</v>
      </c>
      <c r="F44" s="2" t="s">
        <v>485</v>
      </c>
      <c r="G44" s="2">
        <v>27.757999999999999</v>
      </c>
      <c r="H44" s="2">
        <v>-27.757999999999999</v>
      </c>
      <c r="I44" s="2" t="s">
        <v>122</v>
      </c>
    </row>
    <row r="45" spans="1:9" x14ac:dyDescent="0.35">
      <c r="A45" s="2">
        <v>202602</v>
      </c>
      <c r="B45" s="2">
        <v>1200</v>
      </c>
      <c r="C45" s="2">
        <v>3400</v>
      </c>
      <c r="D45" s="2" t="s">
        <v>486</v>
      </c>
      <c r="E45" s="2" t="s">
        <v>15</v>
      </c>
      <c r="F45" s="2" t="s">
        <v>487</v>
      </c>
      <c r="G45" s="2">
        <v>3.59</v>
      </c>
      <c r="H45" s="2">
        <v>-3.59</v>
      </c>
      <c r="I45" s="2" t="s">
        <v>122</v>
      </c>
    </row>
    <row r="46" spans="1:9" x14ac:dyDescent="0.35">
      <c r="A46" s="2">
        <v>202602</v>
      </c>
      <c r="B46" s="2">
        <v>1200</v>
      </c>
      <c r="C46" s="2">
        <v>3670</v>
      </c>
      <c r="D46" s="2" t="s">
        <v>488</v>
      </c>
      <c r="E46" s="2" t="s">
        <v>15</v>
      </c>
      <c r="F46" s="2" t="s">
        <v>489</v>
      </c>
      <c r="G46" s="2">
        <v>1.9339999999999999</v>
      </c>
      <c r="H46" s="2">
        <v>-1.9339999999999999</v>
      </c>
      <c r="I46" s="2" t="s">
        <v>122</v>
      </c>
    </row>
    <row r="47" spans="1:9" x14ac:dyDescent="0.35">
      <c r="A47" s="2">
        <v>202602</v>
      </c>
      <c r="B47" s="2">
        <v>1200</v>
      </c>
      <c r="C47" s="2">
        <v>5000</v>
      </c>
      <c r="D47" s="2" t="s">
        <v>490</v>
      </c>
      <c r="E47" s="2" t="s">
        <v>35</v>
      </c>
      <c r="F47" s="2" t="s">
        <v>491</v>
      </c>
      <c r="G47" s="2">
        <v>20.792000000000002</v>
      </c>
      <c r="H47" s="2">
        <v>20.792000000000002</v>
      </c>
      <c r="I47" s="2" t="s">
        <v>122</v>
      </c>
    </row>
    <row r="48" spans="1:9" x14ac:dyDescent="0.35">
      <c r="A48" s="2">
        <v>202602</v>
      </c>
      <c r="B48" s="2">
        <v>1200</v>
      </c>
      <c r="C48" s="2">
        <v>6300</v>
      </c>
      <c r="D48" s="2" t="s">
        <v>54</v>
      </c>
      <c r="E48" s="2" t="s">
        <v>35</v>
      </c>
      <c r="F48" s="2" t="s">
        <v>492</v>
      </c>
      <c r="G48" s="2">
        <v>7.1550000000000002</v>
      </c>
      <c r="H48" s="2">
        <v>7.1550000000000002</v>
      </c>
      <c r="I48" s="2" t="s">
        <v>122</v>
      </c>
    </row>
    <row r="49" spans="1:9" x14ac:dyDescent="0.35">
      <c r="A49" s="2">
        <v>202602</v>
      </c>
      <c r="B49" s="2">
        <v>1200</v>
      </c>
      <c r="C49" s="2">
        <v>6050</v>
      </c>
      <c r="D49" s="2" t="s">
        <v>493</v>
      </c>
      <c r="E49" s="2" t="s">
        <v>35</v>
      </c>
      <c r="F49" s="2" t="s">
        <v>494</v>
      </c>
      <c r="G49" s="2">
        <v>3.85</v>
      </c>
      <c r="H49" s="2">
        <v>3.85</v>
      </c>
      <c r="I49" s="2" t="s">
        <v>122</v>
      </c>
    </row>
    <row r="50" spans="1:9" x14ac:dyDescent="0.35">
      <c r="A50" s="2">
        <v>202602</v>
      </c>
      <c r="B50" s="2">
        <v>1300</v>
      </c>
      <c r="C50" s="2">
        <v>3900</v>
      </c>
      <c r="D50" s="2" t="s">
        <v>31</v>
      </c>
      <c r="E50" s="2" t="s">
        <v>15</v>
      </c>
      <c r="F50" s="2" t="s">
        <v>485</v>
      </c>
      <c r="G50" s="2">
        <v>23.641999999999999</v>
      </c>
      <c r="H50" s="2">
        <v>-23.641999999999999</v>
      </c>
      <c r="I50" s="2" t="s">
        <v>122</v>
      </c>
    </row>
    <row r="51" spans="1:9" x14ac:dyDescent="0.35">
      <c r="A51" s="2">
        <v>202602</v>
      </c>
      <c r="B51" s="2">
        <v>1300</v>
      </c>
      <c r="C51" s="2">
        <v>3400</v>
      </c>
      <c r="D51" s="2" t="s">
        <v>486</v>
      </c>
      <c r="E51" s="2" t="s">
        <v>15</v>
      </c>
      <c r="F51" s="2" t="s">
        <v>487</v>
      </c>
      <c r="G51" s="2">
        <v>1.87</v>
      </c>
      <c r="H51" s="2">
        <v>-1.87</v>
      </c>
      <c r="I51" s="2" t="s">
        <v>122</v>
      </c>
    </row>
    <row r="52" spans="1:9" x14ac:dyDescent="0.35">
      <c r="A52" s="2">
        <v>202602</v>
      </c>
      <c r="B52" s="2">
        <v>1300</v>
      </c>
      <c r="C52" s="2">
        <v>3670</v>
      </c>
      <c r="D52" s="2" t="s">
        <v>488</v>
      </c>
      <c r="E52" s="2" t="s">
        <v>15</v>
      </c>
      <c r="F52" s="2" t="s">
        <v>489</v>
      </c>
      <c r="G52" s="2">
        <v>1.4610000000000001</v>
      </c>
      <c r="H52" s="2">
        <v>-1.4610000000000001</v>
      </c>
      <c r="I52" s="2" t="s">
        <v>122</v>
      </c>
    </row>
    <row r="53" spans="1:9" x14ac:dyDescent="0.35">
      <c r="A53" s="2">
        <v>202602</v>
      </c>
      <c r="B53" s="2">
        <v>1300</v>
      </c>
      <c r="C53" s="2">
        <v>5000</v>
      </c>
      <c r="D53" s="2" t="s">
        <v>490</v>
      </c>
      <c r="E53" s="2" t="s">
        <v>35</v>
      </c>
      <c r="F53" s="2" t="s">
        <v>491</v>
      </c>
      <c r="G53" s="2">
        <v>17.707999999999998</v>
      </c>
      <c r="H53" s="2">
        <v>17.707999999999998</v>
      </c>
      <c r="I53" s="2" t="s">
        <v>122</v>
      </c>
    </row>
    <row r="54" spans="1:9" x14ac:dyDescent="0.35">
      <c r="A54" s="2">
        <v>202602</v>
      </c>
      <c r="B54" s="2">
        <v>1300</v>
      </c>
      <c r="C54" s="2">
        <v>6300</v>
      </c>
      <c r="D54" s="2" t="s">
        <v>54</v>
      </c>
      <c r="E54" s="2" t="s">
        <v>35</v>
      </c>
      <c r="F54" s="2" t="s">
        <v>492</v>
      </c>
      <c r="G54" s="2">
        <v>6.0949999999999998</v>
      </c>
      <c r="H54" s="2">
        <v>6.0949999999999998</v>
      </c>
      <c r="I54" s="2" t="s">
        <v>122</v>
      </c>
    </row>
    <row r="55" spans="1:9" x14ac:dyDescent="0.35">
      <c r="A55" s="2">
        <v>202602</v>
      </c>
      <c r="B55" s="2">
        <v>1300</v>
      </c>
      <c r="C55" s="2">
        <v>6050</v>
      </c>
      <c r="D55" s="2" t="s">
        <v>493</v>
      </c>
      <c r="E55" s="2" t="s">
        <v>35</v>
      </c>
      <c r="F55" s="2" t="s">
        <v>494</v>
      </c>
      <c r="G55" s="2">
        <v>2.31</v>
      </c>
      <c r="H55" s="2">
        <v>2.31</v>
      </c>
      <c r="I55" s="2" t="s">
        <v>122</v>
      </c>
    </row>
    <row r="56" spans="1:9" x14ac:dyDescent="0.35">
      <c r="A56" s="2">
        <v>202602</v>
      </c>
      <c r="B56" s="2">
        <v>1400</v>
      </c>
      <c r="C56" s="2">
        <v>3900</v>
      </c>
      <c r="D56" s="2" t="s">
        <v>31</v>
      </c>
      <c r="E56" s="2" t="s">
        <v>15</v>
      </c>
      <c r="F56" s="2" t="s">
        <v>485</v>
      </c>
      <c r="G56" s="2">
        <v>13.362</v>
      </c>
      <c r="H56" s="2">
        <v>-13.362</v>
      </c>
      <c r="I56" s="2" t="s">
        <v>122</v>
      </c>
    </row>
    <row r="57" spans="1:9" x14ac:dyDescent="0.35">
      <c r="A57" s="2">
        <v>202602</v>
      </c>
      <c r="B57" s="2">
        <v>1400</v>
      </c>
      <c r="C57" s="2">
        <v>3400</v>
      </c>
      <c r="D57" s="2" t="s">
        <v>486</v>
      </c>
      <c r="E57" s="2" t="s">
        <v>15</v>
      </c>
      <c r="F57" s="2" t="s">
        <v>487</v>
      </c>
      <c r="G57" s="2">
        <v>1.1220000000000001</v>
      </c>
      <c r="H57" s="2">
        <v>-1.1220000000000001</v>
      </c>
      <c r="I57" s="2" t="s">
        <v>122</v>
      </c>
    </row>
    <row r="58" spans="1:9" x14ac:dyDescent="0.35">
      <c r="A58" s="2">
        <v>202602</v>
      </c>
      <c r="B58" s="2">
        <v>1400</v>
      </c>
      <c r="C58" s="2">
        <v>3670</v>
      </c>
      <c r="D58" s="2" t="s">
        <v>488</v>
      </c>
      <c r="E58" s="2" t="s">
        <v>15</v>
      </c>
      <c r="F58" s="2" t="s">
        <v>489</v>
      </c>
      <c r="G58" s="2">
        <v>0.878</v>
      </c>
      <c r="H58" s="2">
        <v>-0.878</v>
      </c>
      <c r="I58" s="2" t="s">
        <v>122</v>
      </c>
    </row>
    <row r="59" spans="1:9" x14ac:dyDescent="0.35">
      <c r="A59" s="2">
        <v>202602</v>
      </c>
      <c r="B59" s="2">
        <v>1400</v>
      </c>
      <c r="C59" s="2">
        <v>5000</v>
      </c>
      <c r="D59" s="2" t="s">
        <v>490</v>
      </c>
      <c r="E59" s="2" t="s">
        <v>35</v>
      </c>
      <c r="F59" s="2" t="s">
        <v>491</v>
      </c>
      <c r="G59" s="2">
        <v>10.007999999999999</v>
      </c>
      <c r="H59" s="2">
        <v>10.007999999999999</v>
      </c>
      <c r="I59" s="2" t="s">
        <v>122</v>
      </c>
    </row>
    <row r="60" spans="1:9" x14ac:dyDescent="0.35">
      <c r="A60" s="2">
        <v>202602</v>
      </c>
      <c r="B60" s="2">
        <v>1400</v>
      </c>
      <c r="C60" s="2">
        <v>6300</v>
      </c>
      <c r="D60" s="2" t="s">
        <v>54</v>
      </c>
      <c r="E60" s="2" t="s">
        <v>35</v>
      </c>
      <c r="F60" s="2" t="s">
        <v>492</v>
      </c>
      <c r="G60" s="2">
        <v>3.4449999999999998</v>
      </c>
      <c r="H60" s="2">
        <v>3.4449999999999998</v>
      </c>
      <c r="I60" s="2" t="s">
        <v>122</v>
      </c>
    </row>
    <row r="61" spans="1:9" x14ac:dyDescent="0.35">
      <c r="A61" s="2">
        <v>202602</v>
      </c>
      <c r="B61" s="2">
        <v>1400</v>
      </c>
      <c r="C61" s="2">
        <v>6050</v>
      </c>
      <c r="D61" s="2" t="s">
        <v>493</v>
      </c>
      <c r="E61" s="2" t="s">
        <v>35</v>
      </c>
      <c r="F61" s="2" t="s">
        <v>494</v>
      </c>
      <c r="G61" s="2">
        <v>0.99</v>
      </c>
      <c r="H61" s="2">
        <v>0.99</v>
      </c>
      <c r="I61" s="2" t="s">
        <v>122</v>
      </c>
    </row>
    <row r="62" spans="1:9" x14ac:dyDescent="0.35">
      <c r="A62" s="2">
        <v>202602</v>
      </c>
      <c r="B62" s="2">
        <v>1500</v>
      </c>
      <c r="C62" s="2">
        <v>3900</v>
      </c>
      <c r="D62" s="2" t="s">
        <v>31</v>
      </c>
      <c r="E62" s="2" t="s">
        <v>15</v>
      </c>
      <c r="F62" s="2" t="s">
        <v>485</v>
      </c>
      <c r="G62" s="2">
        <v>10.28</v>
      </c>
      <c r="H62" s="2">
        <v>-10.28</v>
      </c>
      <c r="I62" s="2" t="s">
        <v>122</v>
      </c>
    </row>
    <row r="63" spans="1:9" x14ac:dyDescent="0.35">
      <c r="A63" s="2">
        <v>202602</v>
      </c>
      <c r="B63" s="2">
        <v>1500</v>
      </c>
      <c r="C63" s="2">
        <v>3400</v>
      </c>
      <c r="D63" s="2" t="s">
        <v>486</v>
      </c>
      <c r="E63" s="2" t="s">
        <v>15</v>
      </c>
      <c r="F63" s="2" t="s">
        <v>487</v>
      </c>
      <c r="G63" s="2">
        <v>0.748</v>
      </c>
      <c r="H63" s="2">
        <v>-0.748</v>
      </c>
      <c r="I63" s="2" t="s">
        <v>122</v>
      </c>
    </row>
    <row r="64" spans="1:9" x14ac:dyDescent="0.35">
      <c r="A64" s="2">
        <v>202602</v>
      </c>
      <c r="B64" s="2">
        <v>1500</v>
      </c>
      <c r="C64" s="2">
        <v>3670</v>
      </c>
      <c r="D64" s="2" t="s">
        <v>488</v>
      </c>
      <c r="E64" s="2" t="s">
        <v>15</v>
      </c>
      <c r="F64" s="2" t="s">
        <v>489</v>
      </c>
      <c r="G64" s="2">
        <v>0.58199999999999996</v>
      </c>
      <c r="H64" s="2">
        <v>-0.58199999999999996</v>
      </c>
      <c r="I64" s="2" t="s">
        <v>122</v>
      </c>
    </row>
    <row r="65" spans="1:9" x14ac:dyDescent="0.35">
      <c r="A65" s="2">
        <v>202602</v>
      </c>
      <c r="B65" s="2">
        <v>1500</v>
      </c>
      <c r="C65" s="2">
        <v>5000</v>
      </c>
      <c r="D65" s="2" t="s">
        <v>490</v>
      </c>
      <c r="E65" s="2" t="s">
        <v>35</v>
      </c>
      <c r="F65" s="2" t="s">
        <v>491</v>
      </c>
      <c r="G65" s="2">
        <v>7.7</v>
      </c>
      <c r="H65" s="2">
        <v>7.7</v>
      </c>
      <c r="I65" s="2" t="s">
        <v>122</v>
      </c>
    </row>
    <row r="66" spans="1:9" x14ac:dyDescent="0.35">
      <c r="A66" s="2">
        <v>202602</v>
      </c>
      <c r="B66" s="2">
        <v>1500</v>
      </c>
      <c r="C66" s="2">
        <v>6300</v>
      </c>
      <c r="D66" s="2" t="s">
        <v>54</v>
      </c>
      <c r="E66" s="2" t="s">
        <v>35</v>
      </c>
      <c r="F66" s="2" t="s">
        <v>492</v>
      </c>
      <c r="G66" s="2">
        <v>2.65</v>
      </c>
      <c r="H66" s="2">
        <v>2.65</v>
      </c>
      <c r="I66" s="2" t="s">
        <v>122</v>
      </c>
    </row>
    <row r="67" spans="1:9" x14ac:dyDescent="0.35">
      <c r="A67" s="2">
        <v>202602</v>
      </c>
      <c r="B67" s="2">
        <v>1500</v>
      </c>
      <c r="C67" s="2">
        <v>6050</v>
      </c>
      <c r="D67" s="2" t="s">
        <v>493</v>
      </c>
      <c r="E67" s="2" t="s">
        <v>35</v>
      </c>
      <c r="F67" s="2" t="s">
        <v>494</v>
      </c>
      <c r="G67" s="2">
        <v>0.77</v>
      </c>
      <c r="H67" s="2">
        <v>0.77</v>
      </c>
      <c r="I67" s="2" t="s">
        <v>122</v>
      </c>
    </row>
    <row r="68" spans="1:9" x14ac:dyDescent="0.35">
      <c r="A68" s="2">
        <v>202602</v>
      </c>
      <c r="B68" s="2">
        <v>1900</v>
      </c>
      <c r="C68" s="2">
        <v>3900</v>
      </c>
      <c r="D68" s="2" t="s">
        <v>31</v>
      </c>
      <c r="E68" s="2" t="s">
        <v>15</v>
      </c>
      <c r="F68" s="2" t="s">
        <v>485</v>
      </c>
      <c r="G68" s="2">
        <v>7.1980000000000004</v>
      </c>
      <c r="H68" s="2">
        <v>-7.1980000000000004</v>
      </c>
      <c r="I68" s="2" t="s">
        <v>122</v>
      </c>
    </row>
    <row r="69" spans="1:9" x14ac:dyDescent="0.35">
      <c r="A69" s="2">
        <v>202602</v>
      </c>
      <c r="B69" s="2">
        <v>1900</v>
      </c>
      <c r="C69" s="2">
        <v>3400</v>
      </c>
      <c r="D69" s="2" t="s">
        <v>486</v>
      </c>
      <c r="E69" s="2" t="s">
        <v>15</v>
      </c>
      <c r="F69" s="2" t="s">
        <v>487</v>
      </c>
      <c r="G69" s="2">
        <v>0.224</v>
      </c>
      <c r="H69" s="2">
        <v>-0.224</v>
      </c>
      <c r="I69" s="2" t="s">
        <v>122</v>
      </c>
    </row>
    <row r="70" spans="1:9" x14ac:dyDescent="0.35">
      <c r="A70" s="2">
        <v>202602</v>
      </c>
      <c r="B70" s="2">
        <v>1900</v>
      </c>
      <c r="C70" s="2">
        <v>3670</v>
      </c>
      <c r="D70" s="2" t="s">
        <v>488</v>
      </c>
      <c r="E70" s="2" t="s">
        <v>15</v>
      </c>
      <c r="F70" s="2" t="s">
        <v>489</v>
      </c>
      <c r="G70" s="2">
        <v>1.875</v>
      </c>
      <c r="H70" s="2">
        <v>-1.875</v>
      </c>
      <c r="I70" s="2" t="s">
        <v>122</v>
      </c>
    </row>
    <row r="71" spans="1:9" x14ac:dyDescent="0.35">
      <c r="A71" s="2">
        <v>202602</v>
      </c>
      <c r="B71" s="2">
        <v>1900</v>
      </c>
      <c r="C71" s="2">
        <v>5000</v>
      </c>
      <c r="D71" s="2" t="s">
        <v>490</v>
      </c>
      <c r="E71" s="2" t="s">
        <v>35</v>
      </c>
      <c r="F71" s="2" t="s">
        <v>491</v>
      </c>
      <c r="G71" s="2">
        <v>6.1580000000000004</v>
      </c>
      <c r="H71" s="2">
        <v>6.1580000000000004</v>
      </c>
      <c r="I71" s="2" t="s">
        <v>122</v>
      </c>
    </row>
    <row r="72" spans="1:9" x14ac:dyDescent="0.35">
      <c r="A72" s="2">
        <v>202602</v>
      </c>
      <c r="B72" s="2">
        <v>1900</v>
      </c>
      <c r="C72" s="2">
        <v>6300</v>
      </c>
      <c r="D72" s="2" t="s">
        <v>54</v>
      </c>
      <c r="E72" s="2" t="s">
        <v>35</v>
      </c>
      <c r="F72" s="2" t="s">
        <v>492</v>
      </c>
      <c r="G72" s="2">
        <v>2.12</v>
      </c>
      <c r="H72" s="2">
        <v>2.12</v>
      </c>
      <c r="I72" s="2" t="s">
        <v>122</v>
      </c>
    </row>
    <row r="73" spans="1:9" x14ac:dyDescent="0.35">
      <c r="A73" s="2">
        <v>202602</v>
      </c>
      <c r="B73" s="2">
        <v>1900</v>
      </c>
      <c r="C73" s="2">
        <v>6050</v>
      </c>
      <c r="D73" s="2" t="s">
        <v>493</v>
      </c>
      <c r="E73" s="2" t="s">
        <v>35</v>
      </c>
      <c r="F73" s="2" t="s">
        <v>494</v>
      </c>
      <c r="G73" s="2">
        <v>0.99</v>
      </c>
      <c r="H73" s="2">
        <v>0.99</v>
      </c>
      <c r="I73" s="2" t="s">
        <v>122</v>
      </c>
    </row>
    <row r="74" spans="1:9" x14ac:dyDescent="0.35">
      <c r="A74" s="2">
        <v>202603</v>
      </c>
      <c r="B74" s="2">
        <v>1100</v>
      </c>
      <c r="C74" s="2">
        <v>3900</v>
      </c>
      <c r="D74" s="2" t="s">
        <v>31</v>
      </c>
      <c r="E74" s="2" t="s">
        <v>15</v>
      </c>
      <c r="F74" s="2" t="s">
        <v>485</v>
      </c>
      <c r="G74" s="2">
        <v>20.56</v>
      </c>
      <c r="H74" s="2">
        <v>-20.56</v>
      </c>
      <c r="I74" s="2" t="s">
        <v>122</v>
      </c>
    </row>
    <row r="75" spans="1:9" x14ac:dyDescent="0.35">
      <c r="A75" s="2">
        <v>202603</v>
      </c>
      <c r="B75" s="2">
        <v>1100</v>
      </c>
      <c r="C75" s="2">
        <v>3400</v>
      </c>
      <c r="D75" s="2" t="s">
        <v>486</v>
      </c>
      <c r="E75" s="2" t="s">
        <v>15</v>
      </c>
      <c r="F75" s="2" t="s">
        <v>487</v>
      </c>
      <c r="G75" s="2">
        <v>1.8069999999999999</v>
      </c>
      <c r="H75" s="2">
        <v>-1.8069999999999999</v>
      </c>
      <c r="I75" s="2" t="s">
        <v>122</v>
      </c>
    </row>
    <row r="76" spans="1:9" x14ac:dyDescent="0.35">
      <c r="A76" s="2">
        <v>202603</v>
      </c>
      <c r="B76" s="2">
        <v>1100</v>
      </c>
      <c r="C76" s="2">
        <v>3670</v>
      </c>
      <c r="D76" s="2" t="s">
        <v>488</v>
      </c>
      <c r="E76" s="2" t="s">
        <v>15</v>
      </c>
      <c r="F76" s="2" t="s">
        <v>489</v>
      </c>
      <c r="G76" s="2">
        <v>0.63600000000000001</v>
      </c>
      <c r="H76" s="2">
        <v>-0.63600000000000001</v>
      </c>
      <c r="I76" s="2" t="s">
        <v>122</v>
      </c>
    </row>
    <row r="77" spans="1:9" x14ac:dyDescent="0.35">
      <c r="A77" s="2">
        <v>202603</v>
      </c>
      <c r="B77" s="2">
        <v>1100</v>
      </c>
      <c r="C77" s="2">
        <v>5000</v>
      </c>
      <c r="D77" s="2" t="s">
        <v>490</v>
      </c>
      <c r="E77" s="2" t="s">
        <v>35</v>
      </c>
      <c r="F77" s="2" t="s">
        <v>491</v>
      </c>
      <c r="G77" s="2">
        <v>14.917999999999999</v>
      </c>
      <c r="H77" s="2">
        <v>14.917999999999999</v>
      </c>
      <c r="I77" s="2" t="s">
        <v>122</v>
      </c>
    </row>
    <row r="78" spans="1:9" x14ac:dyDescent="0.35">
      <c r="A78" s="2">
        <v>202603</v>
      </c>
      <c r="B78" s="2">
        <v>1100</v>
      </c>
      <c r="C78" s="2">
        <v>6300</v>
      </c>
      <c r="D78" s="2" t="s">
        <v>54</v>
      </c>
      <c r="E78" s="2" t="s">
        <v>35</v>
      </c>
      <c r="F78" s="2" t="s">
        <v>492</v>
      </c>
      <c r="G78" s="2">
        <v>5.7</v>
      </c>
      <c r="H78" s="2">
        <v>5.7</v>
      </c>
      <c r="I78" s="2" t="s">
        <v>122</v>
      </c>
    </row>
    <row r="79" spans="1:9" x14ac:dyDescent="0.35">
      <c r="A79" s="2">
        <v>202603</v>
      </c>
      <c r="B79" s="2">
        <v>1100</v>
      </c>
      <c r="C79" s="2">
        <v>6050</v>
      </c>
      <c r="D79" s="2" t="s">
        <v>493</v>
      </c>
      <c r="E79" s="2" t="s">
        <v>35</v>
      </c>
      <c r="F79" s="2" t="s">
        <v>494</v>
      </c>
      <c r="G79" s="2">
        <v>2.375</v>
      </c>
      <c r="H79" s="2">
        <v>2.375</v>
      </c>
      <c r="I79" s="2" t="s">
        <v>122</v>
      </c>
    </row>
    <row r="80" spans="1:9" x14ac:dyDescent="0.35">
      <c r="A80" s="2">
        <v>202603</v>
      </c>
      <c r="B80" s="2">
        <v>1200</v>
      </c>
      <c r="C80" s="2">
        <v>3900</v>
      </c>
      <c r="D80" s="2" t="s">
        <v>31</v>
      </c>
      <c r="E80" s="2" t="s">
        <v>15</v>
      </c>
      <c r="F80" s="2" t="s">
        <v>485</v>
      </c>
      <c r="G80" s="2">
        <v>27.757999999999999</v>
      </c>
      <c r="H80" s="2">
        <v>-27.757999999999999</v>
      </c>
      <c r="I80" s="2" t="s">
        <v>122</v>
      </c>
    </row>
    <row r="81" spans="1:9" x14ac:dyDescent="0.35">
      <c r="A81" s="2">
        <v>202603</v>
      </c>
      <c r="B81" s="2">
        <v>1200</v>
      </c>
      <c r="C81" s="2">
        <v>3400</v>
      </c>
      <c r="D81" s="2" t="s">
        <v>486</v>
      </c>
      <c r="E81" s="2" t="s">
        <v>15</v>
      </c>
      <c r="F81" s="2" t="s">
        <v>487</v>
      </c>
      <c r="G81" s="2">
        <v>3.9409999999999998</v>
      </c>
      <c r="H81" s="2">
        <v>-3.9409999999999998</v>
      </c>
      <c r="I81" s="2" t="s">
        <v>122</v>
      </c>
    </row>
    <row r="82" spans="1:9" x14ac:dyDescent="0.35">
      <c r="A82" s="2">
        <v>202603</v>
      </c>
      <c r="B82" s="2">
        <v>1200</v>
      </c>
      <c r="C82" s="2">
        <v>3670</v>
      </c>
      <c r="D82" s="2" t="s">
        <v>488</v>
      </c>
      <c r="E82" s="2" t="s">
        <v>15</v>
      </c>
      <c r="F82" s="2" t="s">
        <v>489</v>
      </c>
      <c r="G82" s="2">
        <v>1.599</v>
      </c>
      <c r="H82" s="2">
        <v>-1.599</v>
      </c>
      <c r="I82" s="2" t="s">
        <v>122</v>
      </c>
    </row>
    <row r="83" spans="1:9" x14ac:dyDescent="0.35">
      <c r="A83" s="2">
        <v>202603</v>
      </c>
      <c r="B83" s="2">
        <v>1200</v>
      </c>
      <c r="C83" s="2">
        <v>5000</v>
      </c>
      <c r="D83" s="2" t="s">
        <v>490</v>
      </c>
      <c r="E83" s="2" t="s">
        <v>35</v>
      </c>
      <c r="F83" s="2" t="s">
        <v>491</v>
      </c>
      <c r="G83" s="2">
        <v>21.196999999999999</v>
      </c>
      <c r="H83" s="2">
        <v>21.196999999999999</v>
      </c>
      <c r="I83" s="2" t="s">
        <v>122</v>
      </c>
    </row>
    <row r="84" spans="1:9" x14ac:dyDescent="0.35">
      <c r="A84" s="2">
        <v>202603</v>
      </c>
      <c r="B84" s="2">
        <v>1200</v>
      </c>
      <c r="C84" s="2">
        <v>6300</v>
      </c>
      <c r="D84" s="2" t="s">
        <v>54</v>
      </c>
      <c r="E84" s="2" t="s">
        <v>35</v>
      </c>
      <c r="F84" s="2" t="s">
        <v>492</v>
      </c>
      <c r="G84" s="2">
        <v>8.1</v>
      </c>
      <c r="H84" s="2">
        <v>8.1</v>
      </c>
      <c r="I84" s="2" t="s">
        <v>122</v>
      </c>
    </row>
    <row r="85" spans="1:9" x14ac:dyDescent="0.35">
      <c r="A85" s="2">
        <v>202603</v>
      </c>
      <c r="B85" s="2">
        <v>1200</v>
      </c>
      <c r="C85" s="2">
        <v>6050</v>
      </c>
      <c r="D85" s="2" t="s">
        <v>493</v>
      </c>
      <c r="E85" s="2" t="s">
        <v>35</v>
      </c>
      <c r="F85" s="2" t="s">
        <v>494</v>
      </c>
      <c r="G85" s="2">
        <v>4.375</v>
      </c>
      <c r="H85" s="2">
        <v>4.375</v>
      </c>
      <c r="I85" s="2" t="s">
        <v>122</v>
      </c>
    </row>
    <row r="86" spans="1:9" x14ac:dyDescent="0.35">
      <c r="A86" s="2">
        <v>202603</v>
      </c>
      <c r="B86" s="2">
        <v>1300</v>
      </c>
      <c r="C86" s="2">
        <v>3900</v>
      </c>
      <c r="D86" s="2" t="s">
        <v>31</v>
      </c>
      <c r="E86" s="2" t="s">
        <v>15</v>
      </c>
      <c r="F86" s="2" t="s">
        <v>485</v>
      </c>
      <c r="G86" s="2">
        <v>23.641999999999999</v>
      </c>
      <c r="H86" s="2">
        <v>-23.641999999999999</v>
      </c>
      <c r="I86" s="2" t="s">
        <v>122</v>
      </c>
    </row>
    <row r="87" spans="1:9" x14ac:dyDescent="0.35">
      <c r="A87" s="2">
        <v>202603</v>
      </c>
      <c r="B87" s="2">
        <v>1300</v>
      </c>
      <c r="C87" s="2">
        <v>3400</v>
      </c>
      <c r="D87" s="2" t="s">
        <v>486</v>
      </c>
      <c r="E87" s="2" t="s">
        <v>15</v>
      </c>
      <c r="F87" s="2" t="s">
        <v>487</v>
      </c>
      <c r="G87" s="2">
        <v>2.0529999999999999</v>
      </c>
      <c r="H87" s="2">
        <v>-2.0529999999999999</v>
      </c>
      <c r="I87" s="2" t="s">
        <v>122</v>
      </c>
    </row>
    <row r="88" spans="1:9" x14ac:dyDescent="0.35">
      <c r="A88" s="2">
        <v>202603</v>
      </c>
      <c r="B88" s="2">
        <v>1300</v>
      </c>
      <c r="C88" s="2">
        <v>3670</v>
      </c>
      <c r="D88" s="2" t="s">
        <v>488</v>
      </c>
      <c r="E88" s="2" t="s">
        <v>15</v>
      </c>
      <c r="F88" s="2" t="s">
        <v>489</v>
      </c>
      <c r="G88" s="2">
        <v>1.2070000000000001</v>
      </c>
      <c r="H88" s="2">
        <v>-1.2070000000000001</v>
      </c>
      <c r="I88" s="2" t="s">
        <v>122</v>
      </c>
    </row>
    <row r="89" spans="1:9" x14ac:dyDescent="0.35">
      <c r="A89" s="2">
        <v>202603</v>
      </c>
      <c r="B89" s="2">
        <v>1300</v>
      </c>
      <c r="C89" s="2">
        <v>5000</v>
      </c>
      <c r="D89" s="2" t="s">
        <v>490</v>
      </c>
      <c r="E89" s="2" t="s">
        <v>35</v>
      </c>
      <c r="F89" s="2" t="s">
        <v>491</v>
      </c>
      <c r="G89" s="2">
        <v>18.053000000000001</v>
      </c>
      <c r="H89" s="2">
        <v>18.053000000000001</v>
      </c>
      <c r="I89" s="2" t="s">
        <v>122</v>
      </c>
    </row>
    <row r="90" spans="1:9" x14ac:dyDescent="0.35">
      <c r="A90" s="2">
        <v>202603</v>
      </c>
      <c r="B90" s="2">
        <v>1300</v>
      </c>
      <c r="C90" s="2">
        <v>6300</v>
      </c>
      <c r="D90" s="2" t="s">
        <v>54</v>
      </c>
      <c r="E90" s="2" t="s">
        <v>35</v>
      </c>
      <c r="F90" s="2" t="s">
        <v>492</v>
      </c>
      <c r="G90" s="2">
        <v>6.9</v>
      </c>
      <c r="H90" s="2">
        <v>6.9</v>
      </c>
      <c r="I90" s="2" t="s">
        <v>122</v>
      </c>
    </row>
    <row r="91" spans="1:9" x14ac:dyDescent="0.35">
      <c r="A91" s="2">
        <v>202603</v>
      </c>
      <c r="B91" s="2">
        <v>1300</v>
      </c>
      <c r="C91" s="2">
        <v>6050</v>
      </c>
      <c r="D91" s="2" t="s">
        <v>493</v>
      </c>
      <c r="E91" s="2" t="s">
        <v>35</v>
      </c>
      <c r="F91" s="2" t="s">
        <v>494</v>
      </c>
      <c r="G91" s="2">
        <v>2.625</v>
      </c>
      <c r="H91" s="2">
        <v>2.625</v>
      </c>
      <c r="I91" s="2" t="s">
        <v>122</v>
      </c>
    </row>
    <row r="92" spans="1:9" x14ac:dyDescent="0.35">
      <c r="A92" s="2">
        <v>202603</v>
      </c>
      <c r="B92" s="2">
        <v>1400</v>
      </c>
      <c r="C92" s="2">
        <v>3900</v>
      </c>
      <c r="D92" s="2" t="s">
        <v>31</v>
      </c>
      <c r="E92" s="2" t="s">
        <v>15</v>
      </c>
      <c r="F92" s="2" t="s">
        <v>485</v>
      </c>
      <c r="G92" s="2">
        <v>13.362</v>
      </c>
      <c r="H92" s="2">
        <v>-13.362</v>
      </c>
      <c r="I92" s="2" t="s">
        <v>122</v>
      </c>
    </row>
    <row r="93" spans="1:9" x14ac:dyDescent="0.35">
      <c r="A93" s="2">
        <v>202603</v>
      </c>
      <c r="B93" s="2">
        <v>1400</v>
      </c>
      <c r="C93" s="2">
        <v>3400</v>
      </c>
      <c r="D93" s="2" t="s">
        <v>486</v>
      </c>
      <c r="E93" s="2" t="s">
        <v>15</v>
      </c>
      <c r="F93" s="2" t="s">
        <v>487</v>
      </c>
      <c r="G93" s="2">
        <v>1.232</v>
      </c>
      <c r="H93" s="2">
        <v>-1.232</v>
      </c>
      <c r="I93" s="2" t="s">
        <v>122</v>
      </c>
    </row>
    <row r="94" spans="1:9" x14ac:dyDescent="0.35">
      <c r="A94" s="2">
        <v>202603</v>
      </c>
      <c r="B94" s="2">
        <v>1400</v>
      </c>
      <c r="C94" s="2">
        <v>3670</v>
      </c>
      <c r="D94" s="2" t="s">
        <v>488</v>
      </c>
      <c r="E94" s="2" t="s">
        <v>15</v>
      </c>
      <c r="F94" s="2" t="s">
        <v>489</v>
      </c>
      <c r="G94" s="2">
        <v>0.72599999999999998</v>
      </c>
      <c r="H94" s="2">
        <v>-0.72599999999999998</v>
      </c>
      <c r="I94" s="2" t="s">
        <v>122</v>
      </c>
    </row>
    <row r="95" spans="1:9" x14ac:dyDescent="0.35">
      <c r="A95" s="2">
        <v>202603</v>
      </c>
      <c r="B95" s="2">
        <v>1400</v>
      </c>
      <c r="C95" s="2">
        <v>5000</v>
      </c>
      <c r="D95" s="2" t="s">
        <v>490</v>
      </c>
      <c r="E95" s="2" t="s">
        <v>35</v>
      </c>
      <c r="F95" s="2" t="s">
        <v>491</v>
      </c>
      <c r="G95" s="2">
        <v>10.202999999999999</v>
      </c>
      <c r="H95" s="2">
        <v>10.202999999999999</v>
      </c>
      <c r="I95" s="2" t="s">
        <v>122</v>
      </c>
    </row>
    <row r="96" spans="1:9" x14ac:dyDescent="0.35">
      <c r="A96" s="2">
        <v>202603</v>
      </c>
      <c r="B96" s="2">
        <v>1400</v>
      </c>
      <c r="C96" s="2">
        <v>6300</v>
      </c>
      <c r="D96" s="2" t="s">
        <v>54</v>
      </c>
      <c r="E96" s="2" t="s">
        <v>35</v>
      </c>
      <c r="F96" s="2" t="s">
        <v>492</v>
      </c>
      <c r="G96" s="2">
        <v>3.9</v>
      </c>
      <c r="H96" s="2">
        <v>3.9</v>
      </c>
      <c r="I96" s="2" t="s">
        <v>122</v>
      </c>
    </row>
    <row r="97" spans="1:9" x14ac:dyDescent="0.35">
      <c r="A97" s="2">
        <v>202603</v>
      </c>
      <c r="B97" s="2">
        <v>1400</v>
      </c>
      <c r="C97" s="2">
        <v>6050</v>
      </c>
      <c r="D97" s="2" t="s">
        <v>493</v>
      </c>
      <c r="E97" s="2" t="s">
        <v>35</v>
      </c>
      <c r="F97" s="2" t="s">
        <v>494</v>
      </c>
      <c r="G97" s="2">
        <v>1.125</v>
      </c>
      <c r="H97" s="2">
        <v>1.125</v>
      </c>
      <c r="I97" s="2" t="s">
        <v>122</v>
      </c>
    </row>
    <row r="98" spans="1:9" x14ac:dyDescent="0.35">
      <c r="A98" s="2">
        <v>202603</v>
      </c>
      <c r="B98" s="2">
        <v>1500</v>
      </c>
      <c r="C98" s="2">
        <v>3900</v>
      </c>
      <c r="D98" s="2" t="s">
        <v>31</v>
      </c>
      <c r="E98" s="2" t="s">
        <v>15</v>
      </c>
      <c r="F98" s="2" t="s">
        <v>485</v>
      </c>
      <c r="G98" s="2">
        <v>10.28</v>
      </c>
      <c r="H98" s="2">
        <v>-10.28</v>
      </c>
      <c r="I98" s="2" t="s">
        <v>122</v>
      </c>
    </row>
    <row r="99" spans="1:9" x14ac:dyDescent="0.35">
      <c r="A99" s="2">
        <v>202603</v>
      </c>
      <c r="B99" s="2">
        <v>1500</v>
      </c>
      <c r="C99" s="2">
        <v>3400</v>
      </c>
      <c r="D99" s="2" t="s">
        <v>486</v>
      </c>
      <c r="E99" s="2" t="s">
        <v>15</v>
      </c>
      <c r="F99" s="2" t="s">
        <v>487</v>
      </c>
      <c r="G99" s="2">
        <v>0.82099999999999995</v>
      </c>
      <c r="H99" s="2">
        <v>-0.82099999999999995</v>
      </c>
      <c r="I99" s="2" t="s">
        <v>122</v>
      </c>
    </row>
    <row r="100" spans="1:9" x14ac:dyDescent="0.35">
      <c r="A100" s="2">
        <v>202603</v>
      </c>
      <c r="B100" s="2">
        <v>1500</v>
      </c>
      <c r="C100" s="2">
        <v>3670</v>
      </c>
      <c r="D100" s="2" t="s">
        <v>488</v>
      </c>
      <c r="E100" s="2" t="s">
        <v>15</v>
      </c>
      <c r="F100" s="2" t="s">
        <v>489</v>
      </c>
      <c r="G100" s="2">
        <v>0.48099999999999998</v>
      </c>
      <c r="H100" s="2">
        <v>-0.48099999999999998</v>
      </c>
      <c r="I100" s="2" t="s">
        <v>122</v>
      </c>
    </row>
    <row r="101" spans="1:9" x14ac:dyDescent="0.35">
      <c r="A101" s="2">
        <v>202603</v>
      </c>
      <c r="B101" s="2">
        <v>1500</v>
      </c>
      <c r="C101" s="2">
        <v>5000</v>
      </c>
      <c r="D101" s="2" t="s">
        <v>490</v>
      </c>
      <c r="E101" s="2" t="s">
        <v>35</v>
      </c>
      <c r="F101" s="2" t="s">
        <v>491</v>
      </c>
      <c r="G101" s="2">
        <v>7.85</v>
      </c>
      <c r="H101" s="2">
        <v>7.85</v>
      </c>
      <c r="I101" s="2" t="s">
        <v>122</v>
      </c>
    </row>
    <row r="102" spans="1:9" x14ac:dyDescent="0.35">
      <c r="A102" s="2">
        <v>202603</v>
      </c>
      <c r="B102" s="2">
        <v>1500</v>
      </c>
      <c r="C102" s="2">
        <v>6300</v>
      </c>
      <c r="D102" s="2" t="s">
        <v>54</v>
      </c>
      <c r="E102" s="2" t="s">
        <v>35</v>
      </c>
      <c r="F102" s="2" t="s">
        <v>492</v>
      </c>
      <c r="G102" s="2">
        <v>3</v>
      </c>
      <c r="H102" s="2">
        <v>3</v>
      </c>
      <c r="I102" s="2" t="s">
        <v>122</v>
      </c>
    </row>
    <row r="103" spans="1:9" x14ac:dyDescent="0.35">
      <c r="A103" s="2">
        <v>202603</v>
      </c>
      <c r="B103" s="2">
        <v>1500</v>
      </c>
      <c r="C103" s="2">
        <v>6050</v>
      </c>
      <c r="D103" s="2" t="s">
        <v>493</v>
      </c>
      <c r="E103" s="2" t="s">
        <v>35</v>
      </c>
      <c r="F103" s="2" t="s">
        <v>494</v>
      </c>
      <c r="G103" s="2">
        <v>0.875</v>
      </c>
      <c r="H103" s="2">
        <v>0.875</v>
      </c>
      <c r="I103" s="2" t="s">
        <v>122</v>
      </c>
    </row>
    <row r="104" spans="1:9" x14ac:dyDescent="0.35">
      <c r="A104" s="2">
        <v>202603</v>
      </c>
      <c r="B104" s="2">
        <v>1900</v>
      </c>
      <c r="C104" s="2">
        <v>3900</v>
      </c>
      <c r="D104" s="2" t="s">
        <v>31</v>
      </c>
      <c r="E104" s="2" t="s">
        <v>15</v>
      </c>
      <c r="F104" s="2" t="s">
        <v>485</v>
      </c>
      <c r="G104" s="2">
        <v>7.1980000000000004</v>
      </c>
      <c r="H104" s="2">
        <v>-7.1980000000000004</v>
      </c>
      <c r="I104" s="2" t="s">
        <v>122</v>
      </c>
    </row>
    <row r="105" spans="1:9" x14ac:dyDescent="0.35">
      <c r="A105" s="2">
        <v>202603</v>
      </c>
      <c r="B105" s="2">
        <v>1900</v>
      </c>
      <c r="C105" s="2">
        <v>3400</v>
      </c>
      <c r="D105" s="2" t="s">
        <v>486</v>
      </c>
      <c r="E105" s="2" t="s">
        <v>15</v>
      </c>
      <c r="F105" s="2" t="s">
        <v>487</v>
      </c>
      <c r="G105" s="2">
        <v>0.246</v>
      </c>
      <c r="H105" s="2">
        <v>-0.246</v>
      </c>
      <c r="I105" s="2" t="s">
        <v>122</v>
      </c>
    </row>
    <row r="106" spans="1:9" x14ac:dyDescent="0.35">
      <c r="A106" s="2">
        <v>202603</v>
      </c>
      <c r="B106" s="2">
        <v>1900</v>
      </c>
      <c r="C106" s="2">
        <v>3670</v>
      </c>
      <c r="D106" s="2" t="s">
        <v>488</v>
      </c>
      <c r="E106" s="2" t="s">
        <v>15</v>
      </c>
      <c r="F106" s="2" t="s">
        <v>489</v>
      </c>
      <c r="G106" s="2">
        <v>1.55</v>
      </c>
      <c r="H106" s="2">
        <v>-1.55</v>
      </c>
      <c r="I106" s="2" t="s">
        <v>122</v>
      </c>
    </row>
    <row r="107" spans="1:9" x14ac:dyDescent="0.35">
      <c r="A107" s="2">
        <v>202603</v>
      </c>
      <c r="B107" s="2">
        <v>1900</v>
      </c>
      <c r="C107" s="2">
        <v>5000</v>
      </c>
      <c r="D107" s="2" t="s">
        <v>490</v>
      </c>
      <c r="E107" s="2" t="s">
        <v>35</v>
      </c>
      <c r="F107" s="2" t="s">
        <v>491</v>
      </c>
      <c r="G107" s="2">
        <v>6.2779999999999996</v>
      </c>
      <c r="H107" s="2">
        <v>6.2779999999999996</v>
      </c>
      <c r="I107" s="2" t="s">
        <v>122</v>
      </c>
    </row>
    <row r="108" spans="1:9" x14ac:dyDescent="0.35">
      <c r="A108" s="2">
        <v>202603</v>
      </c>
      <c r="B108" s="2">
        <v>1900</v>
      </c>
      <c r="C108" s="2">
        <v>6300</v>
      </c>
      <c r="D108" s="2" t="s">
        <v>54</v>
      </c>
      <c r="E108" s="2" t="s">
        <v>35</v>
      </c>
      <c r="F108" s="2" t="s">
        <v>492</v>
      </c>
      <c r="G108" s="2">
        <v>2.4</v>
      </c>
      <c r="H108" s="2">
        <v>2.4</v>
      </c>
      <c r="I108" s="2" t="s">
        <v>122</v>
      </c>
    </row>
    <row r="109" spans="1:9" x14ac:dyDescent="0.35">
      <c r="A109" s="2">
        <v>202603</v>
      </c>
      <c r="B109" s="2">
        <v>1900</v>
      </c>
      <c r="C109" s="2">
        <v>6050</v>
      </c>
      <c r="D109" s="2" t="s">
        <v>493</v>
      </c>
      <c r="E109" s="2" t="s">
        <v>35</v>
      </c>
      <c r="F109" s="2" t="s">
        <v>494</v>
      </c>
      <c r="G109" s="2">
        <v>1.125</v>
      </c>
      <c r="H109" s="2">
        <v>1.125</v>
      </c>
      <c r="I109" s="2" t="s">
        <v>122</v>
      </c>
    </row>
    <row r="110" spans="1:9" x14ac:dyDescent="0.35">
      <c r="A110" s="2">
        <v>202604</v>
      </c>
      <c r="B110" s="2">
        <v>1100</v>
      </c>
      <c r="C110" s="2">
        <v>3900</v>
      </c>
      <c r="D110" s="2" t="s">
        <v>31</v>
      </c>
      <c r="E110" s="2" t="s">
        <v>15</v>
      </c>
      <c r="F110" s="2" t="s">
        <v>485</v>
      </c>
      <c r="G110" s="2">
        <v>20.56</v>
      </c>
      <c r="H110" s="2">
        <v>-20.56</v>
      </c>
      <c r="I110" s="2" t="s">
        <v>122</v>
      </c>
    </row>
    <row r="111" spans="1:9" x14ac:dyDescent="0.35">
      <c r="A111" s="2">
        <v>202604</v>
      </c>
      <c r="B111" s="2">
        <v>1100</v>
      </c>
      <c r="C111" s="2">
        <v>3400</v>
      </c>
      <c r="D111" s="2" t="s">
        <v>486</v>
      </c>
      <c r="E111" s="2" t="s">
        <v>15</v>
      </c>
      <c r="F111" s="2" t="s">
        <v>487</v>
      </c>
      <c r="G111" s="2">
        <v>1.8779999999999999</v>
      </c>
      <c r="H111" s="2">
        <v>-1.8779999999999999</v>
      </c>
      <c r="I111" s="2" t="s">
        <v>122</v>
      </c>
    </row>
    <row r="112" spans="1:9" x14ac:dyDescent="0.35">
      <c r="A112" s="2">
        <v>202604</v>
      </c>
      <c r="B112" s="2">
        <v>1100</v>
      </c>
      <c r="C112" s="2">
        <v>3670</v>
      </c>
      <c r="D112" s="2" t="s">
        <v>488</v>
      </c>
      <c r="E112" s="2" t="s">
        <v>15</v>
      </c>
      <c r="F112" s="2" t="s">
        <v>489</v>
      </c>
      <c r="G112" s="2">
        <v>0.65700000000000003</v>
      </c>
      <c r="H112" s="2">
        <v>-0.65700000000000003</v>
      </c>
      <c r="I112" s="2" t="s">
        <v>122</v>
      </c>
    </row>
    <row r="113" spans="1:9" x14ac:dyDescent="0.35">
      <c r="A113" s="2">
        <v>202604</v>
      </c>
      <c r="B113" s="2">
        <v>1100</v>
      </c>
      <c r="C113" s="2">
        <v>5000</v>
      </c>
      <c r="D113" s="2" t="s">
        <v>490</v>
      </c>
      <c r="E113" s="2" t="s">
        <v>35</v>
      </c>
      <c r="F113" s="2" t="s">
        <v>491</v>
      </c>
      <c r="G113" s="2">
        <v>14.823</v>
      </c>
      <c r="H113" s="2">
        <v>14.823</v>
      </c>
      <c r="I113" s="2" t="s">
        <v>122</v>
      </c>
    </row>
    <row r="114" spans="1:9" x14ac:dyDescent="0.35">
      <c r="A114" s="2">
        <v>202604</v>
      </c>
      <c r="B114" s="2">
        <v>1100</v>
      </c>
      <c r="C114" s="2">
        <v>6300</v>
      </c>
      <c r="D114" s="2" t="s">
        <v>54</v>
      </c>
      <c r="E114" s="2" t="s">
        <v>35</v>
      </c>
      <c r="F114" s="2" t="s">
        <v>492</v>
      </c>
      <c r="G114" s="2">
        <v>5.415</v>
      </c>
      <c r="H114" s="2">
        <v>5.415</v>
      </c>
      <c r="I114" s="2" t="s">
        <v>122</v>
      </c>
    </row>
    <row r="115" spans="1:9" x14ac:dyDescent="0.35">
      <c r="A115" s="2">
        <v>202604</v>
      </c>
      <c r="B115" s="2">
        <v>1100</v>
      </c>
      <c r="C115" s="2">
        <v>6050</v>
      </c>
      <c r="D115" s="2" t="s">
        <v>493</v>
      </c>
      <c r="E115" s="2" t="s">
        <v>35</v>
      </c>
      <c r="F115" s="2" t="s">
        <v>494</v>
      </c>
      <c r="G115" s="2">
        <v>2.4700000000000002</v>
      </c>
      <c r="H115" s="2">
        <v>2.4700000000000002</v>
      </c>
      <c r="I115" s="2" t="s">
        <v>122</v>
      </c>
    </row>
    <row r="116" spans="1:9" x14ac:dyDescent="0.35">
      <c r="A116" s="2">
        <v>202604</v>
      </c>
      <c r="B116" s="2">
        <v>1200</v>
      </c>
      <c r="C116" s="2">
        <v>3900</v>
      </c>
      <c r="D116" s="2" t="s">
        <v>31</v>
      </c>
      <c r="E116" s="2" t="s">
        <v>15</v>
      </c>
      <c r="F116" s="2" t="s">
        <v>485</v>
      </c>
      <c r="G116" s="2">
        <v>27.757999999999999</v>
      </c>
      <c r="H116" s="2">
        <v>-27.757999999999999</v>
      </c>
      <c r="I116" s="2" t="s">
        <v>122</v>
      </c>
    </row>
    <row r="117" spans="1:9" x14ac:dyDescent="0.35">
      <c r="A117" s="2">
        <v>202604</v>
      </c>
      <c r="B117" s="2">
        <v>1200</v>
      </c>
      <c r="C117" s="2">
        <v>3400</v>
      </c>
      <c r="D117" s="2" t="s">
        <v>486</v>
      </c>
      <c r="E117" s="2" t="s">
        <v>15</v>
      </c>
      <c r="F117" s="2" t="s">
        <v>487</v>
      </c>
      <c r="G117" s="2">
        <v>4.0979999999999999</v>
      </c>
      <c r="H117" s="2">
        <v>-4.0979999999999999</v>
      </c>
      <c r="I117" s="2" t="s">
        <v>122</v>
      </c>
    </row>
    <row r="118" spans="1:9" x14ac:dyDescent="0.35">
      <c r="A118" s="2">
        <v>202604</v>
      </c>
      <c r="B118" s="2">
        <v>1200</v>
      </c>
      <c r="C118" s="2">
        <v>3670</v>
      </c>
      <c r="D118" s="2" t="s">
        <v>488</v>
      </c>
      <c r="E118" s="2" t="s">
        <v>15</v>
      </c>
      <c r="F118" s="2" t="s">
        <v>489</v>
      </c>
      <c r="G118" s="2">
        <v>1.651</v>
      </c>
      <c r="H118" s="2">
        <v>-1.651</v>
      </c>
      <c r="I118" s="2" t="s">
        <v>122</v>
      </c>
    </row>
    <row r="119" spans="1:9" x14ac:dyDescent="0.35">
      <c r="A119" s="2">
        <v>202604</v>
      </c>
      <c r="B119" s="2">
        <v>1200</v>
      </c>
      <c r="C119" s="2">
        <v>5000</v>
      </c>
      <c r="D119" s="2" t="s">
        <v>490</v>
      </c>
      <c r="E119" s="2" t="s">
        <v>35</v>
      </c>
      <c r="F119" s="2" t="s">
        <v>491</v>
      </c>
      <c r="G119" s="2">
        <v>21.062000000000001</v>
      </c>
      <c r="H119" s="2">
        <v>21.062000000000001</v>
      </c>
      <c r="I119" s="2" t="s">
        <v>122</v>
      </c>
    </row>
    <row r="120" spans="1:9" x14ac:dyDescent="0.35">
      <c r="A120" s="2">
        <v>202604</v>
      </c>
      <c r="B120" s="2">
        <v>1200</v>
      </c>
      <c r="C120" s="2">
        <v>6300</v>
      </c>
      <c r="D120" s="2" t="s">
        <v>54</v>
      </c>
      <c r="E120" s="2" t="s">
        <v>35</v>
      </c>
      <c r="F120" s="2" t="s">
        <v>492</v>
      </c>
      <c r="G120" s="2">
        <v>7.6950000000000003</v>
      </c>
      <c r="H120" s="2">
        <v>7.6950000000000003</v>
      </c>
      <c r="I120" s="2" t="s">
        <v>122</v>
      </c>
    </row>
    <row r="121" spans="1:9" x14ac:dyDescent="0.35">
      <c r="A121" s="2">
        <v>202604</v>
      </c>
      <c r="B121" s="2">
        <v>1200</v>
      </c>
      <c r="C121" s="2">
        <v>6050</v>
      </c>
      <c r="D121" s="2" t="s">
        <v>493</v>
      </c>
      <c r="E121" s="2" t="s">
        <v>35</v>
      </c>
      <c r="F121" s="2" t="s">
        <v>494</v>
      </c>
      <c r="G121" s="2">
        <v>4.55</v>
      </c>
      <c r="H121" s="2">
        <v>4.55</v>
      </c>
      <c r="I121" s="2" t="s">
        <v>122</v>
      </c>
    </row>
    <row r="122" spans="1:9" x14ac:dyDescent="0.35">
      <c r="A122" s="2">
        <v>202604</v>
      </c>
      <c r="B122" s="2">
        <v>1300</v>
      </c>
      <c r="C122" s="2">
        <v>3900</v>
      </c>
      <c r="D122" s="2" t="s">
        <v>31</v>
      </c>
      <c r="E122" s="2" t="s">
        <v>15</v>
      </c>
      <c r="F122" s="2" t="s">
        <v>485</v>
      </c>
      <c r="G122" s="2">
        <v>23.641999999999999</v>
      </c>
      <c r="H122" s="2">
        <v>-23.641999999999999</v>
      </c>
      <c r="I122" s="2" t="s">
        <v>122</v>
      </c>
    </row>
    <row r="123" spans="1:9" x14ac:dyDescent="0.35">
      <c r="A123" s="2">
        <v>202604</v>
      </c>
      <c r="B123" s="2">
        <v>1300</v>
      </c>
      <c r="C123" s="2">
        <v>3400</v>
      </c>
      <c r="D123" s="2" t="s">
        <v>486</v>
      </c>
      <c r="E123" s="2" t="s">
        <v>15</v>
      </c>
      <c r="F123" s="2" t="s">
        <v>487</v>
      </c>
      <c r="G123" s="2">
        <v>2.1339999999999999</v>
      </c>
      <c r="H123" s="2">
        <v>-2.1339999999999999</v>
      </c>
      <c r="I123" s="2" t="s">
        <v>122</v>
      </c>
    </row>
    <row r="124" spans="1:9" x14ac:dyDescent="0.35">
      <c r="A124" s="2">
        <v>202604</v>
      </c>
      <c r="B124" s="2">
        <v>1300</v>
      </c>
      <c r="C124" s="2">
        <v>3670</v>
      </c>
      <c r="D124" s="2" t="s">
        <v>488</v>
      </c>
      <c r="E124" s="2" t="s">
        <v>15</v>
      </c>
      <c r="F124" s="2" t="s">
        <v>489</v>
      </c>
      <c r="G124" s="2">
        <v>1.246</v>
      </c>
      <c r="H124" s="2">
        <v>-1.246</v>
      </c>
      <c r="I124" s="2" t="s">
        <v>122</v>
      </c>
    </row>
    <row r="125" spans="1:9" x14ac:dyDescent="0.35">
      <c r="A125" s="2">
        <v>202604</v>
      </c>
      <c r="B125" s="2">
        <v>1300</v>
      </c>
      <c r="C125" s="2">
        <v>5000</v>
      </c>
      <c r="D125" s="2" t="s">
        <v>490</v>
      </c>
      <c r="E125" s="2" t="s">
        <v>35</v>
      </c>
      <c r="F125" s="2" t="s">
        <v>491</v>
      </c>
      <c r="G125" s="2">
        <v>17.937999999999999</v>
      </c>
      <c r="H125" s="2">
        <v>17.937999999999999</v>
      </c>
      <c r="I125" s="2" t="s">
        <v>122</v>
      </c>
    </row>
    <row r="126" spans="1:9" x14ac:dyDescent="0.35">
      <c r="A126" s="2">
        <v>202604</v>
      </c>
      <c r="B126" s="2">
        <v>1300</v>
      </c>
      <c r="C126" s="2">
        <v>6300</v>
      </c>
      <c r="D126" s="2" t="s">
        <v>54</v>
      </c>
      <c r="E126" s="2" t="s">
        <v>35</v>
      </c>
      <c r="F126" s="2" t="s">
        <v>492</v>
      </c>
      <c r="G126" s="2">
        <v>6.5549999999999997</v>
      </c>
      <c r="H126" s="2">
        <v>6.5549999999999997</v>
      </c>
      <c r="I126" s="2" t="s">
        <v>122</v>
      </c>
    </row>
    <row r="127" spans="1:9" x14ac:dyDescent="0.35">
      <c r="A127" s="2">
        <v>202604</v>
      </c>
      <c r="B127" s="2">
        <v>1300</v>
      </c>
      <c r="C127" s="2">
        <v>6050</v>
      </c>
      <c r="D127" s="2" t="s">
        <v>493</v>
      </c>
      <c r="E127" s="2" t="s">
        <v>35</v>
      </c>
      <c r="F127" s="2" t="s">
        <v>494</v>
      </c>
      <c r="G127" s="2">
        <v>2.73</v>
      </c>
      <c r="H127" s="2">
        <v>2.73</v>
      </c>
      <c r="I127" s="2" t="s">
        <v>122</v>
      </c>
    </row>
    <row r="128" spans="1:9" x14ac:dyDescent="0.35">
      <c r="A128" s="2">
        <v>202604</v>
      </c>
      <c r="B128" s="2">
        <v>1400</v>
      </c>
      <c r="C128" s="2">
        <v>3900</v>
      </c>
      <c r="D128" s="2" t="s">
        <v>31</v>
      </c>
      <c r="E128" s="2" t="s">
        <v>15</v>
      </c>
      <c r="F128" s="2" t="s">
        <v>485</v>
      </c>
      <c r="G128" s="2">
        <v>13.362</v>
      </c>
      <c r="H128" s="2">
        <v>-13.362</v>
      </c>
      <c r="I128" s="2" t="s">
        <v>122</v>
      </c>
    </row>
    <row r="129" spans="1:9" x14ac:dyDescent="0.35">
      <c r="A129" s="2">
        <v>202604</v>
      </c>
      <c r="B129" s="2">
        <v>1400</v>
      </c>
      <c r="C129" s="2">
        <v>3400</v>
      </c>
      <c r="D129" s="2" t="s">
        <v>486</v>
      </c>
      <c r="E129" s="2" t="s">
        <v>15</v>
      </c>
      <c r="F129" s="2" t="s">
        <v>487</v>
      </c>
      <c r="G129" s="2">
        <v>1.28</v>
      </c>
      <c r="H129" s="2">
        <v>-1.28</v>
      </c>
      <c r="I129" s="2" t="s">
        <v>122</v>
      </c>
    </row>
    <row r="130" spans="1:9" x14ac:dyDescent="0.35">
      <c r="A130" s="2">
        <v>202604</v>
      </c>
      <c r="B130" s="2">
        <v>1400</v>
      </c>
      <c r="C130" s="2">
        <v>3670</v>
      </c>
      <c r="D130" s="2" t="s">
        <v>488</v>
      </c>
      <c r="E130" s="2" t="s">
        <v>15</v>
      </c>
      <c r="F130" s="2" t="s">
        <v>489</v>
      </c>
      <c r="G130" s="2">
        <v>0.749</v>
      </c>
      <c r="H130" s="2">
        <v>-0.749</v>
      </c>
      <c r="I130" s="2" t="s">
        <v>122</v>
      </c>
    </row>
    <row r="131" spans="1:9" x14ac:dyDescent="0.35">
      <c r="A131" s="2">
        <v>202604</v>
      </c>
      <c r="B131" s="2">
        <v>1400</v>
      </c>
      <c r="C131" s="2">
        <v>5000</v>
      </c>
      <c r="D131" s="2" t="s">
        <v>490</v>
      </c>
      <c r="E131" s="2" t="s">
        <v>35</v>
      </c>
      <c r="F131" s="2" t="s">
        <v>491</v>
      </c>
      <c r="G131" s="2">
        <v>10.138</v>
      </c>
      <c r="H131" s="2">
        <v>10.138</v>
      </c>
      <c r="I131" s="2" t="s">
        <v>122</v>
      </c>
    </row>
    <row r="132" spans="1:9" x14ac:dyDescent="0.35">
      <c r="A132" s="2">
        <v>202604</v>
      </c>
      <c r="B132" s="2">
        <v>1400</v>
      </c>
      <c r="C132" s="2">
        <v>6300</v>
      </c>
      <c r="D132" s="2" t="s">
        <v>54</v>
      </c>
      <c r="E132" s="2" t="s">
        <v>35</v>
      </c>
      <c r="F132" s="2" t="s">
        <v>492</v>
      </c>
      <c r="G132" s="2">
        <v>3.7050000000000001</v>
      </c>
      <c r="H132" s="2">
        <v>3.7050000000000001</v>
      </c>
      <c r="I132" s="2" t="s">
        <v>122</v>
      </c>
    </row>
    <row r="133" spans="1:9" x14ac:dyDescent="0.35">
      <c r="A133" s="2">
        <v>202604</v>
      </c>
      <c r="B133" s="2">
        <v>1400</v>
      </c>
      <c r="C133" s="2">
        <v>6050</v>
      </c>
      <c r="D133" s="2" t="s">
        <v>493</v>
      </c>
      <c r="E133" s="2" t="s">
        <v>35</v>
      </c>
      <c r="F133" s="2" t="s">
        <v>494</v>
      </c>
      <c r="G133" s="2">
        <v>1.17</v>
      </c>
      <c r="H133" s="2">
        <v>1.17</v>
      </c>
      <c r="I133" s="2" t="s">
        <v>122</v>
      </c>
    </row>
    <row r="134" spans="1:9" x14ac:dyDescent="0.35">
      <c r="A134" s="2">
        <v>202604</v>
      </c>
      <c r="B134" s="2">
        <v>1500</v>
      </c>
      <c r="C134" s="2">
        <v>3900</v>
      </c>
      <c r="D134" s="2" t="s">
        <v>31</v>
      </c>
      <c r="E134" s="2" t="s">
        <v>15</v>
      </c>
      <c r="F134" s="2" t="s">
        <v>485</v>
      </c>
      <c r="G134" s="2">
        <v>10.28</v>
      </c>
      <c r="H134" s="2">
        <v>-10.28</v>
      </c>
      <c r="I134" s="2" t="s">
        <v>122</v>
      </c>
    </row>
    <row r="135" spans="1:9" x14ac:dyDescent="0.35">
      <c r="A135" s="2">
        <v>202604</v>
      </c>
      <c r="B135" s="2">
        <v>1500</v>
      </c>
      <c r="C135" s="2">
        <v>3400</v>
      </c>
      <c r="D135" s="2" t="s">
        <v>486</v>
      </c>
      <c r="E135" s="2" t="s">
        <v>15</v>
      </c>
      <c r="F135" s="2" t="s">
        <v>487</v>
      </c>
      <c r="G135" s="2">
        <v>0.85399999999999998</v>
      </c>
      <c r="H135" s="2">
        <v>-0.85399999999999998</v>
      </c>
      <c r="I135" s="2" t="s">
        <v>122</v>
      </c>
    </row>
    <row r="136" spans="1:9" x14ac:dyDescent="0.35">
      <c r="A136" s="2">
        <v>202604</v>
      </c>
      <c r="B136" s="2">
        <v>1500</v>
      </c>
      <c r="C136" s="2">
        <v>3670</v>
      </c>
      <c r="D136" s="2" t="s">
        <v>488</v>
      </c>
      <c r="E136" s="2" t="s">
        <v>15</v>
      </c>
      <c r="F136" s="2" t="s">
        <v>489</v>
      </c>
      <c r="G136" s="2">
        <v>0.497</v>
      </c>
      <c r="H136" s="2">
        <v>-0.497</v>
      </c>
      <c r="I136" s="2" t="s">
        <v>122</v>
      </c>
    </row>
    <row r="137" spans="1:9" x14ac:dyDescent="0.35">
      <c r="A137" s="2">
        <v>202604</v>
      </c>
      <c r="B137" s="2">
        <v>1500</v>
      </c>
      <c r="C137" s="2">
        <v>5000</v>
      </c>
      <c r="D137" s="2" t="s">
        <v>490</v>
      </c>
      <c r="E137" s="2" t="s">
        <v>35</v>
      </c>
      <c r="F137" s="2" t="s">
        <v>491</v>
      </c>
      <c r="G137" s="2">
        <v>7.8</v>
      </c>
      <c r="H137" s="2">
        <v>7.8</v>
      </c>
      <c r="I137" s="2" t="s">
        <v>122</v>
      </c>
    </row>
    <row r="138" spans="1:9" x14ac:dyDescent="0.35">
      <c r="A138" s="2">
        <v>202604</v>
      </c>
      <c r="B138" s="2">
        <v>1500</v>
      </c>
      <c r="C138" s="2">
        <v>6300</v>
      </c>
      <c r="D138" s="2" t="s">
        <v>54</v>
      </c>
      <c r="E138" s="2" t="s">
        <v>35</v>
      </c>
      <c r="F138" s="2" t="s">
        <v>492</v>
      </c>
      <c r="G138" s="2">
        <v>2.85</v>
      </c>
      <c r="H138" s="2">
        <v>2.85</v>
      </c>
      <c r="I138" s="2" t="s">
        <v>122</v>
      </c>
    </row>
    <row r="139" spans="1:9" x14ac:dyDescent="0.35">
      <c r="A139" s="2">
        <v>202604</v>
      </c>
      <c r="B139" s="2">
        <v>1500</v>
      </c>
      <c r="C139" s="2">
        <v>6050</v>
      </c>
      <c r="D139" s="2" t="s">
        <v>493</v>
      </c>
      <c r="E139" s="2" t="s">
        <v>35</v>
      </c>
      <c r="F139" s="2" t="s">
        <v>494</v>
      </c>
      <c r="G139" s="2">
        <v>0.91</v>
      </c>
      <c r="H139" s="2">
        <v>0.91</v>
      </c>
      <c r="I139" s="2" t="s">
        <v>122</v>
      </c>
    </row>
    <row r="140" spans="1:9" x14ac:dyDescent="0.35">
      <c r="A140" s="2">
        <v>202604</v>
      </c>
      <c r="B140" s="2">
        <v>1900</v>
      </c>
      <c r="C140" s="2">
        <v>3900</v>
      </c>
      <c r="D140" s="2" t="s">
        <v>31</v>
      </c>
      <c r="E140" s="2" t="s">
        <v>15</v>
      </c>
      <c r="F140" s="2" t="s">
        <v>485</v>
      </c>
      <c r="G140" s="2">
        <v>7.1980000000000004</v>
      </c>
      <c r="H140" s="2">
        <v>-7.1980000000000004</v>
      </c>
      <c r="I140" s="2" t="s">
        <v>122</v>
      </c>
    </row>
    <row r="141" spans="1:9" x14ac:dyDescent="0.35">
      <c r="A141" s="2">
        <v>202604</v>
      </c>
      <c r="B141" s="2">
        <v>1900</v>
      </c>
      <c r="C141" s="2">
        <v>3400</v>
      </c>
      <c r="D141" s="2" t="s">
        <v>486</v>
      </c>
      <c r="E141" s="2" t="s">
        <v>15</v>
      </c>
      <c r="F141" s="2" t="s">
        <v>487</v>
      </c>
      <c r="G141" s="2">
        <v>0.25600000000000001</v>
      </c>
      <c r="H141" s="2">
        <v>-0.25600000000000001</v>
      </c>
      <c r="I141" s="2" t="s">
        <v>122</v>
      </c>
    </row>
    <row r="142" spans="1:9" x14ac:dyDescent="0.35">
      <c r="A142" s="2">
        <v>202604</v>
      </c>
      <c r="B142" s="2">
        <v>1900</v>
      </c>
      <c r="C142" s="2">
        <v>3670</v>
      </c>
      <c r="D142" s="2" t="s">
        <v>488</v>
      </c>
      <c r="E142" s="2" t="s">
        <v>15</v>
      </c>
      <c r="F142" s="2" t="s">
        <v>489</v>
      </c>
      <c r="G142" s="2">
        <v>1.6</v>
      </c>
      <c r="H142" s="2">
        <v>-1.6</v>
      </c>
      <c r="I142" s="2" t="s">
        <v>122</v>
      </c>
    </row>
    <row r="143" spans="1:9" x14ac:dyDescent="0.35">
      <c r="A143" s="2">
        <v>202604</v>
      </c>
      <c r="B143" s="2">
        <v>1900</v>
      </c>
      <c r="C143" s="2">
        <v>5000</v>
      </c>
      <c r="D143" s="2" t="s">
        <v>490</v>
      </c>
      <c r="E143" s="2" t="s">
        <v>35</v>
      </c>
      <c r="F143" s="2" t="s">
        <v>491</v>
      </c>
      <c r="G143" s="2">
        <v>6.2380000000000004</v>
      </c>
      <c r="H143" s="2">
        <v>6.2380000000000004</v>
      </c>
      <c r="I143" s="2" t="s">
        <v>122</v>
      </c>
    </row>
    <row r="144" spans="1:9" x14ac:dyDescent="0.35">
      <c r="A144" s="2">
        <v>202604</v>
      </c>
      <c r="B144" s="2">
        <v>1900</v>
      </c>
      <c r="C144" s="2">
        <v>6300</v>
      </c>
      <c r="D144" s="2" t="s">
        <v>54</v>
      </c>
      <c r="E144" s="2" t="s">
        <v>35</v>
      </c>
      <c r="F144" s="2" t="s">
        <v>492</v>
      </c>
      <c r="G144" s="2">
        <v>2.2799999999999998</v>
      </c>
      <c r="H144" s="2">
        <v>2.2799999999999998</v>
      </c>
      <c r="I144" s="2" t="s">
        <v>122</v>
      </c>
    </row>
    <row r="145" spans="1:9" x14ac:dyDescent="0.35">
      <c r="A145" s="2">
        <v>202604</v>
      </c>
      <c r="B145" s="2">
        <v>1900</v>
      </c>
      <c r="C145" s="2">
        <v>6050</v>
      </c>
      <c r="D145" s="2" t="s">
        <v>493</v>
      </c>
      <c r="E145" s="2" t="s">
        <v>35</v>
      </c>
      <c r="F145" s="2" t="s">
        <v>494</v>
      </c>
      <c r="G145" s="2">
        <v>1.17</v>
      </c>
      <c r="H145" s="2">
        <v>1.17</v>
      </c>
      <c r="I145" s="2" t="s">
        <v>122</v>
      </c>
    </row>
    <row r="146" spans="1:9" x14ac:dyDescent="0.35">
      <c r="A146" s="2">
        <v>202605</v>
      </c>
      <c r="B146" s="2">
        <v>1100</v>
      </c>
      <c r="C146" s="2">
        <v>3900</v>
      </c>
      <c r="D146" s="2" t="s">
        <v>31</v>
      </c>
      <c r="E146" s="2" t="s">
        <v>15</v>
      </c>
      <c r="F146" s="2" t="s">
        <v>485</v>
      </c>
      <c r="G146" s="2">
        <v>20.58</v>
      </c>
      <c r="H146" s="2">
        <v>-20.58</v>
      </c>
      <c r="I146" s="2" t="s">
        <v>122</v>
      </c>
    </row>
    <row r="147" spans="1:9" x14ac:dyDescent="0.35">
      <c r="A147" s="2">
        <v>202605</v>
      </c>
      <c r="B147" s="2">
        <v>1100</v>
      </c>
      <c r="C147" s="2">
        <v>3400</v>
      </c>
      <c r="D147" s="2" t="s">
        <v>486</v>
      </c>
      <c r="E147" s="2" t="s">
        <v>15</v>
      </c>
      <c r="F147" s="2" t="s">
        <v>487</v>
      </c>
      <c r="G147" s="2">
        <v>2.0030000000000001</v>
      </c>
      <c r="H147" s="2">
        <v>-2.0030000000000001</v>
      </c>
      <c r="I147" s="2" t="s">
        <v>122</v>
      </c>
    </row>
    <row r="148" spans="1:9" x14ac:dyDescent="0.35">
      <c r="A148" s="2">
        <v>202605</v>
      </c>
      <c r="B148" s="2">
        <v>1100</v>
      </c>
      <c r="C148" s="2">
        <v>3670</v>
      </c>
      <c r="D148" s="2" t="s">
        <v>488</v>
      </c>
      <c r="E148" s="2" t="s">
        <v>15</v>
      </c>
      <c r="F148" s="2" t="s">
        <v>489</v>
      </c>
      <c r="G148" s="2">
        <v>0.66700000000000004</v>
      </c>
      <c r="H148" s="2">
        <v>-0.66700000000000004</v>
      </c>
      <c r="I148" s="2" t="s">
        <v>122</v>
      </c>
    </row>
    <row r="149" spans="1:9" x14ac:dyDescent="0.35">
      <c r="A149" s="2">
        <v>202605</v>
      </c>
      <c r="B149" s="2">
        <v>1100</v>
      </c>
      <c r="C149" s="2">
        <v>5000</v>
      </c>
      <c r="D149" s="2" t="s">
        <v>490</v>
      </c>
      <c r="E149" s="2" t="s">
        <v>35</v>
      </c>
      <c r="F149" s="2" t="s">
        <v>491</v>
      </c>
      <c r="G149" s="2">
        <v>15.108000000000001</v>
      </c>
      <c r="H149" s="2">
        <v>15.108000000000001</v>
      </c>
      <c r="I149" s="2" t="s">
        <v>122</v>
      </c>
    </row>
    <row r="150" spans="1:9" x14ac:dyDescent="0.35">
      <c r="A150" s="2">
        <v>202605</v>
      </c>
      <c r="B150" s="2">
        <v>1100</v>
      </c>
      <c r="C150" s="2">
        <v>6300</v>
      </c>
      <c r="D150" s="2" t="s">
        <v>54</v>
      </c>
      <c r="E150" s="2" t="s">
        <v>35</v>
      </c>
      <c r="F150" s="2" t="s">
        <v>492</v>
      </c>
      <c r="G150" s="2">
        <v>5.7949999999999999</v>
      </c>
      <c r="H150" s="2">
        <v>5.7949999999999999</v>
      </c>
      <c r="I150" s="2" t="s">
        <v>122</v>
      </c>
    </row>
    <row r="151" spans="1:9" x14ac:dyDescent="0.35">
      <c r="A151" s="2">
        <v>202605</v>
      </c>
      <c r="B151" s="2">
        <v>1100</v>
      </c>
      <c r="C151" s="2">
        <v>6050</v>
      </c>
      <c r="D151" s="2" t="s">
        <v>493</v>
      </c>
      <c r="E151" s="2" t="s">
        <v>35</v>
      </c>
      <c r="F151" s="2" t="s">
        <v>494</v>
      </c>
      <c r="G151" s="2">
        <v>2.66</v>
      </c>
      <c r="H151" s="2">
        <v>2.66</v>
      </c>
      <c r="I151" s="2" t="s">
        <v>122</v>
      </c>
    </row>
    <row r="152" spans="1:9" x14ac:dyDescent="0.35">
      <c r="A152" s="2">
        <v>202605</v>
      </c>
      <c r="B152" s="2">
        <v>1200</v>
      </c>
      <c r="C152" s="2">
        <v>3900</v>
      </c>
      <c r="D152" s="2" t="s">
        <v>31</v>
      </c>
      <c r="E152" s="2" t="s">
        <v>15</v>
      </c>
      <c r="F152" s="2" t="s">
        <v>485</v>
      </c>
      <c r="G152" s="2">
        <v>27.785</v>
      </c>
      <c r="H152" s="2">
        <v>-27.785</v>
      </c>
      <c r="I152" s="2" t="s">
        <v>122</v>
      </c>
    </row>
    <row r="153" spans="1:9" x14ac:dyDescent="0.35">
      <c r="A153" s="2">
        <v>202605</v>
      </c>
      <c r="B153" s="2">
        <v>1200</v>
      </c>
      <c r="C153" s="2">
        <v>3400</v>
      </c>
      <c r="D153" s="2" t="s">
        <v>486</v>
      </c>
      <c r="E153" s="2" t="s">
        <v>15</v>
      </c>
      <c r="F153" s="2" t="s">
        <v>487</v>
      </c>
      <c r="G153" s="2">
        <v>4.3710000000000004</v>
      </c>
      <c r="H153" s="2">
        <v>-4.3710000000000004</v>
      </c>
      <c r="I153" s="2" t="s">
        <v>122</v>
      </c>
    </row>
    <row r="154" spans="1:9" x14ac:dyDescent="0.35">
      <c r="A154" s="2">
        <v>202605</v>
      </c>
      <c r="B154" s="2">
        <v>1200</v>
      </c>
      <c r="C154" s="2">
        <v>3670</v>
      </c>
      <c r="D154" s="2" t="s">
        <v>488</v>
      </c>
      <c r="E154" s="2" t="s">
        <v>15</v>
      </c>
      <c r="F154" s="2" t="s">
        <v>489</v>
      </c>
      <c r="G154" s="2">
        <v>1.6759999999999999</v>
      </c>
      <c r="H154" s="2">
        <v>-1.6759999999999999</v>
      </c>
      <c r="I154" s="2" t="s">
        <v>122</v>
      </c>
    </row>
    <row r="155" spans="1:9" x14ac:dyDescent="0.35">
      <c r="A155" s="2">
        <v>202605</v>
      </c>
      <c r="B155" s="2">
        <v>1200</v>
      </c>
      <c r="C155" s="2">
        <v>5000</v>
      </c>
      <c r="D155" s="2" t="s">
        <v>490</v>
      </c>
      <c r="E155" s="2" t="s">
        <v>35</v>
      </c>
      <c r="F155" s="2" t="s">
        <v>491</v>
      </c>
      <c r="G155" s="2">
        <v>21.466999999999999</v>
      </c>
      <c r="H155" s="2">
        <v>21.466999999999999</v>
      </c>
      <c r="I155" s="2" t="s">
        <v>122</v>
      </c>
    </row>
    <row r="156" spans="1:9" x14ac:dyDescent="0.35">
      <c r="A156" s="2">
        <v>202605</v>
      </c>
      <c r="B156" s="2">
        <v>1200</v>
      </c>
      <c r="C156" s="2">
        <v>6300</v>
      </c>
      <c r="D156" s="2" t="s">
        <v>54</v>
      </c>
      <c r="E156" s="2" t="s">
        <v>35</v>
      </c>
      <c r="F156" s="2" t="s">
        <v>492</v>
      </c>
      <c r="G156" s="2">
        <v>8.2349999999999994</v>
      </c>
      <c r="H156" s="2">
        <v>8.2349999999999994</v>
      </c>
      <c r="I156" s="2" t="s">
        <v>122</v>
      </c>
    </row>
    <row r="157" spans="1:9" x14ac:dyDescent="0.35">
      <c r="A157" s="2">
        <v>202605</v>
      </c>
      <c r="B157" s="2">
        <v>1200</v>
      </c>
      <c r="C157" s="2">
        <v>6050</v>
      </c>
      <c r="D157" s="2" t="s">
        <v>493</v>
      </c>
      <c r="E157" s="2" t="s">
        <v>35</v>
      </c>
      <c r="F157" s="2" t="s">
        <v>494</v>
      </c>
      <c r="G157" s="2">
        <v>4.9000000000000004</v>
      </c>
      <c r="H157" s="2">
        <v>4.9000000000000004</v>
      </c>
      <c r="I157" s="2" t="s">
        <v>122</v>
      </c>
    </row>
    <row r="158" spans="1:9" x14ac:dyDescent="0.35">
      <c r="A158" s="2">
        <v>202605</v>
      </c>
      <c r="B158" s="2">
        <v>1300</v>
      </c>
      <c r="C158" s="2">
        <v>3900</v>
      </c>
      <c r="D158" s="2" t="s">
        <v>31</v>
      </c>
      <c r="E158" s="2" t="s">
        <v>15</v>
      </c>
      <c r="F158" s="2" t="s">
        <v>485</v>
      </c>
      <c r="G158" s="2">
        <v>23.664999999999999</v>
      </c>
      <c r="H158" s="2">
        <v>-23.664999999999999</v>
      </c>
      <c r="I158" s="2" t="s">
        <v>122</v>
      </c>
    </row>
    <row r="159" spans="1:9" x14ac:dyDescent="0.35">
      <c r="A159" s="2">
        <v>202605</v>
      </c>
      <c r="B159" s="2">
        <v>1300</v>
      </c>
      <c r="C159" s="2">
        <v>3400</v>
      </c>
      <c r="D159" s="2" t="s">
        <v>486</v>
      </c>
      <c r="E159" s="2" t="s">
        <v>15</v>
      </c>
      <c r="F159" s="2" t="s">
        <v>487</v>
      </c>
      <c r="G159" s="2">
        <v>2.2759999999999998</v>
      </c>
      <c r="H159" s="2">
        <v>-2.2759999999999998</v>
      </c>
      <c r="I159" s="2" t="s">
        <v>122</v>
      </c>
    </row>
    <row r="160" spans="1:9" x14ac:dyDescent="0.35">
      <c r="A160" s="2">
        <v>202605</v>
      </c>
      <c r="B160" s="2">
        <v>1300</v>
      </c>
      <c r="C160" s="2">
        <v>3670</v>
      </c>
      <c r="D160" s="2" t="s">
        <v>488</v>
      </c>
      <c r="E160" s="2" t="s">
        <v>15</v>
      </c>
      <c r="F160" s="2" t="s">
        <v>489</v>
      </c>
      <c r="G160" s="2">
        <v>1.266</v>
      </c>
      <c r="H160" s="2">
        <v>-1.266</v>
      </c>
      <c r="I160" s="2" t="s">
        <v>122</v>
      </c>
    </row>
    <row r="161" spans="1:9" x14ac:dyDescent="0.35">
      <c r="A161" s="2">
        <v>202605</v>
      </c>
      <c r="B161" s="2">
        <v>1300</v>
      </c>
      <c r="C161" s="2">
        <v>5000</v>
      </c>
      <c r="D161" s="2" t="s">
        <v>490</v>
      </c>
      <c r="E161" s="2" t="s">
        <v>35</v>
      </c>
      <c r="F161" s="2" t="s">
        <v>491</v>
      </c>
      <c r="G161" s="2">
        <v>18.283000000000001</v>
      </c>
      <c r="H161" s="2">
        <v>18.283000000000001</v>
      </c>
      <c r="I161" s="2" t="s">
        <v>122</v>
      </c>
    </row>
    <row r="162" spans="1:9" x14ac:dyDescent="0.35">
      <c r="A162" s="2">
        <v>202605</v>
      </c>
      <c r="B162" s="2">
        <v>1300</v>
      </c>
      <c r="C162" s="2">
        <v>6300</v>
      </c>
      <c r="D162" s="2" t="s">
        <v>54</v>
      </c>
      <c r="E162" s="2" t="s">
        <v>35</v>
      </c>
      <c r="F162" s="2" t="s">
        <v>492</v>
      </c>
      <c r="G162" s="2">
        <v>7.0149999999999997</v>
      </c>
      <c r="H162" s="2">
        <v>7.0149999999999997</v>
      </c>
      <c r="I162" s="2" t="s">
        <v>122</v>
      </c>
    </row>
    <row r="163" spans="1:9" x14ac:dyDescent="0.35">
      <c r="A163" s="2">
        <v>202605</v>
      </c>
      <c r="B163" s="2">
        <v>1300</v>
      </c>
      <c r="C163" s="2">
        <v>6050</v>
      </c>
      <c r="D163" s="2" t="s">
        <v>493</v>
      </c>
      <c r="E163" s="2" t="s">
        <v>35</v>
      </c>
      <c r="F163" s="2" t="s">
        <v>494</v>
      </c>
      <c r="G163" s="2">
        <v>2.94</v>
      </c>
      <c r="H163" s="2">
        <v>2.94</v>
      </c>
      <c r="I163" s="2" t="s">
        <v>122</v>
      </c>
    </row>
    <row r="164" spans="1:9" x14ac:dyDescent="0.35">
      <c r="A164" s="2">
        <v>202605</v>
      </c>
      <c r="B164" s="2">
        <v>1400</v>
      </c>
      <c r="C164" s="2">
        <v>3900</v>
      </c>
      <c r="D164" s="2" t="s">
        <v>31</v>
      </c>
      <c r="E164" s="2" t="s">
        <v>15</v>
      </c>
      <c r="F164" s="2" t="s">
        <v>485</v>
      </c>
      <c r="G164" s="2">
        <v>13.375</v>
      </c>
      <c r="H164" s="2">
        <v>-13.375</v>
      </c>
      <c r="I164" s="2" t="s">
        <v>122</v>
      </c>
    </row>
    <row r="165" spans="1:9" x14ac:dyDescent="0.35">
      <c r="A165" s="2">
        <v>202605</v>
      </c>
      <c r="B165" s="2">
        <v>1400</v>
      </c>
      <c r="C165" s="2">
        <v>3400</v>
      </c>
      <c r="D165" s="2" t="s">
        <v>486</v>
      </c>
      <c r="E165" s="2" t="s">
        <v>15</v>
      </c>
      <c r="F165" s="2" t="s">
        <v>487</v>
      </c>
      <c r="G165" s="2">
        <v>1.3660000000000001</v>
      </c>
      <c r="H165" s="2">
        <v>-1.3660000000000001</v>
      </c>
      <c r="I165" s="2" t="s">
        <v>122</v>
      </c>
    </row>
    <row r="166" spans="1:9" x14ac:dyDescent="0.35">
      <c r="A166" s="2">
        <v>202605</v>
      </c>
      <c r="B166" s="2">
        <v>1400</v>
      </c>
      <c r="C166" s="2">
        <v>3670</v>
      </c>
      <c r="D166" s="2" t="s">
        <v>488</v>
      </c>
      <c r="E166" s="2" t="s">
        <v>15</v>
      </c>
      <c r="F166" s="2" t="s">
        <v>489</v>
      </c>
      <c r="G166" s="2">
        <v>0.76100000000000001</v>
      </c>
      <c r="H166" s="2">
        <v>-0.76100000000000001</v>
      </c>
      <c r="I166" s="2" t="s">
        <v>122</v>
      </c>
    </row>
    <row r="167" spans="1:9" x14ac:dyDescent="0.35">
      <c r="A167" s="2">
        <v>202605</v>
      </c>
      <c r="B167" s="2">
        <v>1400</v>
      </c>
      <c r="C167" s="2">
        <v>5000</v>
      </c>
      <c r="D167" s="2" t="s">
        <v>490</v>
      </c>
      <c r="E167" s="2" t="s">
        <v>35</v>
      </c>
      <c r="F167" s="2" t="s">
        <v>491</v>
      </c>
      <c r="G167" s="2">
        <v>10.333</v>
      </c>
      <c r="H167" s="2">
        <v>10.333</v>
      </c>
      <c r="I167" s="2" t="s">
        <v>122</v>
      </c>
    </row>
    <row r="168" spans="1:9" x14ac:dyDescent="0.35">
      <c r="A168" s="2">
        <v>202605</v>
      </c>
      <c r="B168" s="2">
        <v>1400</v>
      </c>
      <c r="C168" s="2">
        <v>6300</v>
      </c>
      <c r="D168" s="2" t="s">
        <v>54</v>
      </c>
      <c r="E168" s="2" t="s">
        <v>35</v>
      </c>
      <c r="F168" s="2" t="s">
        <v>492</v>
      </c>
      <c r="G168" s="2">
        <v>3.9649999999999999</v>
      </c>
      <c r="H168" s="2">
        <v>3.9649999999999999</v>
      </c>
      <c r="I168" s="2" t="s">
        <v>122</v>
      </c>
    </row>
    <row r="169" spans="1:9" x14ac:dyDescent="0.35">
      <c r="A169" s="2">
        <v>202605</v>
      </c>
      <c r="B169" s="2">
        <v>1400</v>
      </c>
      <c r="C169" s="2">
        <v>6050</v>
      </c>
      <c r="D169" s="2" t="s">
        <v>493</v>
      </c>
      <c r="E169" s="2" t="s">
        <v>35</v>
      </c>
      <c r="F169" s="2" t="s">
        <v>494</v>
      </c>
      <c r="G169" s="2">
        <v>1.26</v>
      </c>
      <c r="H169" s="2">
        <v>1.26</v>
      </c>
      <c r="I169" s="2" t="s">
        <v>122</v>
      </c>
    </row>
    <row r="170" spans="1:9" x14ac:dyDescent="0.35">
      <c r="A170" s="2">
        <v>202605</v>
      </c>
      <c r="B170" s="2">
        <v>1500</v>
      </c>
      <c r="C170" s="2">
        <v>3900</v>
      </c>
      <c r="D170" s="2" t="s">
        <v>31</v>
      </c>
      <c r="E170" s="2" t="s">
        <v>15</v>
      </c>
      <c r="F170" s="2" t="s">
        <v>485</v>
      </c>
      <c r="G170" s="2">
        <v>10.29</v>
      </c>
      <c r="H170" s="2">
        <v>-10.29</v>
      </c>
      <c r="I170" s="2" t="s">
        <v>122</v>
      </c>
    </row>
    <row r="171" spans="1:9" x14ac:dyDescent="0.35">
      <c r="A171" s="2">
        <v>202605</v>
      </c>
      <c r="B171" s="2">
        <v>1500</v>
      </c>
      <c r="C171" s="2">
        <v>3400</v>
      </c>
      <c r="D171" s="2" t="s">
        <v>486</v>
      </c>
      <c r="E171" s="2" t="s">
        <v>15</v>
      </c>
      <c r="F171" s="2" t="s">
        <v>487</v>
      </c>
      <c r="G171" s="2">
        <v>0.91100000000000003</v>
      </c>
      <c r="H171" s="2">
        <v>-0.91100000000000003</v>
      </c>
      <c r="I171" s="2" t="s">
        <v>122</v>
      </c>
    </row>
    <row r="172" spans="1:9" x14ac:dyDescent="0.35">
      <c r="A172" s="2">
        <v>202605</v>
      </c>
      <c r="B172" s="2">
        <v>1500</v>
      </c>
      <c r="C172" s="2">
        <v>3670</v>
      </c>
      <c r="D172" s="2" t="s">
        <v>488</v>
      </c>
      <c r="E172" s="2" t="s">
        <v>15</v>
      </c>
      <c r="F172" s="2" t="s">
        <v>489</v>
      </c>
      <c r="G172" s="2">
        <v>0.505</v>
      </c>
      <c r="H172" s="2">
        <v>-0.505</v>
      </c>
      <c r="I172" s="2" t="s">
        <v>122</v>
      </c>
    </row>
    <row r="173" spans="1:9" x14ac:dyDescent="0.35">
      <c r="A173" s="2">
        <v>202605</v>
      </c>
      <c r="B173" s="2">
        <v>1500</v>
      </c>
      <c r="C173" s="2">
        <v>5000</v>
      </c>
      <c r="D173" s="2" t="s">
        <v>490</v>
      </c>
      <c r="E173" s="2" t="s">
        <v>35</v>
      </c>
      <c r="F173" s="2" t="s">
        <v>491</v>
      </c>
      <c r="G173" s="2">
        <v>7.95</v>
      </c>
      <c r="H173" s="2">
        <v>7.95</v>
      </c>
      <c r="I173" s="2" t="s">
        <v>122</v>
      </c>
    </row>
    <row r="174" spans="1:9" x14ac:dyDescent="0.35">
      <c r="A174" s="2">
        <v>202605</v>
      </c>
      <c r="B174" s="2">
        <v>1500</v>
      </c>
      <c r="C174" s="2">
        <v>6300</v>
      </c>
      <c r="D174" s="2" t="s">
        <v>54</v>
      </c>
      <c r="E174" s="2" t="s">
        <v>35</v>
      </c>
      <c r="F174" s="2" t="s">
        <v>492</v>
      </c>
      <c r="G174" s="2">
        <v>3.05</v>
      </c>
      <c r="H174" s="2">
        <v>3.05</v>
      </c>
      <c r="I174" s="2" t="s">
        <v>122</v>
      </c>
    </row>
    <row r="175" spans="1:9" x14ac:dyDescent="0.35">
      <c r="A175" s="2">
        <v>202605</v>
      </c>
      <c r="B175" s="2">
        <v>1500</v>
      </c>
      <c r="C175" s="2">
        <v>6050</v>
      </c>
      <c r="D175" s="2" t="s">
        <v>493</v>
      </c>
      <c r="E175" s="2" t="s">
        <v>35</v>
      </c>
      <c r="F175" s="2" t="s">
        <v>494</v>
      </c>
      <c r="G175" s="2">
        <v>0.98</v>
      </c>
      <c r="H175" s="2">
        <v>0.98</v>
      </c>
      <c r="I175" s="2" t="s">
        <v>122</v>
      </c>
    </row>
    <row r="176" spans="1:9" x14ac:dyDescent="0.35">
      <c r="A176" s="2">
        <v>202605</v>
      </c>
      <c r="B176" s="2">
        <v>1900</v>
      </c>
      <c r="C176" s="2">
        <v>3900</v>
      </c>
      <c r="D176" s="2" t="s">
        <v>31</v>
      </c>
      <c r="E176" s="2" t="s">
        <v>15</v>
      </c>
      <c r="F176" s="2" t="s">
        <v>485</v>
      </c>
      <c r="G176" s="2">
        <v>7.2050000000000001</v>
      </c>
      <c r="H176" s="2">
        <v>-7.2050000000000001</v>
      </c>
      <c r="I176" s="2" t="s">
        <v>122</v>
      </c>
    </row>
    <row r="177" spans="1:9" x14ac:dyDescent="0.35">
      <c r="A177" s="2">
        <v>202605</v>
      </c>
      <c r="B177" s="2">
        <v>1900</v>
      </c>
      <c r="C177" s="2">
        <v>3400</v>
      </c>
      <c r="D177" s="2" t="s">
        <v>486</v>
      </c>
      <c r="E177" s="2" t="s">
        <v>15</v>
      </c>
      <c r="F177" s="2" t="s">
        <v>487</v>
      </c>
      <c r="G177" s="2">
        <v>0.27300000000000002</v>
      </c>
      <c r="H177" s="2">
        <v>-0.27300000000000002</v>
      </c>
      <c r="I177" s="2" t="s">
        <v>122</v>
      </c>
    </row>
    <row r="178" spans="1:9" x14ac:dyDescent="0.35">
      <c r="A178" s="2">
        <v>202605</v>
      </c>
      <c r="B178" s="2">
        <v>1900</v>
      </c>
      <c r="C178" s="2">
        <v>3670</v>
      </c>
      <c r="D178" s="2" t="s">
        <v>488</v>
      </c>
      <c r="E178" s="2" t="s">
        <v>15</v>
      </c>
      <c r="F178" s="2" t="s">
        <v>489</v>
      </c>
      <c r="G178" s="2">
        <v>1.625</v>
      </c>
      <c r="H178" s="2">
        <v>-1.625</v>
      </c>
      <c r="I178" s="2" t="s">
        <v>122</v>
      </c>
    </row>
    <row r="179" spans="1:9" x14ac:dyDescent="0.35">
      <c r="A179" s="2">
        <v>202605</v>
      </c>
      <c r="B179" s="2">
        <v>1900</v>
      </c>
      <c r="C179" s="2">
        <v>5000</v>
      </c>
      <c r="D179" s="2" t="s">
        <v>490</v>
      </c>
      <c r="E179" s="2" t="s">
        <v>35</v>
      </c>
      <c r="F179" s="2" t="s">
        <v>491</v>
      </c>
      <c r="G179" s="2">
        <v>6.3579999999999997</v>
      </c>
      <c r="H179" s="2">
        <v>6.3579999999999997</v>
      </c>
      <c r="I179" s="2" t="s">
        <v>122</v>
      </c>
    </row>
    <row r="180" spans="1:9" x14ac:dyDescent="0.35">
      <c r="A180" s="2">
        <v>202605</v>
      </c>
      <c r="B180" s="2">
        <v>1900</v>
      </c>
      <c r="C180" s="2">
        <v>6300</v>
      </c>
      <c r="D180" s="2" t="s">
        <v>54</v>
      </c>
      <c r="E180" s="2" t="s">
        <v>35</v>
      </c>
      <c r="F180" s="2" t="s">
        <v>492</v>
      </c>
      <c r="G180" s="2">
        <v>2.44</v>
      </c>
      <c r="H180" s="2">
        <v>2.44</v>
      </c>
      <c r="I180" s="2" t="s">
        <v>122</v>
      </c>
    </row>
    <row r="181" spans="1:9" x14ac:dyDescent="0.35">
      <c r="A181" s="2">
        <v>202605</v>
      </c>
      <c r="B181" s="2">
        <v>1900</v>
      </c>
      <c r="C181" s="2">
        <v>6050</v>
      </c>
      <c r="D181" s="2" t="s">
        <v>493</v>
      </c>
      <c r="E181" s="2" t="s">
        <v>35</v>
      </c>
      <c r="F181" s="2" t="s">
        <v>494</v>
      </c>
      <c r="G181" s="2">
        <v>1.26</v>
      </c>
      <c r="H181" s="2">
        <v>1.26</v>
      </c>
      <c r="I181" s="2" t="s">
        <v>122</v>
      </c>
    </row>
    <row r="182" spans="1:9" x14ac:dyDescent="0.35">
      <c r="A182" s="2">
        <v>202606</v>
      </c>
      <c r="B182" s="2">
        <v>1100</v>
      </c>
      <c r="C182" s="2">
        <v>3900</v>
      </c>
      <c r="D182" s="2" t="s">
        <v>31</v>
      </c>
      <c r="E182" s="2" t="s">
        <v>15</v>
      </c>
      <c r="F182" s="2" t="s">
        <v>485</v>
      </c>
      <c r="G182" s="2">
        <v>20.58</v>
      </c>
      <c r="H182" s="2">
        <v>-20.58</v>
      </c>
      <c r="I182" s="2" t="s">
        <v>122</v>
      </c>
    </row>
    <row r="183" spans="1:9" x14ac:dyDescent="0.35">
      <c r="A183" s="2">
        <v>202606</v>
      </c>
      <c r="B183" s="2">
        <v>1100</v>
      </c>
      <c r="C183" s="2">
        <v>3400</v>
      </c>
      <c r="D183" s="2" t="s">
        <v>486</v>
      </c>
      <c r="E183" s="2" t="s">
        <v>15</v>
      </c>
      <c r="F183" s="2" t="s">
        <v>487</v>
      </c>
      <c r="G183" s="2">
        <v>2.0569999999999999</v>
      </c>
      <c r="H183" s="2">
        <v>-2.0569999999999999</v>
      </c>
      <c r="I183" s="2" t="s">
        <v>122</v>
      </c>
    </row>
    <row r="184" spans="1:9" x14ac:dyDescent="0.35">
      <c r="A184" s="2">
        <v>202606</v>
      </c>
      <c r="B184" s="2">
        <v>1100</v>
      </c>
      <c r="C184" s="2">
        <v>3670</v>
      </c>
      <c r="D184" s="2" t="s">
        <v>488</v>
      </c>
      <c r="E184" s="2" t="s">
        <v>15</v>
      </c>
      <c r="F184" s="2" t="s">
        <v>489</v>
      </c>
      <c r="G184" s="2">
        <v>0.69799999999999995</v>
      </c>
      <c r="H184" s="2">
        <v>-0.69799999999999995</v>
      </c>
      <c r="I184" s="2" t="s">
        <v>122</v>
      </c>
    </row>
    <row r="185" spans="1:9" x14ac:dyDescent="0.35">
      <c r="A185" s="2">
        <v>202606</v>
      </c>
      <c r="B185" s="2">
        <v>1100</v>
      </c>
      <c r="C185" s="2">
        <v>5000</v>
      </c>
      <c r="D185" s="2" t="s">
        <v>490</v>
      </c>
      <c r="E185" s="2" t="s">
        <v>35</v>
      </c>
      <c r="F185" s="2" t="s">
        <v>491</v>
      </c>
      <c r="G185" s="2">
        <v>22.045000000000002</v>
      </c>
      <c r="H185" s="2">
        <v>22.045000000000002</v>
      </c>
      <c r="I185" s="2" t="s">
        <v>122</v>
      </c>
    </row>
    <row r="186" spans="1:9" x14ac:dyDescent="0.35">
      <c r="A186" s="2">
        <v>202606</v>
      </c>
      <c r="B186" s="2">
        <v>1100</v>
      </c>
      <c r="C186" s="2">
        <v>6300</v>
      </c>
      <c r="D186" s="2" t="s">
        <v>54</v>
      </c>
      <c r="E186" s="2" t="s">
        <v>35</v>
      </c>
      <c r="F186" s="2" t="s">
        <v>492</v>
      </c>
      <c r="G186" s="2">
        <v>6.27</v>
      </c>
      <c r="H186" s="2">
        <v>6.27</v>
      </c>
      <c r="I186" s="2" t="s">
        <v>122</v>
      </c>
    </row>
    <row r="187" spans="1:9" x14ac:dyDescent="0.35">
      <c r="A187" s="2">
        <v>202606</v>
      </c>
      <c r="B187" s="2">
        <v>1100</v>
      </c>
      <c r="C187" s="2">
        <v>6050</v>
      </c>
      <c r="D187" s="2" t="s">
        <v>493</v>
      </c>
      <c r="E187" s="2" t="s">
        <v>35</v>
      </c>
      <c r="F187" s="2" t="s">
        <v>494</v>
      </c>
      <c r="G187" s="2">
        <v>3.04</v>
      </c>
      <c r="H187" s="2">
        <v>3.04</v>
      </c>
      <c r="I187" s="2" t="s">
        <v>122</v>
      </c>
    </row>
    <row r="188" spans="1:9" x14ac:dyDescent="0.35">
      <c r="A188" s="2">
        <v>202606</v>
      </c>
      <c r="B188" s="2">
        <v>1200</v>
      </c>
      <c r="C188" s="2">
        <v>3900</v>
      </c>
      <c r="D188" s="2" t="s">
        <v>31</v>
      </c>
      <c r="E188" s="2" t="s">
        <v>15</v>
      </c>
      <c r="F188" s="2" t="s">
        <v>485</v>
      </c>
      <c r="G188" s="2">
        <v>27.785</v>
      </c>
      <c r="H188" s="2">
        <v>-27.785</v>
      </c>
      <c r="I188" s="2" t="s">
        <v>122</v>
      </c>
    </row>
    <row r="189" spans="1:9" x14ac:dyDescent="0.35">
      <c r="A189" s="2">
        <v>202606</v>
      </c>
      <c r="B189" s="2">
        <v>1200</v>
      </c>
      <c r="C189" s="2">
        <v>3400</v>
      </c>
      <c r="D189" s="2" t="s">
        <v>486</v>
      </c>
      <c r="E189" s="2" t="s">
        <v>15</v>
      </c>
      <c r="F189" s="2" t="s">
        <v>487</v>
      </c>
      <c r="G189" s="2">
        <v>4.4880000000000004</v>
      </c>
      <c r="H189" s="2">
        <v>-4.4880000000000004</v>
      </c>
      <c r="I189" s="2" t="s">
        <v>122</v>
      </c>
    </row>
    <row r="190" spans="1:9" x14ac:dyDescent="0.35">
      <c r="A190" s="2">
        <v>202606</v>
      </c>
      <c r="B190" s="2">
        <v>1200</v>
      </c>
      <c r="C190" s="2">
        <v>3670</v>
      </c>
      <c r="D190" s="2" t="s">
        <v>488</v>
      </c>
      <c r="E190" s="2" t="s">
        <v>15</v>
      </c>
      <c r="F190" s="2" t="s">
        <v>489</v>
      </c>
      <c r="G190" s="2">
        <v>1.754</v>
      </c>
      <c r="H190" s="2">
        <v>-1.754</v>
      </c>
      <c r="I190" s="2" t="s">
        <v>122</v>
      </c>
    </row>
    <row r="191" spans="1:9" x14ac:dyDescent="0.35">
      <c r="A191" s="2">
        <v>202606</v>
      </c>
      <c r="B191" s="2">
        <v>1200</v>
      </c>
      <c r="C191" s="2">
        <v>5000</v>
      </c>
      <c r="D191" s="2" t="s">
        <v>490</v>
      </c>
      <c r="E191" s="2" t="s">
        <v>35</v>
      </c>
      <c r="F191" s="2" t="s">
        <v>491</v>
      </c>
      <c r="G191" s="2">
        <v>31.321999999999999</v>
      </c>
      <c r="H191" s="2">
        <v>31.321999999999999</v>
      </c>
      <c r="I191" s="2" t="s">
        <v>122</v>
      </c>
    </row>
    <row r="192" spans="1:9" x14ac:dyDescent="0.35">
      <c r="A192" s="2">
        <v>202606</v>
      </c>
      <c r="B192" s="2">
        <v>1200</v>
      </c>
      <c r="C192" s="2">
        <v>6300</v>
      </c>
      <c r="D192" s="2" t="s">
        <v>54</v>
      </c>
      <c r="E192" s="2" t="s">
        <v>35</v>
      </c>
      <c r="F192" s="2" t="s">
        <v>492</v>
      </c>
      <c r="G192" s="2">
        <v>8.91</v>
      </c>
      <c r="H192" s="2">
        <v>8.91</v>
      </c>
      <c r="I192" s="2" t="s">
        <v>122</v>
      </c>
    </row>
    <row r="193" spans="1:9" x14ac:dyDescent="0.35">
      <c r="A193" s="2">
        <v>202606</v>
      </c>
      <c r="B193" s="2">
        <v>1200</v>
      </c>
      <c r="C193" s="2">
        <v>6050</v>
      </c>
      <c r="D193" s="2" t="s">
        <v>493</v>
      </c>
      <c r="E193" s="2" t="s">
        <v>35</v>
      </c>
      <c r="F193" s="2" t="s">
        <v>494</v>
      </c>
      <c r="G193" s="2">
        <v>5.6</v>
      </c>
      <c r="H193" s="2">
        <v>5.6</v>
      </c>
      <c r="I193" s="2" t="s">
        <v>122</v>
      </c>
    </row>
    <row r="194" spans="1:9" x14ac:dyDescent="0.35">
      <c r="A194" s="2">
        <v>202606</v>
      </c>
      <c r="B194" s="2">
        <v>1300</v>
      </c>
      <c r="C194" s="2">
        <v>3900</v>
      </c>
      <c r="D194" s="2" t="s">
        <v>31</v>
      </c>
      <c r="E194" s="2" t="s">
        <v>15</v>
      </c>
      <c r="F194" s="2" t="s">
        <v>485</v>
      </c>
      <c r="G194" s="2">
        <v>23.664999999999999</v>
      </c>
      <c r="H194" s="2">
        <v>-23.664999999999999</v>
      </c>
      <c r="I194" s="2" t="s">
        <v>122</v>
      </c>
    </row>
    <row r="195" spans="1:9" x14ac:dyDescent="0.35">
      <c r="A195" s="2">
        <v>202606</v>
      </c>
      <c r="B195" s="2">
        <v>1300</v>
      </c>
      <c r="C195" s="2">
        <v>3400</v>
      </c>
      <c r="D195" s="2" t="s">
        <v>486</v>
      </c>
      <c r="E195" s="2" t="s">
        <v>15</v>
      </c>
      <c r="F195" s="2" t="s">
        <v>487</v>
      </c>
      <c r="G195" s="2">
        <v>2.3370000000000002</v>
      </c>
      <c r="H195" s="2">
        <v>-2.3370000000000002</v>
      </c>
      <c r="I195" s="2" t="s">
        <v>122</v>
      </c>
    </row>
    <row r="196" spans="1:9" x14ac:dyDescent="0.35">
      <c r="A196" s="2">
        <v>202606</v>
      </c>
      <c r="B196" s="2">
        <v>1300</v>
      </c>
      <c r="C196" s="2">
        <v>3670</v>
      </c>
      <c r="D196" s="2" t="s">
        <v>488</v>
      </c>
      <c r="E196" s="2" t="s">
        <v>15</v>
      </c>
      <c r="F196" s="2" t="s">
        <v>489</v>
      </c>
      <c r="G196" s="2">
        <v>1.3240000000000001</v>
      </c>
      <c r="H196" s="2">
        <v>-1.3240000000000001</v>
      </c>
      <c r="I196" s="2" t="s">
        <v>122</v>
      </c>
    </row>
    <row r="197" spans="1:9" x14ac:dyDescent="0.35">
      <c r="A197" s="2">
        <v>202606</v>
      </c>
      <c r="B197" s="2">
        <v>1300</v>
      </c>
      <c r="C197" s="2">
        <v>5000</v>
      </c>
      <c r="D197" s="2" t="s">
        <v>490</v>
      </c>
      <c r="E197" s="2" t="s">
        <v>35</v>
      </c>
      <c r="F197" s="2" t="s">
        <v>491</v>
      </c>
      <c r="G197" s="2">
        <v>26.678000000000001</v>
      </c>
      <c r="H197" s="2">
        <v>26.678000000000001</v>
      </c>
      <c r="I197" s="2" t="s">
        <v>122</v>
      </c>
    </row>
    <row r="198" spans="1:9" x14ac:dyDescent="0.35">
      <c r="A198" s="2">
        <v>202606</v>
      </c>
      <c r="B198" s="2">
        <v>1300</v>
      </c>
      <c r="C198" s="2">
        <v>6300</v>
      </c>
      <c r="D198" s="2" t="s">
        <v>54</v>
      </c>
      <c r="E198" s="2" t="s">
        <v>35</v>
      </c>
      <c r="F198" s="2" t="s">
        <v>492</v>
      </c>
      <c r="G198" s="2">
        <v>7.59</v>
      </c>
      <c r="H198" s="2">
        <v>7.59</v>
      </c>
      <c r="I198" s="2" t="s">
        <v>122</v>
      </c>
    </row>
    <row r="199" spans="1:9" x14ac:dyDescent="0.35">
      <c r="A199" s="2">
        <v>202606</v>
      </c>
      <c r="B199" s="2">
        <v>1300</v>
      </c>
      <c r="C199" s="2">
        <v>6050</v>
      </c>
      <c r="D199" s="2" t="s">
        <v>493</v>
      </c>
      <c r="E199" s="2" t="s">
        <v>35</v>
      </c>
      <c r="F199" s="2" t="s">
        <v>494</v>
      </c>
      <c r="G199" s="2">
        <v>3.36</v>
      </c>
      <c r="H199" s="2">
        <v>3.36</v>
      </c>
      <c r="I199" s="2" t="s">
        <v>122</v>
      </c>
    </row>
    <row r="200" spans="1:9" x14ac:dyDescent="0.35">
      <c r="A200" s="2">
        <v>202606</v>
      </c>
      <c r="B200" s="2">
        <v>1400</v>
      </c>
      <c r="C200" s="2">
        <v>3900</v>
      </c>
      <c r="D200" s="2" t="s">
        <v>31</v>
      </c>
      <c r="E200" s="2" t="s">
        <v>15</v>
      </c>
      <c r="F200" s="2" t="s">
        <v>485</v>
      </c>
      <c r="G200" s="2">
        <v>13.375</v>
      </c>
      <c r="H200" s="2">
        <v>-13.375</v>
      </c>
      <c r="I200" s="2" t="s">
        <v>122</v>
      </c>
    </row>
    <row r="201" spans="1:9" x14ac:dyDescent="0.35">
      <c r="A201" s="2">
        <v>202606</v>
      </c>
      <c r="B201" s="2">
        <v>1400</v>
      </c>
      <c r="C201" s="2">
        <v>3400</v>
      </c>
      <c r="D201" s="2" t="s">
        <v>486</v>
      </c>
      <c r="E201" s="2" t="s">
        <v>15</v>
      </c>
      <c r="F201" s="2" t="s">
        <v>487</v>
      </c>
      <c r="G201" s="2">
        <v>1.4019999999999999</v>
      </c>
      <c r="H201" s="2">
        <v>-1.4019999999999999</v>
      </c>
      <c r="I201" s="2" t="s">
        <v>122</v>
      </c>
    </row>
    <row r="202" spans="1:9" x14ac:dyDescent="0.35">
      <c r="A202" s="2">
        <v>202606</v>
      </c>
      <c r="B202" s="2">
        <v>1400</v>
      </c>
      <c r="C202" s="2">
        <v>3670</v>
      </c>
      <c r="D202" s="2" t="s">
        <v>488</v>
      </c>
      <c r="E202" s="2" t="s">
        <v>15</v>
      </c>
      <c r="F202" s="2" t="s">
        <v>489</v>
      </c>
      <c r="G202" s="2">
        <v>0.79600000000000004</v>
      </c>
      <c r="H202" s="2">
        <v>-0.79600000000000004</v>
      </c>
      <c r="I202" s="2" t="s">
        <v>122</v>
      </c>
    </row>
    <row r="203" spans="1:9" x14ac:dyDescent="0.35">
      <c r="A203" s="2">
        <v>202606</v>
      </c>
      <c r="B203" s="2">
        <v>1400</v>
      </c>
      <c r="C203" s="2">
        <v>5000</v>
      </c>
      <c r="D203" s="2" t="s">
        <v>490</v>
      </c>
      <c r="E203" s="2" t="s">
        <v>35</v>
      </c>
      <c r="F203" s="2" t="s">
        <v>491</v>
      </c>
      <c r="G203" s="2">
        <v>15.077999999999999</v>
      </c>
      <c r="H203" s="2">
        <v>15.077999999999999</v>
      </c>
      <c r="I203" s="2" t="s">
        <v>122</v>
      </c>
    </row>
    <row r="204" spans="1:9" x14ac:dyDescent="0.35">
      <c r="A204" s="2">
        <v>202606</v>
      </c>
      <c r="B204" s="2">
        <v>1400</v>
      </c>
      <c r="C204" s="2">
        <v>6300</v>
      </c>
      <c r="D204" s="2" t="s">
        <v>54</v>
      </c>
      <c r="E204" s="2" t="s">
        <v>35</v>
      </c>
      <c r="F204" s="2" t="s">
        <v>492</v>
      </c>
      <c r="G204" s="2">
        <v>4.29</v>
      </c>
      <c r="H204" s="2">
        <v>4.29</v>
      </c>
      <c r="I204" s="2" t="s">
        <v>122</v>
      </c>
    </row>
    <row r="205" spans="1:9" x14ac:dyDescent="0.35">
      <c r="A205" s="2">
        <v>202606</v>
      </c>
      <c r="B205" s="2">
        <v>1400</v>
      </c>
      <c r="C205" s="2">
        <v>6050</v>
      </c>
      <c r="D205" s="2" t="s">
        <v>493</v>
      </c>
      <c r="E205" s="2" t="s">
        <v>35</v>
      </c>
      <c r="F205" s="2" t="s">
        <v>494</v>
      </c>
      <c r="G205" s="2">
        <v>1.44</v>
      </c>
      <c r="H205" s="2">
        <v>1.44</v>
      </c>
      <c r="I205" s="2" t="s">
        <v>122</v>
      </c>
    </row>
    <row r="206" spans="1:9" x14ac:dyDescent="0.35">
      <c r="A206" s="2">
        <v>202606</v>
      </c>
      <c r="B206" s="2">
        <v>1500</v>
      </c>
      <c r="C206" s="2">
        <v>3900</v>
      </c>
      <c r="D206" s="2" t="s">
        <v>31</v>
      </c>
      <c r="E206" s="2" t="s">
        <v>15</v>
      </c>
      <c r="F206" s="2" t="s">
        <v>485</v>
      </c>
      <c r="G206" s="2">
        <v>10.29</v>
      </c>
      <c r="H206" s="2">
        <v>-10.29</v>
      </c>
      <c r="I206" s="2" t="s">
        <v>122</v>
      </c>
    </row>
    <row r="207" spans="1:9" x14ac:dyDescent="0.35">
      <c r="A207" s="2">
        <v>202606</v>
      </c>
      <c r="B207" s="2">
        <v>1500</v>
      </c>
      <c r="C207" s="2">
        <v>3400</v>
      </c>
      <c r="D207" s="2" t="s">
        <v>486</v>
      </c>
      <c r="E207" s="2" t="s">
        <v>15</v>
      </c>
      <c r="F207" s="2" t="s">
        <v>487</v>
      </c>
      <c r="G207" s="2">
        <v>0.93500000000000005</v>
      </c>
      <c r="H207" s="2">
        <v>-0.93500000000000005</v>
      </c>
      <c r="I207" s="2" t="s">
        <v>122</v>
      </c>
    </row>
    <row r="208" spans="1:9" x14ac:dyDescent="0.35">
      <c r="A208" s="2">
        <v>202606</v>
      </c>
      <c r="B208" s="2">
        <v>1500</v>
      </c>
      <c r="C208" s="2">
        <v>3670</v>
      </c>
      <c r="D208" s="2" t="s">
        <v>488</v>
      </c>
      <c r="E208" s="2" t="s">
        <v>15</v>
      </c>
      <c r="F208" s="2" t="s">
        <v>489</v>
      </c>
      <c r="G208" s="2">
        <v>0.52800000000000002</v>
      </c>
      <c r="H208" s="2">
        <v>-0.52800000000000002</v>
      </c>
      <c r="I208" s="2" t="s">
        <v>122</v>
      </c>
    </row>
    <row r="209" spans="1:9" x14ac:dyDescent="0.35">
      <c r="A209" s="2">
        <v>202606</v>
      </c>
      <c r="B209" s="2">
        <v>1500</v>
      </c>
      <c r="C209" s="2">
        <v>5000</v>
      </c>
      <c r="D209" s="2" t="s">
        <v>490</v>
      </c>
      <c r="E209" s="2" t="s">
        <v>35</v>
      </c>
      <c r="F209" s="2" t="s">
        <v>491</v>
      </c>
      <c r="G209" s="2">
        <v>11.6</v>
      </c>
      <c r="H209" s="2">
        <v>11.6</v>
      </c>
      <c r="I209" s="2" t="s">
        <v>122</v>
      </c>
    </row>
    <row r="210" spans="1:9" x14ac:dyDescent="0.35">
      <c r="A210" s="2">
        <v>202606</v>
      </c>
      <c r="B210" s="2">
        <v>1500</v>
      </c>
      <c r="C210" s="2">
        <v>6300</v>
      </c>
      <c r="D210" s="2" t="s">
        <v>54</v>
      </c>
      <c r="E210" s="2" t="s">
        <v>35</v>
      </c>
      <c r="F210" s="2" t="s">
        <v>492</v>
      </c>
      <c r="G210" s="2">
        <v>3.3</v>
      </c>
      <c r="H210" s="2">
        <v>3.3</v>
      </c>
      <c r="I210" s="2" t="s">
        <v>122</v>
      </c>
    </row>
    <row r="211" spans="1:9" x14ac:dyDescent="0.35">
      <c r="A211" s="2">
        <v>202606</v>
      </c>
      <c r="B211" s="2">
        <v>1500</v>
      </c>
      <c r="C211" s="2">
        <v>6050</v>
      </c>
      <c r="D211" s="2" t="s">
        <v>493</v>
      </c>
      <c r="E211" s="2" t="s">
        <v>35</v>
      </c>
      <c r="F211" s="2" t="s">
        <v>494</v>
      </c>
      <c r="G211" s="2">
        <v>1.1200000000000001</v>
      </c>
      <c r="H211" s="2">
        <v>1.1200000000000001</v>
      </c>
      <c r="I211" s="2" t="s">
        <v>122</v>
      </c>
    </row>
    <row r="212" spans="1:9" x14ac:dyDescent="0.35">
      <c r="A212" s="2">
        <v>202606</v>
      </c>
      <c r="B212" s="2">
        <v>1900</v>
      </c>
      <c r="C212" s="2">
        <v>3900</v>
      </c>
      <c r="D212" s="2" t="s">
        <v>31</v>
      </c>
      <c r="E212" s="2" t="s">
        <v>15</v>
      </c>
      <c r="F212" s="2" t="s">
        <v>485</v>
      </c>
      <c r="G212" s="2">
        <v>7.2050000000000001</v>
      </c>
      <c r="H212" s="2">
        <v>-7.2050000000000001</v>
      </c>
      <c r="I212" s="2" t="s">
        <v>122</v>
      </c>
    </row>
    <row r="213" spans="1:9" x14ac:dyDescent="0.35">
      <c r="A213" s="2">
        <v>202606</v>
      </c>
      <c r="B213" s="2">
        <v>1900</v>
      </c>
      <c r="C213" s="2">
        <v>3400</v>
      </c>
      <c r="D213" s="2" t="s">
        <v>486</v>
      </c>
      <c r="E213" s="2" t="s">
        <v>15</v>
      </c>
      <c r="F213" s="2" t="s">
        <v>487</v>
      </c>
      <c r="G213" s="2">
        <v>0.28000000000000003</v>
      </c>
      <c r="H213" s="2">
        <v>-0.28000000000000003</v>
      </c>
      <c r="I213" s="2" t="s">
        <v>122</v>
      </c>
    </row>
    <row r="214" spans="1:9" x14ac:dyDescent="0.35">
      <c r="A214" s="2">
        <v>202606</v>
      </c>
      <c r="B214" s="2">
        <v>1900</v>
      </c>
      <c r="C214" s="2">
        <v>3670</v>
      </c>
      <c r="D214" s="2" t="s">
        <v>488</v>
      </c>
      <c r="E214" s="2" t="s">
        <v>15</v>
      </c>
      <c r="F214" s="2" t="s">
        <v>489</v>
      </c>
      <c r="G214" s="2">
        <v>1.7</v>
      </c>
      <c r="H214" s="2">
        <v>-1.7</v>
      </c>
      <c r="I214" s="2" t="s">
        <v>122</v>
      </c>
    </row>
    <row r="215" spans="1:9" x14ac:dyDescent="0.35">
      <c r="A215" s="2">
        <v>202606</v>
      </c>
      <c r="B215" s="2">
        <v>1900</v>
      </c>
      <c r="C215" s="2">
        <v>5000</v>
      </c>
      <c r="D215" s="2" t="s">
        <v>490</v>
      </c>
      <c r="E215" s="2" t="s">
        <v>35</v>
      </c>
      <c r="F215" s="2" t="s">
        <v>491</v>
      </c>
      <c r="G215" s="2">
        <v>9.2780000000000005</v>
      </c>
      <c r="H215" s="2">
        <v>9.2780000000000005</v>
      </c>
      <c r="I215" s="2" t="s">
        <v>122</v>
      </c>
    </row>
    <row r="216" spans="1:9" x14ac:dyDescent="0.35">
      <c r="A216" s="2">
        <v>202606</v>
      </c>
      <c r="B216" s="2">
        <v>1900</v>
      </c>
      <c r="C216" s="2">
        <v>6300</v>
      </c>
      <c r="D216" s="2" t="s">
        <v>54</v>
      </c>
      <c r="E216" s="2" t="s">
        <v>35</v>
      </c>
      <c r="F216" s="2" t="s">
        <v>492</v>
      </c>
      <c r="G216" s="2">
        <v>2.64</v>
      </c>
      <c r="H216" s="2">
        <v>2.64</v>
      </c>
      <c r="I216" s="2" t="s">
        <v>122</v>
      </c>
    </row>
    <row r="217" spans="1:9" x14ac:dyDescent="0.35">
      <c r="A217" s="2">
        <v>202606</v>
      </c>
      <c r="B217" s="2">
        <v>1900</v>
      </c>
      <c r="C217" s="2">
        <v>6050</v>
      </c>
      <c r="D217" s="2" t="s">
        <v>493</v>
      </c>
      <c r="E217" s="2" t="s">
        <v>35</v>
      </c>
      <c r="F217" s="2" t="s">
        <v>494</v>
      </c>
      <c r="G217" s="2">
        <v>1.44</v>
      </c>
      <c r="H217" s="2">
        <v>1.44</v>
      </c>
      <c r="I217" s="2" t="s">
        <v>122</v>
      </c>
    </row>
    <row r="218" spans="1:9" x14ac:dyDescent="0.35">
      <c r="A218" s="2">
        <v>202607</v>
      </c>
      <c r="B218" s="2">
        <v>1100</v>
      </c>
      <c r="C218" s="2">
        <v>3900</v>
      </c>
      <c r="D218" s="2" t="s">
        <v>31</v>
      </c>
      <c r="E218" s="2" t="s">
        <v>15</v>
      </c>
      <c r="F218" s="2" t="s">
        <v>485</v>
      </c>
      <c r="G218" s="2">
        <v>20.56</v>
      </c>
      <c r="H218" s="2">
        <v>-20.56</v>
      </c>
      <c r="I218" s="2" t="s">
        <v>122</v>
      </c>
    </row>
    <row r="219" spans="1:9" x14ac:dyDescent="0.35">
      <c r="A219" s="2">
        <v>202607</v>
      </c>
      <c r="B219" s="2">
        <v>1100</v>
      </c>
      <c r="C219" s="2">
        <v>3400</v>
      </c>
      <c r="D219" s="2" t="s">
        <v>486</v>
      </c>
      <c r="E219" s="2" t="s">
        <v>15</v>
      </c>
      <c r="F219" s="2" t="s">
        <v>487</v>
      </c>
      <c r="G219" s="2">
        <v>1.109</v>
      </c>
      <c r="H219" s="2">
        <v>-1.109</v>
      </c>
      <c r="I219" s="2" t="s">
        <v>122</v>
      </c>
    </row>
    <row r="220" spans="1:9" x14ac:dyDescent="0.35">
      <c r="A220" s="2">
        <v>202607</v>
      </c>
      <c r="B220" s="2">
        <v>1100</v>
      </c>
      <c r="C220" s="2">
        <v>3670</v>
      </c>
      <c r="D220" s="2" t="s">
        <v>488</v>
      </c>
      <c r="E220" s="2" t="s">
        <v>15</v>
      </c>
      <c r="F220" s="2" t="s">
        <v>489</v>
      </c>
      <c r="G220" s="2">
        <v>0.43099999999999999</v>
      </c>
      <c r="H220" s="2">
        <v>-0.43099999999999999</v>
      </c>
      <c r="I220" s="2" t="s">
        <v>122</v>
      </c>
    </row>
    <row r="221" spans="1:9" x14ac:dyDescent="0.35">
      <c r="A221" s="2">
        <v>202607</v>
      </c>
      <c r="B221" s="2">
        <v>1100</v>
      </c>
      <c r="C221" s="2">
        <v>5000</v>
      </c>
      <c r="D221" s="2" t="s">
        <v>490</v>
      </c>
      <c r="E221" s="2" t="s">
        <v>35</v>
      </c>
      <c r="F221" s="2" t="s">
        <v>491</v>
      </c>
      <c r="G221" s="2">
        <v>11.497999999999999</v>
      </c>
      <c r="H221" s="2">
        <v>11.497999999999999</v>
      </c>
      <c r="I221" s="2" t="s">
        <v>122</v>
      </c>
    </row>
    <row r="222" spans="1:9" x14ac:dyDescent="0.35">
      <c r="A222" s="2">
        <v>202607</v>
      </c>
      <c r="B222" s="2">
        <v>1100</v>
      </c>
      <c r="C222" s="2">
        <v>6300</v>
      </c>
      <c r="D222" s="2" t="s">
        <v>54</v>
      </c>
      <c r="E222" s="2" t="s">
        <v>35</v>
      </c>
      <c r="F222" s="2" t="s">
        <v>492</v>
      </c>
      <c r="G222" s="2">
        <v>3.8</v>
      </c>
      <c r="H222" s="2">
        <v>3.8</v>
      </c>
      <c r="I222" s="2" t="s">
        <v>122</v>
      </c>
    </row>
    <row r="223" spans="1:9" x14ac:dyDescent="0.35">
      <c r="A223" s="2">
        <v>202607</v>
      </c>
      <c r="B223" s="2">
        <v>1100</v>
      </c>
      <c r="C223" s="2">
        <v>6050</v>
      </c>
      <c r="D223" s="2" t="s">
        <v>493</v>
      </c>
      <c r="E223" s="2" t="s">
        <v>35</v>
      </c>
      <c r="F223" s="2" t="s">
        <v>494</v>
      </c>
      <c r="G223" s="2">
        <v>1.71</v>
      </c>
      <c r="H223" s="2">
        <v>1.71</v>
      </c>
      <c r="I223" s="2" t="s">
        <v>122</v>
      </c>
    </row>
    <row r="224" spans="1:9" x14ac:dyDescent="0.35">
      <c r="A224" s="2">
        <v>202607</v>
      </c>
      <c r="B224" s="2">
        <v>1200</v>
      </c>
      <c r="C224" s="2">
        <v>3900</v>
      </c>
      <c r="D224" s="2" t="s">
        <v>31</v>
      </c>
      <c r="E224" s="2" t="s">
        <v>15</v>
      </c>
      <c r="F224" s="2" t="s">
        <v>485</v>
      </c>
      <c r="G224" s="2">
        <v>27.757999999999999</v>
      </c>
      <c r="H224" s="2">
        <v>-27.757999999999999</v>
      </c>
      <c r="I224" s="2" t="s">
        <v>122</v>
      </c>
    </row>
    <row r="225" spans="1:9" x14ac:dyDescent="0.35">
      <c r="A225" s="2">
        <v>202607</v>
      </c>
      <c r="B225" s="2">
        <v>1200</v>
      </c>
      <c r="C225" s="2">
        <v>3400</v>
      </c>
      <c r="D225" s="2" t="s">
        <v>486</v>
      </c>
      <c r="E225" s="2" t="s">
        <v>15</v>
      </c>
      <c r="F225" s="2" t="s">
        <v>487</v>
      </c>
      <c r="G225" s="2">
        <v>2.42</v>
      </c>
      <c r="H225" s="2">
        <v>-2.42</v>
      </c>
      <c r="I225" s="2" t="s">
        <v>122</v>
      </c>
    </row>
    <row r="226" spans="1:9" x14ac:dyDescent="0.35">
      <c r="A226" s="2">
        <v>202607</v>
      </c>
      <c r="B226" s="2">
        <v>1200</v>
      </c>
      <c r="C226" s="2">
        <v>3670</v>
      </c>
      <c r="D226" s="2" t="s">
        <v>488</v>
      </c>
      <c r="E226" s="2" t="s">
        <v>15</v>
      </c>
      <c r="F226" s="2" t="s">
        <v>489</v>
      </c>
      <c r="G226" s="2">
        <v>1.083</v>
      </c>
      <c r="H226" s="2">
        <v>-1.083</v>
      </c>
      <c r="I226" s="2" t="s">
        <v>122</v>
      </c>
    </row>
    <row r="227" spans="1:9" x14ac:dyDescent="0.35">
      <c r="A227" s="2">
        <v>202607</v>
      </c>
      <c r="B227" s="2">
        <v>1200</v>
      </c>
      <c r="C227" s="2">
        <v>5000</v>
      </c>
      <c r="D227" s="2" t="s">
        <v>490</v>
      </c>
      <c r="E227" s="2" t="s">
        <v>35</v>
      </c>
      <c r="F227" s="2" t="s">
        <v>491</v>
      </c>
      <c r="G227" s="2">
        <v>16.335999999999999</v>
      </c>
      <c r="H227" s="2">
        <v>16.335999999999999</v>
      </c>
      <c r="I227" s="2" t="s">
        <v>122</v>
      </c>
    </row>
    <row r="228" spans="1:9" x14ac:dyDescent="0.35">
      <c r="A228" s="2">
        <v>202607</v>
      </c>
      <c r="B228" s="2">
        <v>1200</v>
      </c>
      <c r="C228" s="2">
        <v>6300</v>
      </c>
      <c r="D228" s="2" t="s">
        <v>54</v>
      </c>
      <c r="E228" s="2" t="s">
        <v>35</v>
      </c>
      <c r="F228" s="2" t="s">
        <v>492</v>
      </c>
      <c r="G228" s="2">
        <v>5.4</v>
      </c>
      <c r="H228" s="2">
        <v>5.4</v>
      </c>
      <c r="I228" s="2" t="s">
        <v>122</v>
      </c>
    </row>
    <row r="229" spans="1:9" x14ac:dyDescent="0.35">
      <c r="A229" s="2">
        <v>202607</v>
      </c>
      <c r="B229" s="2">
        <v>1200</v>
      </c>
      <c r="C229" s="2">
        <v>6050</v>
      </c>
      <c r="D229" s="2" t="s">
        <v>493</v>
      </c>
      <c r="E229" s="2" t="s">
        <v>35</v>
      </c>
      <c r="F229" s="2" t="s">
        <v>494</v>
      </c>
      <c r="G229" s="2">
        <v>3.15</v>
      </c>
      <c r="H229" s="2">
        <v>3.15</v>
      </c>
      <c r="I229" s="2" t="s">
        <v>122</v>
      </c>
    </row>
    <row r="230" spans="1:9" x14ac:dyDescent="0.35">
      <c r="A230" s="2">
        <v>202607</v>
      </c>
      <c r="B230" s="2">
        <v>1300</v>
      </c>
      <c r="C230" s="2">
        <v>3900</v>
      </c>
      <c r="D230" s="2" t="s">
        <v>31</v>
      </c>
      <c r="E230" s="2" t="s">
        <v>15</v>
      </c>
      <c r="F230" s="2" t="s">
        <v>485</v>
      </c>
      <c r="G230" s="2">
        <v>23.641999999999999</v>
      </c>
      <c r="H230" s="2">
        <v>-23.641999999999999</v>
      </c>
      <c r="I230" s="2" t="s">
        <v>122</v>
      </c>
    </row>
    <row r="231" spans="1:9" x14ac:dyDescent="0.35">
      <c r="A231" s="2">
        <v>202607</v>
      </c>
      <c r="B231" s="2">
        <v>1300</v>
      </c>
      <c r="C231" s="2">
        <v>3400</v>
      </c>
      <c r="D231" s="2" t="s">
        <v>486</v>
      </c>
      <c r="E231" s="2" t="s">
        <v>15</v>
      </c>
      <c r="F231" s="2" t="s">
        <v>487</v>
      </c>
      <c r="G231" s="2">
        <v>1.26</v>
      </c>
      <c r="H231" s="2">
        <v>-1.26</v>
      </c>
      <c r="I231" s="2" t="s">
        <v>122</v>
      </c>
    </row>
    <row r="232" spans="1:9" x14ac:dyDescent="0.35">
      <c r="A232" s="2">
        <v>202607</v>
      </c>
      <c r="B232" s="2">
        <v>1300</v>
      </c>
      <c r="C232" s="2">
        <v>3670</v>
      </c>
      <c r="D232" s="2" t="s">
        <v>488</v>
      </c>
      <c r="E232" s="2" t="s">
        <v>15</v>
      </c>
      <c r="F232" s="2" t="s">
        <v>489</v>
      </c>
      <c r="G232" s="2">
        <v>0.81799999999999995</v>
      </c>
      <c r="H232" s="2">
        <v>-0.81799999999999995</v>
      </c>
      <c r="I232" s="2" t="s">
        <v>122</v>
      </c>
    </row>
    <row r="233" spans="1:9" x14ac:dyDescent="0.35">
      <c r="A233" s="2">
        <v>202607</v>
      </c>
      <c r="B233" s="2">
        <v>1300</v>
      </c>
      <c r="C233" s="2">
        <v>5000</v>
      </c>
      <c r="D233" s="2" t="s">
        <v>490</v>
      </c>
      <c r="E233" s="2" t="s">
        <v>35</v>
      </c>
      <c r="F233" s="2" t="s">
        <v>491</v>
      </c>
      <c r="G233" s="2">
        <v>13.914</v>
      </c>
      <c r="H233" s="2">
        <v>13.914</v>
      </c>
      <c r="I233" s="2" t="s">
        <v>122</v>
      </c>
    </row>
    <row r="234" spans="1:9" x14ac:dyDescent="0.35">
      <c r="A234" s="2">
        <v>202607</v>
      </c>
      <c r="B234" s="2">
        <v>1300</v>
      </c>
      <c r="C234" s="2">
        <v>6300</v>
      </c>
      <c r="D234" s="2" t="s">
        <v>54</v>
      </c>
      <c r="E234" s="2" t="s">
        <v>35</v>
      </c>
      <c r="F234" s="2" t="s">
        <v>492</v>
      </c>
      <c r="G234" s="2">
        <v>4.5999999999999996</v>
      </c>
      <c r="H234" s="2">
        <v>4.5999999999999996</v>
      </c>
      <c r="I234" s="2" t="s">
        <v>122</v>
      </c>
    </row>
    <row r="235" spans="1:9" x14ac:dyDescent="0.35">
      <c r="A235" s="2">
        <v>202607</v>
      </c>
      <c r="B235" s="2">
        <v>1300</v>
      </c>
      <c r="C235" s="2">
        <v>6050</v>
      </c>
      <c r="D235" s="2" t="s">
        <v>493</v>
      </c>
      <c r="E235" s="2" t="s">
        <v>35</v>
      </c>
      <c r="F235" s="2" t="s">
        <v>494</v>
      </c>
      <c r="G235" s="2">
        <v>1.89</v>
      </c>
      <c r="H235" s="2">
        <v>1.89</v>
      </c>
      <c r="I235" s="2" t="s">
        <v>122</v>
      </c>
    </row>
    <row r="236" spans="1:9" x14ac:dyDescent="0.35">
      <c r="A236" s="2">
        <v>202607</v>
      </c>
      <c r="B236" s="2">
        <v>1400</v>
      </c>
      <c r="C236" s="2">
        <v>3900</v>
      </c>
      <c r="D236" s="2" t="s">
        <v>31</v>
      </c>
      <c r="E236" s="2" t="s">
        <v>15</v>
      </c>
      <c r="F236" s="2" t="s">
        <v>485</v>
      </c>
      <c r="G236" s="2">
        <v>13.362</v>
      </c>
      <c r="H236" s="2">
        <v>-13.362</v>
      </c>
      <c r="I236" s="2" t="s">
        <v>122</v>
      </c>
    </row>
    <row r="237" spans="1:9" x14ac:dyDescent="0.35">
      <c r="A237" s="2">
        <v>202607</v>
      </c>
      <c r="B237" s="2">
        <v>1400</v>
      </c>
      <c r="C237" s="2">
        <v>3400</v>
      </c>
      <c r="D237" s="2" t="s">
        <v>486</v>
      </c>
      <c r="E237" s="2" t="s">
        <v>15</v>
      </c>
      <c r="F237" s="2" t="s">
        <v>487</v>
      </c>
      <c r="G237" s="2">
        <v>0.75600000000000001</v>
      </c>
      <c r="H237" s="2">
        <v>-0.75600000000000001</v>
      </c>
      <c r="I237" s="2" t="s">
        <v>122</v>
      </c>
    </row>
    <row r="238" spans="1:9" x14ac:dyDescent="0.35">
      <c r="A238" s="2">
        <v>202607</v>
      </c>
      <c r="B238" s="2">
        <v>1400</v>
      </c>
      <c r="C238" s="2">
        <v>3670</v>
      </c>
      <c r="D238" s="2" t="s">
        <v>488</v>
      </c>
      <c r="E238" s="2" t="s">
        <v>15</v>
      </c>
      <c r="F238" s="2" t="s">
        <v>489</v>
      </c>
      <c r="G238" s="2">
        <v>0.49199999999999999</v>
      </c>
      <c r="H238" s="2">
        <v>-0.49199999999999999</v>
      </c>
      <c r="I238" s="2" t="s">
        <v>122</v>
      </c>
    </row>
    <row r="239" spans="1:9" x14ac:dyDescent="0.35">
      <c r="A239" s="2">
        <v>202607</v>
      </c>
      <c r="B239" s="2">
        <v>1400</v>
      </c>
      <c r="C239" s="2">
        <v>5000</v>
      </c>
      <c r="D239" s="2" t="s">
        <v>490</v>
      </c>
      <c r="E239" s="2" t="s">
        <v>35</v>
      </c>
      <c r="F239" s="2" t="s">
        <v>491</v>
      </c>
      <c r="G239" s="2">
        <v>7.8639999999999999</v>
      </c>
      <c r="H239" s="2">
        <v>7.8639999999999999</v>
      </c>
      <c r="I239" s="2" t="s">
        <v>122</v>
      </c>
    </row>
    <row r="240" spans="1:9" x14ac:dyDescent="0.35">
      <c r="A240" s="2">
        <v>202607</v>
      </c>
      <c r="B240" s="2">
        <v>1400</v>
      </c>
      <c r="C240" s="2">
        <v>6300</v>
      </c>
      <c r="D240" s="2" t="s">
        <v>54</v>
      </c>
      <c r="E240" s="2" t="s">
        <v>35</v>
      </c>
      <c r="F240" s="2" t="s">
        <v>492</v>
      </c>
      <c r="G240" s="2">
        <v>2.6</v>
      </c>
      <c r="H240" s="2">
        <v>2.6</v>
      </c>
      <c r="I240" s="2" t="s">
        <v>122</v>
      </c>
    </row>
    <row r="241" spans="1:9" x14ac:dyDescent="0.35">
      <c r="A241" s="2">
        <v>202607</v>
      </c>
      <c r="B241" s="2">
        <v>1400</v>
      </c>
      <c r="C241" s="2">
        <v>6050</v>
      </c>
      <c r="D241" s="2" t="s">
        <v>493</v>
      </c>
      <c r="E241" s="2" t="s">
        <v>35</v>
      </c>
      <c r="F241" s="2" t="s">
        <v>494</v>
      </c>
      <c r="G241" s="2">
        <v>0.81</v>
      </c>
      <c r="H241" s="2">
        <v>0.81</v>
      </c>
      <c r="I241" s="2" t="s">
        <v>122</v>
      </c>
    </row>
    <row r="242" spans="1:9" x14ac:dyDescent="0.35">
      <c r="A242" s="2">
        <v>202607</v>
      </c>
      <c r="B242" s="2">
        <v>1500</v>
      </c>
      <c r="C242" s="2">
        <v>3900</v>
      </c>
      <c r="D242" s="2" t="s">
        <v>31</v>
      </c>
      <c r="E242" s="2" t="s">
        <v>15</v>
      </c>
      <c r="F242" s="2" t="s">
        <v>485</v>
      </c>
      <c r="G242" s="2">
        <v>10.28</v>
      </c>
      <c r="H242" s="2">
        <v>-10.28</v>
      </c>
      <c r="I242" s="2" t="s">
        <v>122</v>
      </c>
    </row>
    <row r="243" spans="1:9" x14ac:dyDescent="0.35">
      <c r="A243" s="2">
        <v>202607</v>
      </c>
      <c r="B243" s="2">
        <v>1500</v>
      </c>
      <c r="C243" s="2">
        <v>3400</v>
      </c>
      <c r="D243" s="2" t="s">
        <v>486</v>
      </c>
      <c r="E243" s="2" t="s">
        <v>15</v>
      </c>
      <c r="F243" s="2" t="s">
        <v>487</v>
      </c>
      <c r="G243" s="2">
        <v>0.504</v>
      </c>
      <c r="H243" s="2">
        <v>-0.504</v>
      </c>
      <c r="I243" s="2" t="s">
        <v>122</v>
      </c>
    </row>
    <row r="244" spans="1:9" x14ac:dyDescent="0.35">
      <c r="A244" s="2">
        <v>202607</v>
      </c>
      <c r="B244" s="2">
        <v>1500</v>
      </c>
      <c r="C244" s="2">
        <v>3670</v>
      </c>
      <c r="D244" s="2" t="s">
        <v>488</v>
      </c>
      <c r="E244" s="2" t="s">
        <v>15</v>
      </c>
      <c r="F244" s="2" t="s">
        <v>489</v>
      </c>
      <c r="G244" s="2">
        <v>0.32600000000000001</v>
      </c>
      <c r="H244" s="2">
        <v>-0.32600000000000001</v>
      </c>
      <c r="I244" s="2" t="s">
        <v>122</v>
      </c>
    </row>
    <row r="245" spans="1:9" x14ac:dyDescent="0.35">
      <c r="A245" s="2">
        <v>202607</v>
      </c>
      <c r="B245" s="2">
        <v>1500</v>
      </c>
      <c r="C245" s="2">
        <v>5000</v>
      </c>
      <c r="D245" s="2" t="s">
        <v>490</v>
      </c>
      <c r="E245" s="2" t="s">
        <v>35</v>
      </c>
      <c r="F245" s="2" t="s">
        <v>491</v>
      </c>
      <c r="G245" s="2">
        <v>6.05</v>
      </c>
      <c r="H245" s="2">
        <v>6.05</v>
      </c>
      <c r="I245" s="2" t="s">
        <v>122</v>
      </c>
    </row>
    <row r="246" spans="1:9" x14ac:dyDescent="0.35">
      <c r="A246" s="2">
        <v>202607</v>
      </c>
      <c r="B246" s="2">
        <v>1500</v>
      </c>
      <c r="C246" s="2">
        <v>6300</v>
      </c>
      <c r="D246" s="2" t="s">
        <v>54</v>
      </c>
      <c r="E246" s="2" t="s">
        <v>35</v>
      </c>
      <c r="F246" s="2" t="s">
        <v>492</v>
      </c>
      <c r="G246" s="2">
        <v>2</v>
      </c>
      <c r="H246" s="2">
        <v>2</v>
      </c>
      <c r="I246" s="2" t="s">
        <v>122</v>
      </c>
    </row>
    <row r="247" spans="1:9" x14ac:dyDescent="0.35">
      <c r="A247" s="2">
        <v>202607</v>
      </c>
      <c r="B247" s="2">
        <v>1500</v>
      </c>
      <c r="C247" s="2">
        <v>6050</v>
      </c>
      <c r="D247" s="2" t="s">
        <v>493</v>
      </c>
      <c r="E247" s="2" t="s">
        <v>35</v>
      </c>
      <c r="F247" s="2" t="s">
        <v>494</v>
      </c>
      <c r="G247" s="2">
        <v>0.63</v>
      </c>
      <c r="H247" s="2">
        <v>0.63</v>
      </c>
      <c r="I247" s="2" t="s">
        <v>122</v>
      </c>
    </row>
    <row r="248" spans="1:9" x14ac:dyDescent="0.35">
      <c r="A248" s="2">
        <v>202607</v>
      </c>
      <c r="B248" s="2">
        <v>1900</v>
      </c>
      <c r="C248" s="2">
        <v>3900</v>
      </c>
      <c r="D248" s="2" t="s">
        <v>31</v>
      </c>
      <c r="E248" s="2" t="s">
        <v>15</v>
      </c>
      <c r="F248" s="2" t="s">
        <v>485</v>
      </c>
      <c r="G248" s="2">
        <v>7.1980000000000004</v>
      </c>
      <c r="H248" s="2">
        <v>-7.1980000000000004</v>
      </c>
      <c r="I248" s="2" t="s">
        <v>122</v>
      </c>
    </row>
    <row r="249" spans="1:9" x14ac:dyDescent="0.35">
      <c r="A249" s="2">
        <v>202607</v>
      </c>
      <c r="B249" s="2">
        <v>1900</v>
      </c>
      <c r="C249" s="2">
        <v>3400</v>
      </c>
      <c r="D249" s="2" t="s">
        <v>486</v>
      </c>
      <c r="E249" s="2" t="s">
        <v>15</v>
      </c>
      <c r="F249" s="2" t="s">
        <v>487</v>
      </c>
      <c r="G249" s="2">
        <v>0.151</v>
      </c>
      <c r="H249" s="2">
        <v>-0.151</v>
      </c>
      <c r="I249" s="2" t="s">
        <v>122</v>
      </c>
    </row>
    <row r="250" spans="1:9" x14ac:dyDescent="0.35">
      <c r="A250" s="2">
        <v>202607</v>
      </c>
      <c r="B250" s="2">
        <v>1900</v>
      </c>
      <c r="C250" s="2">
        <v>3670</v>
      </c>
      <c r="D250" s="2" t="s">
        <v>488</v>
      </c>
      <c r="E250" s="2" t="s">
        <v>15</v>
      </c>
      <c r="F250" s="2" t="s">
        <v>489</v>
      </c>
      <c r="G250" s="2">
        <v>1.05</v>
      </c>
      <c r="H250" s="2">
        <v>-1.05</v>
      </c>
      <c r="I250" s="2" t="s">
        <v>122</v>
      </c>
    </row>
    <row r="251" spans="1:9" x14ac:dyDescent="0.35">
      <c r="A251" s="2">
        <v>202607</v>
      </c>
      <c r="B251" s="2">
        <v>1900</v>
      </c>
      <c r="C251" s="2">
        <v>5000</v>
      </c>
      <c r="D251" s="2" t="s">
        <v>490</v>
      </c>
      <c r="E251" s="2" t="s">
        <v>35</v>
      </c>
      <c r="F251" s="2" t="s">
        <v>491</v>
      </c>
      <c r="G251" s="2">
        <v>4.8390000000000004</v>
      </c>
      <c r="H251" s="2">
        <v>4.8390000000000004</v>
      </c>
      <c r="I251" s="2" t="s">
        <v>122</v>
      </c>
    </row>
    <row r="252" spans="1:9" x14ac:dyDescent="0.35">
      <c r="A252" s="2">
        <v>202607</v>
      </c>
      <c r="B252" s="2">
        <v>1900</v>
      </c>
      <c r="C252" s="2">
        <v>6300</v>
      </c>
      <c r="D252" s="2" t="s">
        <v>54</v>
      </c>
      <c r="E252" s="2" t="s">
        <v>35</v>
      </c>
      <c r="F252" s="2" t="s">
        <v>492</v>
      </c>
      <c r="G252" s="2">
        <v>1.6</v>
      </c>
      <c r="H252" s="2">
        <v>1.6</v>
      </c>
      <c r="I252" s="2" t="s">
        <v>122</v>
      </c>
    </row>
    <row r="253" spans="1:9" x14ac:dyDescent="0.35">
      <c r="A253" s="2">
        <v>202607</v>
      </c>
      <c r="B253" s="2">
        <v>1900</v>
      </c>
      <c r="C253" s="2">
        <v>6050</v>
      </c>
      <c r="D253" s="2" t="s">
        <v>493</v>
      </c>
      <c r="E253" s="2" t="s">
        <v>35</v>
      </c>
      <c r="F253" s="2" t="s">
        <v>494</v>
      </c>
      <c r="G253" s="2">
        <v>0.81</v>
      </c>
      <c r="H253" s="2">
        <v>0.81</v>
      </c>
      <c r="I253" s="2" t="s">
        <v>122</v>
      </c>
    </row>
    <row r="254" spans="1:9" x14ac:dyDescent="0.35">
      <c r="A254" s="2">
        <v>202608</v>
      </c>
      <c r="B254" s="2">
        <v>1100</v>
      </c>
      <c r="C254" s="2">
        <v>3900</v>
      </c>
      <c r="D254" s="2" t="s">
        <v>31</v>
      </c>
      <c r="E254" s="2" t="s">
        <v>15</v>
      </c>
      <c r="F254" s="2" t="s">
        <v>485</v>
      </c>
      <c r="G254" s="2">
        <v>20.56</v>
      </c>
      <c r="H254" s="2">
        <v>-20.56</v>
      </c>
      <c r="I254" s="2" t="s">
        <v>122</v>
      </c>
    </row>
    <row r="255" spans="1:9" x14ac:dyDescent="0.35">
      <c r="A255" s="2">
        <v>202608</v>
      </c>
      <c r="B255" s="2">
        <v>1100</v>
      </c>
      <c r="C255" s="2">
        <v>3400</v>
      </c>
      <c r="D255" s="2" t="s">
        <v>486</v>
      </c>
      <c r="E255" s="2" t="s">
        <v>15</v>
      </c>
      <c r="F255" s="2" t="s">
        <v>487</v>
      </c>
      <c r="G255" s="2">
        <v>1.7529999999999999</v>
      </c>
      <c r="H255" s="2">
        <v>-1.7529999999999999</v>
      </c>
      <c r="I255" s="2" t="s">
        <v>122</v>
      </c>
    </row>
    <row r="256" spans="1:9" x14ac:dyDescent="0.35">
      <c r="A256" s="2">
        <v>202608</v>
      </c>
      <c r="B256" s="2">
        <v>1100</v>
      </c>
      <c r="C256" s="2">
        <v>3670</v>
      </c>
      <c r="D256" s="2" t="s">
        <v>488</v>
      </c>
      <c r="E256" s="2" t="s">
        <v>15</v>
      </c>
      <c r="F256" s="2" t="s">
        <v>489</v>
      </c>
      <c r="G256" s="2">
        <v>0.67700000000000005</v>
      </c>
      <c r="H256" s="2">
        <v>-0.67700000000000005</v>
      </c>
      <c r="I256" s="2" t="s">
        <v>122</v>
      </c>
    </row>
    <row r="257" spans="1:9" x14ac:dyDescent="0.35">
      <c r="A257" s="2">
        <v>202608</v>
      </c>
      <c r="B257" s="2">
        <v>1100</v>
      </c>
      <c r="C257" s="2">
        <v>5000</v>
      </c>
      <c r="D257" s="2" t="s">
        <v>490</v>
      </c>
      <c r="E257" s="2" t="s">
        <v>35</v>
      </c>
      <c r="F257" s="2" t="s">
        <v>491</v>
      </c>
      <c r="G257" s="2">
        <v>14.632999999999999</v>
      </c>
      <c r="H257" s="2">
        <v>14.632999999999999</v>
      </c>
      <c r="I257" s="2" t="s">
        <v>122</v>
      </c>
    </row>
    <row r="258" spans="1:9" x14ac:dyDescent="0.35">
      <c r="A258" s="2">
        <v>202608</v>
      </c>
      <c r="B258" s="2">
        <v>1100</v>
      </c>
      <c r="C258" s="2">
        <v>6300</v>
      </c>
      <c r="D258" s="2" t="s">
        <v>54</v>
      </c>
      <c r="E258" s="2" t="s">
        <v>35</v>
      </c>
      <c r="F258" s="2" t="s">
        <v>492</v>
      </c>
      <c r="G258" s="2">
        <v>5.13</v>
      </c>
      <c r="H258" s="2">
        <v>5.13</v>
      </c>
      <c r="I258" s="2" t="s">
        <v>122</v>
      </c>
    </row>
    <row r="259" spans="1:9" x14ac:dyDescent="0.35">
      <c r="A259" s="2">
        <v>202608</v>
      </c>
      <c r="B259" s="2">
        <v>1100</v>
      </c>
      <c r="C259" s="2">
        <v>6050</v>
      </c>
      <c r="D259" s="2" t="s">
        <v>493</v>
      </c>
      <c r="E259" s="2" t="s">
        <v>35</v>
      </c>
      <c r="F259" s="2" t="s">
        <v>494</v>
      </c>
      <c r="G259" s="2">
        <v>2.66</v>
      </c>
      <c r="H259" s="2">
        <v>2.66</v>
      </c>
      <c r="I259" s="2" t="s">
        <v>122</v>
      </c>
    </row>
    <row r="260" spans="1:9" x14ac:dyDescent="0.35">
      <c r="A260" s="2">
        <v>202608</v>
      </c>
      <c r="B260" s="2">
        <v>1200</v>
      </c>
      <c r="C260" s="2">
        <v>3900</v>
      </c>
      <c r="D260" s="2" t="s">
        <v>31</v>
      </c>
      <c r="E260" s="2" t="s">
        <v>15</v>
      </c>
      <c r="F260" s="2" t="s">
        <v>485</v>
      </c>
      <c r="G260" s="2">
        <v>27.757999999999999</v>
      </c>
      <c r="H260" s="2">
        <v>-27.757999999999999</v>
      </c>
      <c r="I260" s="2" t="s">
        <v>122</v>
      </c>
    </row>
    <row r="261" spans="1:9" x14ac:dyDescent="0.35">
      <c r="A261" s="2">
        <v>202608</v>
      </c>
      <c r="B261" s="2">
        <v>1200</v>
      </c>
      <c r="C261" s="2">
        <v>3400</v>
      </c>
      <c r="D261" s="2" t="s">
        <v>486</v>
      </c>
      <c r="E261" s="2" t="s">
        <v>15</v>
      </c>
      <c r="F261" s="2" t="s">
        <v>487</v>
      </c>
      <c r="G261" s="2">
        <v>3.8239999999999998</v>
      </c>
      <c r="H261" s="2">
        <v>-3.8239999999999998</v>
      </c>
      <c r="I261" s="2" t="s">
        <v>122</v>
      </c>
    </row>
    <row r="262" spans="1:9" x14ac:dyDescent="0.35">
      <c r="A262" s="2">
        <v>202608</v>
      </c>
      <c r="B262" s="2">
        <v>1200</v>
      </c>
      <c r="C262" s="2">
        <v>3670</v>
      </c>
      <c r="D262" s="2" t="s">
        <v>488</v>
      </c>
      <c r="E262" s="2" t="s">
        <v>15</v>
      </c>
      <c r="F262" s="2" t="s">
        <v>489</v>
      </c>
      <c r="G262" s="2">
        <v>1.702</v>
      </c>
      <c r="H262" s="2">
        <v>-1.702</v>
      </c>
      <c r="I262" s="2" t="s">
        <v>122</v>
      </c>
    </row>
    <row r="263" spans="1:9" x14ac:dyDescent="0.35">
      <c r="A263" s="2">
        <v>202608</v>
      </c>
      <c r="B263" s="2">
        <v>1200</v>
      </c>
      <c r="C263" s="2">
        <v>5000</v>
      </c>
      <c r="D263" s="2" t="s">
        <v>490</v>
      </c>
      <c r="E263" s="2" t="s">
        <v>35</v>
      </c>
      <c r="F263" s="2" t="s">
        <v>491</v>
      </c>
      <c r="G263" s="2">
        <v>20.792000000000002</v>
      </c>
      <c r="H263" s="2">
        <v>20.792000000000002</v>
      </c>
      <c r="I263" s="2" t="s">
        <v>122</v>
      </c>
    </row>
    <row r="264" spans="1:9" x14ac:dyDescent="0.35">
      <c r="A264" s="2">
        <v>202608</v>
      </c>
      <c r="B264" s="2">
        <v>1200</v>
      </c>
      <c r="C264" s="2">
        <v>6300</v>
      </c>
      <c r="D264" s="2" t="s">
        <v>54</v>
      </c>
      <c r="E264" s="2" t="s">
        <v>35</v>
      </c>
      <c r="F264" s="2" t="s">
        <v>492</v>
      </c>
      <c r="G264" s="2">
        <v>7.29</v>
      </c>
      <c r="H264" s="2">
        <v>7.29</v>
      </c>
      <c r="I264" s="2" t="s">
        <v>122</v>
      </c>
    </row>
    <row r="265" spans="1:9" x14ac:dyDescent="0.35">
      <c r="A265" s="2">
        <v>202608</v>
      </c>
      <c r="B265" s="2">
        <v>1200</v>
      </c>
      <c r="C265" s="2">
        <v>6050</v>
      </c>
      <c r="D265" s="2" t="s">
        <v>493</v>
      </c>
      <c r="E265" s="2" t="s">
        <v>35</v>
      </c>
      <c r="F265" s="2" t="s">
        <v>494</v>
      </c>
      <c r="G265" s="2">
        <v>4.9000000000000004</v>
      </c>
      <c r="H265" s="2">
        <v>4.9000000000000004</v>
      </c>
      <c r="I265" s="2" t="s">
        <v>122</v>
      </c>
    </row>
    <row r="266" spans="1:9" x14ac:dyDescent="0.35">
      <c r="A266" s="2">
        <v>202608</v>
      </c>
      <c r="B266" s="2">
        <v>1300</v>
      </c>
      <c r="C266" s="2">
        <v>3900</v>
      </c>
      <c r="D266" s="2" t="s">
        <v>31</v>
      </c>
      <c r="E266" s="2" t="s">
        <v>15</v>
      </c>
      <c r="F266" s="2" t="s">
        <v>485</v>
      </c>
      <c r="G266" s="2">
        <v>23.641999999999999</v>
      </c>
      <c r="H266" s="2">
        <v>-23.641999999999999</v>
      </c>
      <c r="I266" s="2" t="s">
        <v>122</v>
      </c>
    </row>
    <row r="267" spans="1:9" x14ac:dyDescent="0.35">
      <c r="A267" s="2">
        <v>202608</v>
      </c>
      <c r="B267" s="2">
        <v>1300</v>
      </c>
      <c r="C267" s="2">
        <v>3400</v>
      </c>
      <c r="D267" s="2" t="s">
        <v>486</v>
      </c>
      <c r="E267" s="2" t="s">
        <v>15</v>
      </c>
      <c r="F267" s="2" t="s">
        <v>487</v>
      </c>
      <c r="G267" s="2">
        <v>1.992</v>
      </c>
      <c r="H267" s="2">
        <v>-1.992</v>
      </c>
      <c r="I267" s="2" t="s">
        <v>122</v>
      </c>
    </row>
    <row r="268" spans="1:9" x14ac:dyDescent="0.35">
      <c r="A268" s="2">
        <v>202608</v>
      </c>
      <c r="B268" s="2">
        <v>1300</v>
      </c>
      <c r="C268" s="2">
        <v>3670</v>
      </c>
      <c r="D268" s="2" t="s">
        <v>488</v>
      </c>
      <c r="E268" s="2" t="s">
        <v>15</v>
      </c>
      <c r="F268" s="2" t="s">
        <v>489</v>
      </c>
      <c r="G268" s="2">
        <v>1.2849999999999999</v>
      </c>
      <c r="H268" s="2">
        <v>-1.2849999999999999</v>
      </c>
      <c r="I268" s="2" t="s">
        <v>122</v>
      </c>
    </row>
    <row r="269" spans="1:9" x14ac:dyDescent="0.35">
      <c r="A269" s="2">
        <v>202608</v>
      </c>
      <c r="B269" s="2">
        <v>1300</v>
      </c>
      <c r="C269" s="2">
        <v>5000</v>
      </c>
      <c r="D269" s="2" t="s">
        <v>490</v>
      </c>
      <c r="E269" s="2" t="s">
        <v>35</v>
      </c>
      <c r="F269" s="2" t="s">
        <v>491</v>
      </c>
      <c r="G269" s="2">
        <v>17.707999999999998</v>
      </c>
      <c r="H269" s="2">
        <v>17.707999999999998</v>
      </c>
      <c r="I269" s="2" t="s">
        <v>122</v>
      </c>
    </row>
    <row r="270" spans="1:9" x14ac:dyDescent="0.35">
      <c r="A270" s="2">
        <v>202608</v>
      </c>
      <c r="B270" s="2">
        <v>1300</v>
      </c>
      <c r="C270" s="2">
        <v>6300</v>
      </c>
      <c r="D270" s="2" t="s">
        <v>54</v>
      </c>
      <c r="E270" s="2" t="s">
        <v>35</v>
      </c>
      <c r="F270" s="2" t="s">
        <v>492</v>
      </c>
      <c r="G270" s="2">
        <v>6.21</v>
      </c>
      <c r="H270" s="2">
        <v>6.21</v>
      </c>
      <c r="I270" s="2" t="s">
        <v>122</v>
      </c>
    </row>
    <row r="271" spans="1:9" x14ac:dyDescent="0.35">
      <c r="A271" s="2">
        <v>202608</v>
      </c>
      <c r="B271" s="2">
        <v>1300</v>
      </c>
      <c r="C271" s="2">
        <v>6050</v>
      </c>
      <c r="D271" s="2" t="s">
        <v>493</v>
      </c>
      <c r="E271" s="2" t="s">
        <v>35</v>
      </c>
      <c r="F271" s="2" t="s">
        <v>494</v>
      </c>
      <c r="G271" s="2">
        <v>2.94</v>
      </c>
      <c r="H271" s="2">
        <v>2.94</v>
      </c>
      <c r="I271" s="2" t="s">
        <v>122</v>
      </c>
    </row>
    <row r="272" spans="1:9" x14ac:dyDescent="0.35">
      <c r="A272" s="2">
        <v>202608</v>
      </c>
      <c r="B272" s="2">
        <v>1400</v>
      </c>
      <c r="C272" s="2">
        <v>3900</v>
      </c>
      <c r="D272" s="2" t="s">
        <v>31</v>
      </c>
      <c r="E272" s="2" t="s">
        <v>15</v>
      </c>
      <c r="F272" s="2" t="s">
        <v>485</v>
      </c>
      <c r="G272" s="2">
        <v>13.362</v>
      </c>
      <c r="H272" s="2">
        <v>-13.362</v>
      </c>
      <c r="I272" s="2" t="s">
        <v>122</v>
      </c>
    </row>
    <row r="273" spans="1:9" x14ac:dyDescent="0.35">
      <c r="A273" s="2">
        <v>202608</v>
      </c>
      <c r="B273" s="2">
        <v>1400</v>
      </c>
      <c r="C273" s="2">
        <v>3400</v>
      </c>
      <c r="D273" s="2" t="s">
        <v>486</v>
      </c>
      <c r="E273" s="2" t="s">
        <v>15</v>
      </c>
      <c r="F273" s="2" t="s">
        <v>487</v>
      </c>
      <c r="G273" s="2">
        <v>1.1950000000000001</v>
      </c>
      <c r="H273" s="2">
        <v>-1.1950000000000001</v>
      </c>
      <c r="I273" s="2" t="s">
        <v>122</v>
      </c>
    </row>
    <row r="274" spans="1:9" x14ac:dyDescent="0.35">
      <c r="A274" s="2">
        <v>202608</v>
      </c>
      <c r="B274" s="2">
        <v>1400</v>
      </c>
      <c r="C274" s="2">
        <v>3670</v>
      </c>
      <c r="D274" s="2" t="s">
        <v>488</v>
      </c>
      <c r="E274" s="2" t="s">
        <v>15</v>
      </c>
      <c r="F274" s="2" t="s">
        <v>489</v>
      </c>
      <c r="G274" s="2">
        <v>0.77300000000000002</v>
      </c>
      <c r="H274" s="2">
        <v>-0.77300000000000002</v>
      </c>
      <c r="I274" s="2" t="s">
        <v>122</v>
      </c>
    </row>
    <row r="275" spans="1:9" x14ac:dyDescent="0.35">
      <c r="A275" s="2">
        <v>202608</v>
      </c>
      <c r="B275" s="2">
        <v>1400</v>
      </c>
      <c r="C275" s="2">
        <v>5000</v>
      </c>
      <c r="D275" s="2" t="s">
        <v>490</v>
      </c>
      <c r="E275" s="2" t="s">
        <v>35</v>
      </c>
      <c r="F275" s="2" t="s">
        <v>491</v>
      </c>
      <c r="G275" s="2">
        <v>10.007999999999999</v>
      </c>
      <c r="H275" s="2">
        <v>10.007999999999999</v>
      </c>
      <c r="I275" s="2" t="s">
        <v>122</v>
      </c>
    </row>
    <row r="276" spans="1:9" x14ac:dyDescent="0.35">
      <c r="A276" s="2">
        <v>202608</v>
      </c>
      <c r="B276" s="2">
        <v>1400</v>
      </c>
      <c r="C276" s="2">
        <v>6300</v>
      </c>
      <c r="D276" s="2" t="s">
        <v>54</v>
      </c>
      <c r="E276" s="2" t="s">
        <v>35</v>
      </c>
      <c r="F276" s="2" t="s">
        <v>492</v>
      </c>
      <c r="G276" s="2">
        <v>3.51</v>
      </c>
      <c r="H276" s="2">
        <v>3.51</v>
      </c>
      <c r="I276" s="2" t="s">
        <v>122</v>
      </c>
    </row>
    <row r="277" spans="1:9" x14ac:dyDescent="0.35">
      <c r="A277" s="2">
        <v>202608</v>
      </c>
      <c r="B277" s="2">
        <v>1400</v>
      </c>
      <c r="C277" s="2">
        <v>6050</v>
      </c>
      <c r="D277" s="2" t="s">
        <v>493</v>
      </c>
      <c r="E277" s="2" t="s">
        <v>35</v>
      </c>
      <c r="F277" s="2" t="s">
        <v>494</v>
      </c>
      <c r="G277" s="2">
        <v>1.26</v>
      </c>
      <c r="H277" s="2">
        <v>1.26</v>
      </c>
      <c r="I277" s="2" t="s">
        <v>122</v>
      </c>
    </row>
    <row r="278" spans="1:9" x14ac:dyDescent="0.35">
      <c r="A278" s="2">
        <v>202608</v>
      </c>
      <c r="B278" s="2">
        <v>1500</v>
      </c>
      <c r="C278" s="2">
        <v>3900</v>
      </c>
      <c r="D278" s="2" t="s">
        <v>31</v>
      </c>
      <c r="E278" s="2" t="s">
        <v>15</v>
      </c>
      <c r="F278" s="2" t="s">
        <v>485</v>
      </c>
      <c r="G278" s="2">
        <v>10.28</v>
      </c>
      <c r="H278" s="2">
        <v>-10.28</v>
      </c>
      <c r="I278" s="2" t="s">
        <v>122</v>
      </c>
    </row>
    <row r="279" spans="1:9" x14ac:dyDescent="0.35">
      <c r="A279" s="2">
        <v>202608</v>
      </c>
      <c r="B279" s="2">
        <v>1500</v>
      </c>
      <c r="C279" s="2">
        <v>3400</v>
      </c>
      <c r="D279" s="2" t="s">
        <v>486</v>
      </c>
      <c r="E279" s="2" t="s">
        <v>15</v>
      </c>
      <c r="F279" s="2" t="s">
        <v>487</v>
      </c>
      <c r="G279" s="2">
        <v>0.79700000000000004</v>
      </c>
      <c r="H279" s="2">
        <v>-0.79700000000000004</v>
      </c>
      <c r="I279" s="2" t="s">
        <v>122</v>
      </c>
    </row>
    <row r="280" spans="1:9" x14ac:dyDescent="0.35">
      <c r="A280" s="2">
        <v>202608</v>
      </c>
      <c r="B280" s="2">
        <v>1500</v>
      </c>
      <c r="C280" s="2">
        <v>3670</v>
      </c>
      <c r="D280" s="2" t="s">
        <v>488</v>
      </c>
      <c r="E280" s="2" t="s">
        <v>15</v>
      </c>
      <c r="F280" s="2" t="s">
        <v>489</v>
      </c>
      <c r="G280" s="2">
        <v>0.51200000000000001</v>
      </c>
      <c r="H280" s="2">
        <v>-0.51200000000000001</v>
      </c>
      <c r="I280" s="2" t="s">
        <v>122</v>
      </c>
    </row>
    <row r="281" spans="1:9" x14ac:dyDescent="0.35">
      <c r="A281" s="2">
        <v>202608</v>
      </c>
      <c r="B281" s="2">
        <v>1500</v>
      </c>
      <c r="C281" s="2">
        <v>5000</v>
      </c>
      <c r="D281" s="2" t="s">
        <v>490</v>
      </c>
      <c r="E281" s="2" t="s">
        <v>35</v>
      </c>
      <c r="F281" s="2" t="s">
        <v>491</v>
      </c>
      <c r="G281" s="2">
        <v>7.7</v>
      </c>
      <c r="H281" s="2">
        <v>7.7</v>
      </c>
      <c r="I281" s="2" t="s">
        <v>122</v>
      </c>
    </row>
    <row r="282" spans="1:9" x14ac:dyDescent="0.35">
      <c r="A282" s="2">
        <v>202608</v>
      </c>
      <c r="B282" s="2">
        <v>1500</v>
      </c>
      <c r="C282" s="2">
        <v>6300</v>
      </c>
      <c r="D282" s="2" t="s">
        <v>54</v>
      </c>
      <c r="E282" s="2" t="s">
        <v>35</v>
      </c>
      <c r="F282" s="2" t="s">
        <v>492</v>
      </c>
      <c r="G282" s="2">
        <v>2.7</v>
      </c>
      <c r="H282" s="2">
        <v>2.7</v>
      </c>
      <c r="I282" s="2" t="s">
        <v>122</v>
      </c>
    </row>
    <row r="283" spans="1:9" x14ac:dyDescent="0.35">
      <c r="A283" s="2">
        <v>202608</v>
      </c>
      <c r="B283" s="2">
        <v>1500</v>
      </c>
      <c r="C283" s="2">
        <v>6050</v>
      </c>
      <c r="D283" s="2" t="s">
        <v>493</v>
      </c>
      <c r="E283" s="2" t="s">
        <v>35</v>
      </c>
      <c r="F283" s="2" t="s">
        <v>494</v>
      </c>
      <c r="G283" s="2">
        <v>0.98</v>
      </c>
      <c r="H283" s="2">
        <v>0.98</v>
      </c>
      <c r="I283" s="2" t="s">
        <v>122</v>
      </c>
    </row>
    <row r="284" spans="1:9" x14ac:dyDescent="0.35">
      <c r="A284" s="2">
        <v>202608</v>
      </c>
      <c r="B284" s="2">
        <v>1900</v>
      </c>
      <c r="C284" s="2">
        <v>3900</v>
      </c>
      <c r="D284" s="2" t="s">
        <v>31</v>
      </c>
      <c r="E284" s="2" t="s">
        <v>15</v>
      </c>
      <c r="F284" s="2" t="s">
        <v>485</v>
      </c>
      <c r="G284" s="2">
        <v>7.1980000000000004</v>
      </c>
      <c r="H284" s="2">
        <v>-7.1980000000000004</v>
      </c>
      <c r="I284" s="2" t="s">
        <v>122</v>
      </c>
    </row>
    <row r="285" spans="1:9" x14ac:dyDescent="0.35">
      <c r="A285" s="2">
        <v>202608</v>
      </c>
      <c r="B285" s="2">
        <v>1900</v>
      </c>
      <c r="C285" s="2">
        <v>3400</v>
      </c>
      <c r="D285" s="2" t="s">
        <v>486</v>
      </c>
      <c r="E285" s="2" t="s">
        <v>15</v>
      </c>
      <c r="F285" s="2" t="s">
        <v>487</v>
      </c>
      <c r="G285" s="2">
        <v>0.23899999999999999</v>
      </c>
      <c r="H285" s="2">
        <v>-0.23899999999999999</v>
      </c>
      <c r="I285" s="2" t="s">
        <v>122</v>
      </c>
    </row>
    <row r="286" spans="1:9" x14ac:dyDescent="0.35">
      <c r="A286" s="2">
        <v>202608</v>
      </c>
      <c r="B286" s="2">
        <v>1900</v>
      </c>
      <c r="C286" s="2">
        <v>3670</v>
      </c>
      <c r="D286" s="2" t="s">
        <v>488</v>
      </c>
      <c r="E286" s="2" t="s">
        <v>15</v>
      </c>
      <c r="F286" s="2" t="s">
        <v>489</v>
      </c>
      <c r="G286" s="2">
        <v>1.65</v>
      </c>
      <c r="H286" s="2">
        <v>-1.65</v>
      </c>
      <c r="I286" s="2" t="s">
        <v>122</v>
      </c>
    </row>
    <row r="287" spans="1:9" x14ac:dyDescent="0.35">
      <c r="A287" s="2">
        <v>202608</v>
      </c>
      <c r="B287" s="2">
        <v>1900</v>
      </c>
      <c r="C287" s="2">
        <v>5000</v>
      </c>
      <c r="D287" s="2" t="s">
        <v>490</v>
      </c>
      <c r="E287" s="2" t="s">
        <v>35</v>
      </c>
      <c r="F287" s="2" t="s">
        <v>491</v>
      </c>
      <c r="G287" s="2">
        <v>6.1580000000000004</v>
      </c>
      <c r="H287" s="2">
        <v>6.1580000000000004</v>
      </c>
      <c r="I287" s="2" t="s">
        <v>122</v>
      </c>
    </row>
    <row r="288" spans="1:9" x14ac:dyDescent="0.35">
      <c r="A288" s="2">
        <v>202608</v>
      </c>
      <c r="B288" s="2">
        <v>1900</v>
      </c>
      <c r="C288" s="2">
        <v>6300</v>
      </c>
      <c r="D288" s="2" t="s">
        <v>54</v>
      </c>
      <c r="E288" s="2" t="s">
        <v>35</v>
      </c>
      <c r="F288" s="2" t="s">
        <v>492</v>
      </c>
      <c r="G288" s="2">
        <v>2.16</v>
      </c>
      <c r="H288" s="2">
        <v>2.16</v>
      </c>
      <c r="I288" s="2" t="s">
        <v>122</v>
      </c>
    </row>
    <row r="289" spans="1:9" x14ac:dyDescent="0.35">
      <c r="A289" s="2">
        <v>202608</v>
      </c>
      <c r="B289" s="2">
        <v>1900</v>
      </c>
      <c r="C289" s="2">
        <v>6050</v>
      </c>
      <c r="D289" s="2" t="s">
        <v>493</v>
      </c>
      <c r="E289" s="2" t="s">
        <v>35</v>
      </c>
      <c r="F289" s="2" t="s">
        <v>494</v>
      </c>
      <c r="G289" s="2">
        <v>1.26</v>
      </c>
      <c r="H289" s="2">
        <v>1.26</v>
      </c>
      <c r="I289" s="2" t="s">
        <v>122</v>
      </c>
    </row>
    <row r="290" spans="1:9" x14ac:dyDescent="0.35">
      <c r="A290" s="2">
        <v>202609</v>
      </c>
      <c r="B290" s="2">
        <v>1100</v>
      </c>
      <c r="C290" s="2">
        <v>3900</v>
      </c>
      <c r="D290" s="2" t="s">
        <v>31</v>
      </c>
      <c r="E290" s="2" t="s">
        <v>15</v>
      </c>
      <c r="F290" s="2" t="s">
        <v>485</v>
      </c>
      <c r="G290" s="2">
        <v>20.58</v>
      </c>
      <c r="H290" s="2">
        <v>-20.58</v>
      </c>
      <c r="I290" s="2" t="s">
        <v>122</v>
      </c>
    </row>
    <row r="291" spans="1:9" x14ac:dyDescent="0.35">
      <c r="A291" s="2">
        <v>202609</v>
      </c>
      <c r="B291" s="2">
        <v>1100</v>
      </c>
      <c r="C291" s="2">
        <v>3400</v>
      </c>
      <c r="D291" s="2" t="s">
        <v>486</v>
      </c>
      <c r="E291" s="2" t="s">
        <v>15</v>
      </c>
      <c r="F291" s="2" t="s">
        <v>487</v>
      </c>
      <c r="G291" s="2">
        <v>2.0390000000000001</v>
      </c>
      <c r="H291" s="2">
        <v>-2.0390000000000001</v>
      </c>
      <c r="I291" s="2" t="s">
        <v>122</v>
      </c>
    </row>
    <row r="292" spans="1:9" x14ac:dyDescent="0.35">
      <c r="A292" s="2">
        <v>202609</v>
      </c>
      <c r="B292" s="2">
        <v>1100</v>
      </c>
      <c r="C292" s="2">
        <v>3670</v>
      </c>
      <c r="D292" s="2" t="s">
        <v>488</v>
      </c>
      <c r="E292" s="2" t="s">
        <v>15</v>
      </c>
      <c r="F292" s="2" t="s">
        <v>489</v>
      </c>
      <c r="G292" s="2">
        <v>0.84199999999999997</v>
      </c>
      <c r="H292" s="2">
        <v>-0.84199999999999997</v>
      </c>
      <c r="I292" s="2" t="s">
        <v>122</v>
      </c>
    </row>
    <row r="293" spans="1:9" x14ac:dyDescent="0.35">
      <c r="A293" s="2">
        <v>202609</v>
      </c>
      <c r="B293" s="2">
        <v>1100</v>
      </c>
      <c r="C293" s="2">
        <v>5000</v>
      </c>
      <c r="D293" s="2" t="s">
        <v>490</v>
      </c>
      <c r="E293" s="2" t="s">
        <v>35</v>
      </c>
      <c r="F293" s="2" t="s">
        <v>491</v>
      </c>
      <c r="G293" s="2">
        <v>15.108000000000001</v>
      </c>
      <c r="H293" s="2">
        <v>15.108000000000001</v>
      </c>
      <c r="I293" s="2" t="s">
        <v>122</v>
      </c>
    </row>
    <row r="294" spans="1:9" x14ac:dyDescent="0.35">
      <c r="A294" s="2">
        <v>202609</v>
      </c>
      <c r="B294" s="2">
        <v>1100</v>
      </c>
      <c r="C294" s="2">
        <v>6300</v>
      </c>
      <c r="D294" s="2" t="s">
        <v>54</v>
      </c>
      <c r="E294" s="2" t="s">
        <v>35</v>
      </c>
      <c r="F294" s="2" t="s">
        <v>492</v>
      </c>
      <c r="G294" s="2">
        <v>5.9850000000000003</v>
      </c>
      <c r="H294" s="2">
        <v>5.9850000000000003</v>
      </c>
      <c r="I294" s="2" t="s">
        <v>122</v>
      </c>
    </row>
    <row r="295" spans="1:9" x14ac:dyDescent="0.35">
      <c r="A295" s="2">
        <v>202609</v>
      </c>
      <c r="B295" s="2">
        <v>1100</v>
      </c>
      <c r="C295" s="2">
        <v>6050</v>
      </c>
      <c r="D295" s="2" t="s">
        <v>493</v>
      </c>
      <c r="E295" s="2" t="s">
        <v>35</v>
      </c>
      <c r="F295" s="2" t="s">
        <v>494</v>
      </c>
      <c r="G295" s="2">
        <v>2.85</v>
      </c>
      <c r="H295" s="2">
        <v>2.85</v>
      </c>
      <c r="I295" s="2" t="s">
        <v>122</v>
      </c>
    </row>
    <row r="296" spans="1:9" x14ac:dyDescent="0.35">
      <c r="A296" s="2">
        <v>202609</v>
      </c>
      <c r="B296" s="2">
        <v>1200</v>
      </c>
      <c r="C296" s="2">
        <v>3900</v>
      </c>
      <c r="D296" s="2" t="s">
        <v>31</v>
      </c>
      <c r="E296" s="2" t="s">
        <v>15</v>
      </c>
      <c r="F296" s="2" t="s">
        <v>485</v>
      </c>
      <c r="G296" s="2">
        <v>27.785</v>
      </c>
      <c r="H296" s="2">
        <v>-27.785</v>
      </c>
      <c r="I296" s="2" t="s">
        <v>122</v>
      </c>
    </row>
    <row r="297" spans="1:9" x14ac:dyDescent="0.35">
      <c r="A297" s="2">
        <v>202609</v>
      </c>
      <c r="B297" s="2">
        <v>1200</v>
      </c>
      <c r="C297" s="2">
        <v>3400</v>
      </c>
      <c r="D297" s="2" t="s">
        <v>486</v>
      </c>
      <c r="E297" s="2" t="s">
        <v>15</v>
      </c>
      <c r="F297" s="2" t="s">
        <v>487</v>
      </c>
      <c r="G297" s="2">
        <v>4.4489999999999998</v>
      </c>
      <c r="H297" s="2">
        <v>-4.4489999999999998</v>
      </c>
      <c r="I297" s="2" t="s">
        <v>122</v>
      </c>
    </row>
    <row r="298" spans="1:9" x14ac:dyDescent="0.35">
      <c r="A298" s="2">
        <v>202609</v>
      </c>
      <c r="B298" s="2">
        <v>1200</v>
      </c>
      <c r="C298" s="2">
        <v>3670</v>
      </c>
      <c r="D298" s="2" t="s">
        <v>488</v>
      </c>
      <c r="E298" s="2" t="s">
        <v>15</v>
      </c>
      <c r="F298" s="2" t="s">
        <v>489</v>
      </c>
      <c r="G298" s="2">
        <v>2.1150000000000002</v>
      </c>
      <c r="H298" s="2">
        <v>-2.1150000000000002</v>
      </c>
      <c r="I298" s="2" t="s">
        <v>122</v>
      </c>
    </row>
    <row r="299" spans="1:9" x14ac:dyDescent="0.35">
      <c r="A299" s="2">
        <v>202609</v>
      </c>
      <c r="B299" s="2">
        <v>1200</v>
      </c>
      <c r="C299" s="2">
        <v>5000</v>
      </c>
      <c r="D299" s="2" t="s">
        <v>490</v>
      </c>
      <c r="E299" s="2" t="s">
        <v>35</v>
      </c>
      <c r="F299" s="2" t="s">
        <v>491</v>
      </c>
      <c r="G299" s="2">
        <v>21.466999999999999</v>
      </c>
      <c r="H299" s="2">
        <v>21.466999999999999</v>
      </c>
      <c r="I299" s="2" t="s">
        <v>122</v>
      </c>
    </row>
    <row r="300" spans="1:9" x14ac:dyDescent="0.35">
      <c r="A300" s="2">
        <v>202609</v>
      </c>
      <c r="B300" s="2">
        <v>1200</v>
      </c>
      <c r="C300" s="2">
        <v>6300</v>
      </c>
      <c r="D300" s="2" t="s">
        <v>54</v>
      </c>
      <c r="E300" s="2" t="s">
        <v>35</v>
      </c>
      <c r="F300" s="2" t="s">
        <v>492</v>
      </c>
      <c r="G300" s="2">
        <v>8.5050000000000008</v>
      </c>
      <c r="H300" s="2">
        <v>8.5050000000000008</v>
      </c>
      <c r="I300" s="2" t="s">
        <v>122</v>
      </c>
    </row>
    <row r="301" spans="1:9" x14ac:dyDescent="0.35">
      <c r="A301" s="2">
        <v>202609</v>
      </c>
      <c r="B301" s="2">
        <v>1200</v>
      </c>
      <c r="C301" s="2">
        <v>6050</v>
      </c>
      <c r="D301" s="2" t="s">
        <v>493</v>
      </c>
      <c r="E301" s="2" t="s">
        <v>35</v>
      </c>
      <c r="F301" s="2" t="s">
        <v>494</v>
      </c>
      <c r="G301" s="2">
        <v>5.25</v>
      </c>
      <c r="H301" s="2">
        <v>5.25</v>
      </c>
      <c r="I301" s="2" t="s">
        <v>122</v>
      </c>
    </row>
    <row r="302" spans="1:9" x14ac:dyDescent="0.35">
      <c r="A302" s="2">
        <v>202609</v>
      </c>
      <c r="B302" s="2">
        <v>1300</v>
      </c>
      <c r="C302" s="2">
        <v>3900</v>
      </c>
      <c r="D302" s="2" t="s">
        <v>31</v>
      </c>
      <c r="E302" s="2" t="s">
        <v>15</v>
      </c>
      <c r="F302" s="2" t="s">
        <v>485</v>
      </c>
      <c r="G302" s="2">
        <v>23.664999999999999</v>
      </c>
      <c r="H302" s="2">
        <v>-23.664999999999999</v>
      </c>
      <c r="I302" s="2" t="s">
        <v>122</v>
      </c>
    </row>
    <row r="303" spans="1:9" x14ac:dyDescent="0.35">
      <c r="A303" s="2">
        <v>202609</v>
      </c>
      <c r="B303" s="2">
        <v>1300</v>
      </c>
      <c r="C303" s="2">
        <v>3400</v>
      </c>
      <c r="D303" s="2" t="s">
        <v>486</v>
      </c>
      <c r="E303" s="2" t="s">
        <v>15</v>
      </c>
      <c r="F303" s="2" t="s">
        <v>487</v>
      </c>
      <c r="G303" s="2">
        <v>2.3170000000000002</v>
      </c>
      <c r="H303" s="2">
        <v>-2.3170000000000002</v>
      </c>
      <c r="I303" s="2" t="s">
        <v>122</v>
      </c>
    </row>
    <row r="304" spans="1:9" x14ac:dyDescent="0.35">
      <c r="A304" s="2">
        <v>202609</v>
      </c>
      <c r="B304" s="2">
        <v>1300</v>
      </c>
      <c r="C304" s="2">
        <v>3670</v>
      </c>
      <c r="D304" s="2" t="s">
        <v>488</v>
      </c>
      <c r="E304" s="2" t="s">
        <v>15</v>
      </c>
      <c r="F304" s="2" t="s">
        <v>489</v>
      </c>
      <c r="G304" s="2">
        <v>1.597</v>
      </c>
      <c r="H304" s="2">
        <v>-1.597</v>
      </c>
      <c r="I304" s="2" t="s">
        <v>122</v>
      </c>
    </row>
    <row r="305" spans="1:9" x14ac:dyDescent="0.35">
      <c r="A305" s="2">
        <v>202609</v>
      </c>
      <c r="B305" s="2">
        <v>1300</v>
      </c>
      <c r="C305" s="2">
        <v>5000</v>
      </c>
      <c r="D305" s="2" t="s">
        <v>490</v>
      </c>
      <c r="E305" s="2" t="s">
        <v>35</v>
      </c>
      <c r="F305" s="2" t="s">
        <v>491</v>
      </c>
      <c r="G305" s="2">
        <v>18.283000000000001</v>
      </c>
      <c r="H305" s="2">
        <v>18.283000000000001</v>
      </c>
      <c r="I305" s="2" t="s">
        <v>122</v>
      </c>
    </row>
    <row r="306" spans="1:9" x14ac:dyDescent="0.35">
      <c r="A306" s="2">
        <v>202609</v>
      </c>
      <c r="B306" s="2">
        <v>1300</v>
      </c>
      <c r="C306" s="2">
        <v>6300</v>
      </c>
      <c r="D306" s="2" t="s">
        <v>54</v>
      </c>
      <c r="E306" s="2" t="s">
        <v>35</v>
      </c>
      <c r="F306" s="2" t="s">
        <v>492</v>
      </c>
      <c r="G306" s="2">
        <v>7.2450000000000001</v>
      </c>
      <c r="H306" s="2">
        <v>7.2450000000000001</v>
      </c>
      <c r="I306" s="2" t="s">
        <v>122</v>
      </c>
    </row>
    <row r="307" spans="1:9" x14ac:dyDescent="0.35">
      <c r="A307" s="2">
        <v>202609</v>
      </c>
      <c r="B307" s="2">
        <v>1300</v>
      </c>
      <c r="C307" s="2">
        <v>6050</v>
      </c>
      <c r="D307" s="2" t="s">
        <v>493</v>
      </c>
      <c r="E307" s="2" t="s">
        <v>35</v>
      </c>
      <c r="F307" s="2" t="s">
        <v>494</v>
      </c>
      <c r="G307" s="2">
        <v>3.15</v>
      </c>
      <c r="H307" s="2">
        <v>3.15</v>
      </c>
      <c r="I307" s="2" t="s">
        <v>122</v>
      </c>
    </row>
    <row r="308" spans="1:9" x14ac:dyDescent="0.35">
      <c r="A308" s="2">
        <v>202609</v>
      </c>
      <c r="B308" s="2">
        <v>1400</v>
      </c>
      <c r="C308" s="2">
        <v>3900</v>
      </c>
      <c r="D308" s="2" t="s">
        <v>31</v>
      </c>
      <c r="E308" s="2" t="s">
        <v>15</v>
      </c>
      <c r="F308" s="2" t="s">
        <v>485</v>
      </c>
      <c r="G308" s="2">
        <v>13.375</v>
      </c>
      <c r="H308" s="2">
        <v>-13.375</v>
      </c>
      <c r="I308" s="2" t="s">
        <v>122</v>
      </c>
    </row>
    <row r="309" spans="1:9" x14ac:dyDescent="0.35">
      <c r="A309" s="2">
        <v>202609</v>
      </c>
      <c r="B309" s="2">
        <v>1400</v>
      </c>
      <c r="C309" s="2">
        <v>3400</v>
      </c>
      <c r="D309" s="2" t="s">
        <v>486</v>
      </c>
      <c r="E309" s="2" t="s">
        <v>15</v>
      </c>
      <c r="F309" s="2" t="s">
        <v>487</v>
      </c>
      <c r="G309" s="2">
        <v>1.39</v>
      </c>
      <c r="H309" s="2">
        <v>-1.39</v>
      </c>
      <c r="I309" s="2" t="s">
        <v>122</v>
      </c>
    </row>
    <row r="310" spans="1:9" x14ac:dyDescent="0.35">
      <c r="A310" s="2">
        <v>202609</v>
      </c>
      <c r="B310" s="2">
        <v>1400</v>
      </c>
      <c r="C310" s="2">
        <v>3670</v>
      </c>
      <c r="D310" s="2" t="s">
        <v>488</v>
      </c>
      <c r="E310" s="2" t="s">
        <v>15</v>
      </c>
      <c r="F310" s="2" t="s">
        <v>489</v>
      </c>
      <c r="G310" s="2">
        <v>0.96</v>
      </c>
      <c r="H310" s="2">
        <v>-0.96</v>
      </c>
      <c r="I310" s="2" t="s">
        <v>122</v>
      </c>
    </row>
    <row r="311" spans="1:9" x14ac:dyDescent="0.35">
      <c r="A311" s="2">
        <v>202609</v>
      </c>
      <c r="B311" s="2">
        <v>1400</v>
      </c>
      <c r="C311" s="2">
        <v>5000</v>
      </c>
      <c r="D311" s="2" t="s">
        <v>490</v>
      </c>
      <c r="E311" s="2" t="s">
        <v>35</v>
      </c>
      <c r="F311" s="2" t="s">
        <v>491</v>
      </c>
      <c r="G311" s="2">
        <v>10.333</v>
      </c>
      <c r="H311" s="2">
        <v>10.333</v>
      </c>
      <c r="I311" s="2" t="s">
        <v>122</v>
      </c>
    </row>
    <row r="312" spans="1:9" x14ac:dyDescent="0.35">
      <c r="A312" s="2">
        <v>202609</v>
      </c>
      <c r="B312" s="2">
        <v>1400</v>
      </c>
      <c r="C312" s="2">
        <v>6300</v>
      </c>
      <c r="D312" s="2" t="s">
        <v>54</v>
      </c>
      <c r="E312" s="2" t="s">
        <v>35</v>
      </c>
      <c r="F312" s="2" t="s">
        <v>492</v>
      </c>
      <c r="G312" s="2">
        <v>4.0949999999999998</v>
      </c>
      <c r="H312" s="2">
        <v>4.0949999999999998</v>
      </c>
      <c r="I312" s="2" t="s">
        <v>122</v>
      </c>
    </row>
    <row r="313" spans="1:9" x14ac:dyDescent="0.35">
      <c r="A313" s="2">
        <v>202609</v>
      </c>
      <c r="B313" s="2">
        <v>1400</v>
      </c>
      <c r="C313" s="2">
        <v>6050</v>
      </c>
      <c r="D313" s="2" t="s">
        <v>493</v>
      </c>
      <c r="E313" s="2" t="s">
        <v>35</v>
      </c>
      <c r="F313" s="2" t="s">
        <v>494</v>
      </c>
      <c r="G313" s="2">
        <v>1.35</v>
      </c>
      <c r="H313" s="2">
        <v>1.35</v>
      </c>
      <c r="I313" s="2" t="s">
        <v>122</v>
      </c>
    </row>
    <row r="314" spans="1:9" x14ac:dyDescent="0.35">
      <c r="A314" s="2">
        <v>202609</v>
      </c>
      <c r="B314" s="2">
        <v>1500</v>
      </c>
      <c r="C314" s="2">
        <v>3900</v>
      </c>
      <c r="D314" s="2" t="s">
        <v>31</v>
      </c>
      <c r="E314" s="2" t="s">
        <v>15</v>
      </c>
      <c r="F314" s="2" t="s">
        <v>485</v>
      </c>
      <c r="G314" s="2">
        <v>10.29</v>
      </c>
      <c r="H314" s="2">
        <v>-10.29</v>
      </c>
      <c r="I314" s="2" t="s">
        <v>122</v>
      </c>
    </row>
    <row r="315" spans="1:9" x14ac:dyDescent="0.35">
      <c r="A315" s="2">
        <v>202609</v>
      </c>
      <c r="B315" s="2">
        <v>1500</v>
      </c>
      <c r="C315" s="2">
        <v>3400</v>
      </c>
      <c r="D315" s="2" t="s">
        <v>486</v>
      </c>
      <c r="E315" s="2" t="s">
        <v>15</v>
      </c>
      <c r="F315" s="2" t="s">
        <v>487</v>
      </c>
      <c r="G315" s="2">
        <v>0.92700000000000005</v>
      </c>
      <c r="H315" s="2">
        <v>-0.92700000000000005</v>
      </c>
      <c r="I315" s="2" t="s">
        <v>122</v>
      </c>
    </row>
    <row r="316" spans="1:9" x14ac:dyDescent="0.35">
      <c r="A316" s="2">
        <v>202609</v>
      </c>
      <c r="B316" s="2">
        <v>1500</v>
      </c>
      <c r="C316" s="2">
        <v>3670</v>
      </c>
      <c r="D316" s="2" t="s">
        <v>488</v>
      </c>
      <c r="E316" s="2" t="s">
        <v>15</v>
      </c>
      <c r="F316" s="2" t="s">
        <v>489</v>
      </c>
      <c r="G316" s="2">
        <v>0.63700000000000001</v>
      </c>
      <c r="H316" s="2">
        <v>-0.63700000000000001</v>
      </c>
      <c r="I316" s="2" t="s">
        <v>122</v>
      </c>
    </row>
    <row r="317" spans="1:9" x14ac:dyDescent="0.35">
      <c r="A317" s="2">
        <v>202609</v>
      </c>
      <c r="B317" s="2">
        <v>1500</v>
      </c>
      <c r="C317" s="2">
        <v>5000</v>
      </c>
      <c r="D317" s="2" t="s">
        <v>490</v>
      </c>
      <c r="E317" s="2" t="s">
        <v>35</v>
      </c>
      <c r="F317" s="2" t="s">
        <v>491</v>
      </c>
      <c r="G317" s="2">
        <v>7.95</v>
      </c>
      <c r="H317" s="2">
        <v>7.95</v>
      </c>
      <c r="I317" s="2" t="s">
        <v>122</v>
      </c>
    </row>
    <row r="318" spans="1:9" x14ac:dyDescent="0.35">
      <c r="A318" s="2">
        <v>202609</v>
      </c>
      <c r="B318" s="2">
        <v>1500</v>
      </c>
      <c r="C318" s="2">
        <v>6300</v>
      </c>
      <c r="D318" s="2" t="s">
        <v>54</v>
      </c>
      <c r="E318" s="2" t="s">
        <v>35</v>
      </c>
      <c r="F318" s="2" t="s">
        <v>492</v>
      </c>
      <c r="G318" s="2">
        <v>3.15</v>
      </c>
      <c r="H318" s="2">
        <v>3.15</v>
      </c>
      <c r="I318" s="2" t="s">
        <v>122</v>
      </c>
    </row>
    <row r="319" spans="1:9" x14ac:dyDescent="0.35">
      <c r="A319" s="2">
        <v>202609</v>
      </c>
      <c r="B319" s="2">
        <v>1500</v>
      </c>
      <c r="C319" s="2">
        <v>6050</v>
      </c>
      <c r="D319" s="2" t="s">
        <v>493</v>
      </c>
      <c r="E319" s="2" t="s">
        <v>35</v>
      </c>
      <c r="F319" s="2" t="s">
        <v>494</v>
      </c>
      <c r="G319" s="2">
        <v>1.05</v>
      </c>
      <c r="H319" s="2">
        <v>1.05</v>
      </c>
      <c r="I319" s="2" t="s">
        <v>122</v>
      </c>
    </row>
    <row r="320" spans="1:9" x14ac:dyDescent="0.35">
      <c r="A320" s="2">
        <v>202609</v>
      </c>
      <c r="B320" s="2">
        <v>1900</v>
      </c>
      <c r="C320" s="2">
        <v>3900</v>
      </c>
      <c r="D320" s="2" t="s">
        <v>31</v>
      </c>
      <c r="E320" s="2" t="s">
        <v>15</v>
      </c>
      <c r="F320" s="2" t="s">
        <v>485</v>
      </c>
      <c r="G320" s="2">
        <v>7.2050000000000001</v>
      </c>
      <c r="H320" s="2">
        <v>-7.2050000000000001</v>
      </c>
      <c r="I320" s="2" t="s">
        <v>122</v>
      </c>
    </row>
    <row r="321" spans="1:9" x14ac:dyDescent="0.35">
      <c r="A321" s="2">
        <v>202609</v>
      </c>
      <c r="B321" s="2">
        <v>1900</v>
      </c>
      <c r="C321" s="2">
        <v>3400</v>
      </c>
      <c r="D321" s="2" t="s">
        <v>486</v>
      </c>
      <c r="E321" s="2" t="s">
        <v>15</v>
      </c>
      <c r="F321" s="2" t="s">
        <v>487</v>
      </c>
      <c r="G321" s="2">
        <v>0.27800000000000002</v>
      </c>
      <c r="H321" s="2">
        <v>-0.27800000000000002</v>
      </c>
      <c r="I321" s="2" t="s">
        <v>122</v>
      </c>
    </row>
    <row r="322" spans="1:9" x14ac:dyDescent="0.35">
      <c r="A322" s="2">
        <v>202609</v>
      </c>
      <c r="B322" s="2">
        <v>1900</v>
      </c>
      <c r="C322" s="2">
        <v>3670</v>
      </c>
      <c r="D322" s="2" t="s">
        <v>488</v>
      </c>
      <c r="E322" s="2" t="s">
        <v>15</v>
      </c>
      <c r="F322" s="2" t="s">
        <v>489</v>
      </c>
      <c r="G322" s="2">
        <v>2.0499999999999998</v>
      </c>
      <c r="H322" s="2">
        <v>-2.0499999999999998</v>
      </c>
      <c r="I322" s="2" t="s">
        <v>122</v>
      </c>
    </row>
    <row r="323" spans="1:9" x14ac:dyDescent="0.35">
      <c r="A323" s="2">
        <v>202609</v>
      </c>
      <c r="B323" s="2">
        <v>1900</v>
      </c>
      <c r="C323" s="2">
        <v>5000</v>
      </c>
      <c r="D323" s="2" t="s">
        <v>490</v>
      </c>
      <c r="E323" s="2" t="s">
        <v>35</v>
      </c>
      <c r="F323" s="2" t="s">
        <v>491</v>
      </c>
      <c r="G323" s="2">
        <v>6.3579999999999997</v>
      </c>
      <c r="H323" s="2">
        <v>6.3579999999999997</v>
      </c>
      <c r="I323" s="2" t="s">
        <v>122</v>
      </c>
    </row>
    <row r="324" spans="1:9" x14ac:dyDescent="0.35">
      <c r="A324" s="2">
        <v>202609</v>
      </c>
      <c r="B324" s="2">
        <v>1900</v>
      </c>
      <c r="C324" s="2">
        <v>6300</v>
      </c>
      <c r="D324" s="2" t="s">
        <v>54</v>
      </c>
      <c r="E324" s="2" t="s">
        <v>35</v>
      </c>
      <c r="F324" s="2" t="s">
        <v>492</v>
      </c>
      <c r="G324" s="2">
        <v>2.52</v>
      </c>
      <c r="H324" s="2">
        <v>2.52</v>
      </c>
      <c r="I324" s="2" t="s">
        <v>122</v>
      </c>
    </row>
    <row r="325" spans="1:9" x14ac:dyDescent="0.35">
      <c r="A325" s="2">
        <v>202609</v>
      </c>
      <c r="B325" s="2">
        <v>1900</v>
      </c>
      <c r="C325" s="2">
        <v>6050</v>
      </c>
      <c r="D325" s="2" t="s">
        <v>493</v>
      </c>
      <c r="E325" s="2" t="s">
        <v>35</v>
      </c>
      <c r="F325" s="2" t="s">
        <v>494</v>
      </c>
      <c r="G325" s="2">
        <v>1.35</v>
      </c>
      <c r="H325" s="2">
        <v>1.35</v>
      </c>
      <c r="I325" s="2" t="s">
        <v>122</v>
      </c>
    </row>
    <row r="326" spans="1:9" x14ac:dyDescent="0.35">
      <c r="A326" s="2">
        <v>202610</v>
      </c>
      <c r="B326" s="2">
        <v>1100</v>
      </c>
      <c r="C326" s="2">
        <v>3900</v>
      </c>
      <c r="D326" s="2" t="s">
        <v>31</v>
      </c>
      <c r="E326" s="2" t="s">
        <v>15</v>
      </c>
      <c r="F326" s="2" t="s">
        <v>485</v>
      </c>
      <c r="G326" s="2">
        <v>20.56</v>
      </c>
      <c r="H326" s="2">
        <v>-20.56</v>
      </c>
      <c r="I326" s="2" t="s">
        <v>125</v>
      </c>
    </row>
    <row r="327" spans="1:9" x14ac:dyDescent="0.35">
      <c r="A327" s="2">
        <v>202610</v>
      </c>
      <c r="B327" s="2">
        <v>1100</v>
      </c>
      <c r="C327" s="2">
        <v>3400</v>
      </c>
      <c r="D327" s="2" t="s">
        <v>486</v>
      </c>
      <c r="E327" s="2" t="s">
        <v>15</v>
      </c>
      <c r="F327" s="2" t="s">
        <v>487</v>
      </c>
      <c r="G327" s="2">
        <v>2.1110000000000002</v>
      </c>
      <c r="H327" s="2">
        <v>-2.1110000000000002</v>
      </c>
      <c r="I327" s="2" t="s">
        <v>125</v>
      </c>
    </row>
    <row r="328" spans="1:9" x14ac:dyDescent="0.35">
      <c r="A328" s="2">
        <v>202610</v>
      </c>
      <c r="B328" s="2">
        <v>1100</v>
      </c>
      <c r="C328" s="2">
        <v>3670</v>
      </c>
      <c r="D328" s="2" t="s">
        <v>488</v>
      </c>
      <c r="E328" s="2" t="s">
        <v>15</v>
      </c>
      <c r="F328" s="2" t="s">
        <v>489</v>
      </c>
      <c r="G328" s="2">
        <v>0.66700000000000004</v>
      </c>
      <c r="H328" s="2">
        <v>-0.66700000000000004</v>
      </c>
      <c r="I328" s="2" t="s">
        <v>125</v>
      </c>
    </row>
    <row r="329" spans="1:9" x14ac:dyDescent="0.35">
      <c r="A329" s="2">
        <v>202610</v>
      </c>
      <c r="B329" s="2">
        <v>1100</v>
      </c>
      <c r="C329" s="2">
        <v>5000</v>
      </c>
      <c r="D329" s="2" t="s">
        <v>490</v>
      </c>
      <c r="E329" s="2" t="s">
        <v>35</v>
      </c>
      <c r="F329" s="2" t="s">
        <v>491</v>
      </c>
      <c r="G329" s="2">
        <v>15.013</v>
      </c>
      <c r="H329" s="2">
        <v>15.013</v>
      </c>
      <c r="I329" s="2" t="s">
        <v>125</v>
      </c>
    </row>
    <row r="330" spans="1:9" x14ac:dyDescent="0.35">
      <c r="A330" s="2">
        <v>202610</v>
      </c>
      <c r="B330" s="2">
        <v>1100</v>
      </c>
      <c r="C330" s="2">
        <v>6300</v>
      </c>
      <c r="D330" s="2" t="s">
        <v>54</v>
      </c>
      <c r="E330" s="2" t="s">
        <v>35</v>
      </c>
      <c r="F330" s="2" t="s">
        <v>492</v>
      </c>
      <c r="G330" s="2">
        <v>5.9850000000000003</v>
      </c>
      <c r="H330" s="2">
        <v>5.9850000000000003</v>
      </c>
      <c r="I330" s="2" t="s">
        <v>125</v>
      </c>
    </row>
    <row r="331" spans="1:9" x14ac:dyDescent="0.35">
      <c r="A331" s="2">
        <v>202610</v>
      </c>
      <c r="B331" s="2">
        <v>1100</v>
      </c>
      <c r="C331" s="2">
        <v>6050</v>
      </c>
      <c r="D331" s="2" t="s">
        <v>493</v>
      </c>
      <c r="E331" s="2" t="s">
        <v>35</v>
      </c>
      <c r="F331" s="2" t="s">
        <v>494</v>
      </c>
      <c r="G331" s="2">
        <v>3.04</v>
      </c>
      <c r="H331" s="2">
        <v>3.04</v>
      </c>
      <c r="I331" s="2" t="s">
        <v>125</v>
      </c>
    </row>
    <row r="332" spans="1:9" x14ac:dyDescent="0.35">
      <c r="A332" s="2">
        <v>202610</v>
      </c>
      <c r="B332" s="2">
        <v>1200</v>
      </c>
      <c r="C332" s="2">
        <v>3900</v>
      </c>
      <c r="D332" s="2" t="s">
        <v>31</v>
      </c>
      <c r="E332" s="2" t="s">
        <v>15</v>
      </c>
      <c r="F332" s="2" t="s">
        <v>485</v>
      </c>
      <c r="G332" s="2">
        <v>27.757999999999999</v>
      </c>
      <c r="H332" s="2">
        <v>-27.757999999999999</v>
      </c>
      <c r="I332" s="2" t="s">
        <v>125</v>
      </c>
    </row>
    <row r="333" spans="1:9" x14ac:dyDescent="0.35">
      <c r="A333" s="2">
        <v>202610</v>
      </c>
      <c r="B333" s="2">
        <v>1200</v>
      </c>
      <c r="C333" s="2">
        <v>3400</v>
      </c>
      <c r="D333" s="2" t="s">
        <v>486</v>
      </c>
      <c r="E333" s="2" t="s">
        <v>15</v>
      </c>
      <c r="F333" s="2" t="s">
        <v>487</v>
      </c>
      <c r="G333" s="2">
        <v>4.6050000000000004</v>
      </c>
      <c r="H333" s="2">
        <v>-4.6050000000000004</v>
      </c>
      <c r="I333" s="2" t="s">
        <v>125</v>
      </c>
    </row>
    <row r="334" spans="1:9" x14ac:dyDescent="0.35">
      <c r="A334" s="2">
        <v>202610</v>
      </c>
      <c r="B334" s="2">
        <v>1200</v>
      </c>
      <c r="C334" s="2">
        <v>3670</v>
      </c>
      <c r="D334" s="2" t="s">
        <v>488</v>
      </c>
      <c r="E334" s="2" t="s">
        <v>15</v>
      </c>
      <c r="F334" s="2" t="s">
        <v>489</v>
      </c>
      <c r="G334" s="2">
        <v>1.6759999999999999</v>
      </c>
      <c r="H334" s="2">
        <v>-1.6759999999999999</v>
      </c>
      <c r="I334" s="2" t="s">
        <v>125</v>
      </c>
    </row>
    <row r="335" spans="1:9" x14ac:dyDescent="0.35">
      <c r="A335" s="2">
        <v>202610</v>
      </c>
      <c r="B335" s="2">
        <v>1200</v>
      </c>
      <c r="C335" s="2">
        <v>5000</v>
      </c>
      <c r="D335" s="2" t="s">
        <v>490</v>
      </c>
      <c r="E335" s="2" t="s">
        <v>35</v>
      </c>
      <c r="F335" s="2" t="s">
        <v>491</v>
      </c>
      <c r="G335" s="2">
        <v>21.332000000000001</v>
      </c>
      <c r="H335" s="2">
        <v>21.332000000000001</v>
      </c>
      <c r="I335" s="2" t="s">
        <v>125</v>
      </c>
    </row>
    <row r="336" spans="1:9" x14ac:dyDescent="0.35">
      <c r="A336" s="2">
        <v>202610</v>
      </c>
      <c r="B336" s="2">
        <v>1200</v>
      </c>
      <c r="C336" s="2">
        <v>6300</v>
      </c>
      <c r="D336" s="2" t="s">
        <v>54</v>
      </c>
      <c r="E336" s="2" t="s">
        <v>35</v>
      </c>
      <c r="F336" s="2" t="s">
        <v>492</v>
      </c>
      <c r="G336" s="2">
        <v>8.5050000000000008</v>
      </c>
      <c r="H336" s="2">
        <v>8.5050000000000008</v>
      </c>
      <c r="I336" s="2" t="s">
        <v>125</v>
      </c>
    </row>
    <row r="337" spans="1:9" x14ac:dyDescent="0.35">
      <c r="A337" s="2">
        <v>202610</v>
      </c>
      <c r="B337" s="2">
        <v>1200</v>
      </c>
      <c r="C337" s="2">
        <v>6050</v>
      </c>
      <c r="D337" s="2" t="s">
        <v>493</v>
      </c>
      <c r="E337" s="2" t="s">
        <v>35</v>
      </c>
      <c r="F337" s="2" t="s">
        <v>494</v>
      </c>
      <c r="G337" s="2">
        <v>5.6</v>
      </c>
      <c r="H337" s="2">
        <v>5.6</v>
      </c>
      <c r="I337" s="2" t="s">
        <v>125</v>
      </c>
    </row>
    <row r="338" spans="1:9" x14ac:dyDescent="0.35">
      <c r="A338" s="2">
        <v>202610</v>
      </c>
      <c r="B338" s="2">
        <v>1300</v>
      </c>
      <c r="C338" s="2">
        <v>3900</v>
      </c>
      <c r="D338" s="2" t="s">
        <v>31</v>
      </c>
      <c r="E338" s="2" t="s">
        <v>15</v>
      </c>
      <c r="F338" s="2" t="s">
        <v>485</v>
      </c>
      <c r="G338" s="2">
        <v>23.641999999999999</v>
      </c>
      <c r="H338" s="2">
        <v>-23.641999999999999</v>
      </c>
      <c r="I338" s="2" t="s">
        <v>125</v>
      </c>
    </row>
    <row r="339" spans="1:9" x14ac:dyDescent="0.35">
      <c r="A339" s="2">
        <v>202610</v>
      </c>
      <c r="B339" s="2">
        <v>1300</v>
      </c>
      <c r="C339" s="2">
        <v>3400</v>
      </c>
      <c r="D339" s="2" t="s">
        <v>486</v>
      </c>
      <c r="E339" s="2" t="s">
        <v>15</v>
      </c>
      <c r="F339" s="2" t="s">
        <v>487</v>
      </c>
      <c r="G339" s="2">
        <v>2.3980000000000001</v>
      </c>
      <c r="H339" s="2">
        <v>-2.3980000000000001</v>
      </c>
      <c r="I339" s="2" t="s">
        <v>125</v>
      </c>
    </row>
    <row r="340" spans="1:9" x14ac:dyDescent="0.35">
      <c r="A340" s="2">
        <v>202610</v>
      </c>
      <c r="B340" s="2">
        <v>1300</v>
      </c>
      <c r="C340" s="2">
        <v>3670</v>
      </c>
      <c r="D340" s="2" t="s">
        <v>488</v>
      </c>
      <c r="E340" s="2" t="s">
        <v>15</v>
      </c>
      <c r="F340" s="2" t="s">
        <v>489</v>
      </c>
      <c r="G340" s="2">
        <v>1.266</v>
      </c>
      <c r="H340" s="2">
        <v>-1.266</v>
      </c>
      <c r="I340" s="2" t="s">
        <v>125</v>
      </c>
    </row>
    <row r="341" spans="1:9" x14ac:dyDescent="0.35">
      <c r="A341" s="2">
        <v>202610</v>
      </c>
      <c r="B341" s="2">
        <v>1300</v>
      </c>
      <c r="C341" s="2">
        <v>5000</v>
      </c>
      <c r="D341" s="2" t="s">
        <v>490</v>
      </c>
      <c r="E341" s="2" t="s">
        <v>35</v>
      </c>
      <c r="F341" s="2" t="s">
        <v>491</v>
      </c>
      <c r="G341" s="2">
        <v>18.167999999999999</v>
      </c>
      <c r="H341" s="2">
        <v>18.167999999999999</v>
      </c>
      <c r="I341" s="2" t="s">
        <v>125</v>
      </c>
    </row>
    <row r="342" spans="1:9" x14ac:dyDescent="0.35">
      <c r="A342" s="2">
        <v>202610</v>
      </c>
      <c r="B342" s="2">
        <v>1300</v>
      </c>
      <c r="C342" s="2">
        <v>6300</v>
      </c>
      <c r="D342" s="2" t="s">
        <v>54</v>
      </c>
      <c r="E342" s="2" t="s">
        <v>35</v>
      </c>
      <c r="F342" s="2" t="s">
        <v>492</v>
      </c>
      <c r="G342" s="2">
        <v>7.2450000000000001</v>
      </c>
      <c r="H342" s="2">
        <v>7.2450000000000001</v>
      </c>
      <c r="I342" s="2" t="s">
        <v>125</v>
      </c>
    </row>
    <row r="343" spans="1:9" x14ac:dyDescent="0.35">
      <c r="A343" s="2">
        <v>202610</v>
      </c>
      <c r="B343" s="2">
        <v>1300</v>
      </c>
      <c r="C343" s="2">
        <v>6050</v>
      </c>
      <c r="D343" s="2" t="s">
        <v>493</v>
      </c>
      <c r="E343" s="2" t="s">
        <v>35</v>
      </c>
      <c r="F343" s="2" t="s">
        <v>494</v>
      </c>
      <c r="G343" s="2">
        <v>3.36</v>
      </c>
      <c r="H343" s="2">
        <v>3.36</v>
      </c>
      <c r="I343" s="2" t="s">
        <v>125</v>
      </c>
    </row>
    <row r="344" spans="1:9" x14ac:dyDescent="0.35">
      <c r="A344" s="2">
        <v>202610</v>
      </c>
      <c r="B344" s="2">
        <v>1400</v>
      </c>
      <c r="C344" s="2">
        <v>3900</v>
      </c>
      <c r="D344" s="2" t="s">
        <v>31</v>
      </c>
      <c r="E344" s="2" t="s">
        <v>15</v>
      </c>
      <c r="F344" s="2" t="s">
        <v>485</v>
      </c>
      <c r="G344" s="2">
        <v>13.362</v>
      </c>
      <c r="H344" s="2">
        <v>-13.362</v>
      </c>
      <c r="I344" s="2" t="s">
        <v>125</v>
      </c>
    </row>
    <row r="345" spans="1:9" x14ac:dyDescent="0.35">
      <c r="A345" s="2">
        <v>202610</v>
      </c>
      <c r="B345" s="2">
        <v>1400</v>
      </c>
      <c r="C345" s="2">
        <v>3400</v>
      </c>
      <c r="D345" s="2" t="s">
        <v>486</v>
      </c>
      <c r="E345" s="2" t="s">
        <v>15</v>
      </c>
      <c r="F345" s="2" t="s">
        <v>487</v>
      </c>
      <c r="G345" s="2">
        <v>1.4390000000000001</v>
      </c>
      <c r="H345" s="2">
        <v>-1.4390000000000001</v>
      </c>
      <c r="I345" s="2" t="s">
        <v>125</v>
      </c>
    </row>
    <row r="346" spans="1:9" x14ac:dyDescent="0.35">
      <c r="A346" s="2">
        <v>202610</v>
      </c>
      <c r="B346" s="2">
        <v>1400</v>
      </c>
      <c r="C346" s="2">
        <v>3670</v>
      </c>
      <c r="D346" s="2" t="s">
        <v>488</v>
      </c>
      <c r="E346" s="2" t="s">
        <v>15</v>
      </c>
      <c r="F346" s="2" t="s">
        <v>489</v>
      </c>
      <c r="G346" s="2">
        <v>0.76100000000000001</v>
      </c>
      <c r="H346" s="2">
        <v>-0.76100000000000001</v>
      </c>
      <c r="I346" s="2" t="s">
        <v>125</v>
      </c>
    </row>
    <row r="347" spans="1:9" x14ac:dyDescent="0.35">
      <c r="A347" s="2">
        <v>202610</v>
      </c>
      <c r="B347" s="2">
        <v>1400</v>
      </c>
      <c r="C347" s="2">
        <v>5000</v>
      </c>
      <c r="D347" s="2" t="s">
        <v>490</v>
      </c>
      <c r="E347" s="2" t="s">
        <v>35</v>
      </c>
      <c r="F347" s="2" t="s">
        <v>491</v>
      </c>
      <c r="G347" s="2">
        <v>10.268000000000001</v>
      </c>
      <c r="H347" s="2">
        <v>10.268000000000001</v>
      </c>
      <c r="I347" s="2" t="s">
        <v>125</v>
      </c>
    </row>
    <row r="348" spans="1:9" x14ac:dyDescent="0.35">
      <c r="A348" s="2">
        <v>202610</v>
      </c>
      <c r="B348" s="2">
        <v>1400</v>
      </c>
      <c r="C348" s="2">
        <v>6300</v>
      </c>
      <c r="D348" s="2" t="s">
        <v>54</v>
      </c>
      <c r="E348" s="2" t="s">
        <v>35</v>
      </c>
      <c r="F348" s="2" t="s">
        <v>492</v>
      </c>
      <c r="G348" s="2">
        <v>4.0949999999999998</v>
      </c>
      <c r="H348" s="2">
        <v>4.0949999999999998</v>
      </c>
      <c r="I348" s="2" t="s">
        <v>125</v>
      </c>
    </row>
    <row r="349" spans="1:9" x14ac:dyDescent="0.35">
      <c r="A349" s="2">
        <v>202610</v>
      </c>
      <c r="B349" s="2">
        <v>1400</v>
      </c>
      <c r="C349" s="2">
        <v>6050</v>
      </c>
      <c r="D349" s="2" t="s">
        <v>493</v>
      </c>
      <c r="E349" s="2" t="s">
        <v>35</v>
      </c>
      <c r="F349" s="2" t="s">
        <v>494</v>
      </c>
      <c r="G349" s="2">
        <v>1.44</v>
      </c>
      <c r="H349" s="2">
        <v>1.44</v>
      </c>
      <c r="I349" s="2" t="s">
        <v>125</v>
      </c>
    </row>
    <row r="350" spans="1:9" x14ac:dyDescent="0.35">
      <c r="A350" s="2">
        <v>202610</v>
      </c>
      <c r="B350" s="2">
        <v>1500</v>
      </c>
      <c r="C350" s="2">
        <v>3900</v>
      </c>
      <c r="D350" s="2" t="s">
        <v>31</v>
      </c>
      <c r="E350" s="2" t="s">
        <v>15</v>
      </c>
      <c r="F350" s="2" t="s">
        <v>485</v>
      </c>
      <c r="G350" s="2">
        <v>10.28</v>
      </c>
      <c r="H350" s="2">
        <v>-10.28</v>
      </c>
      <c r="I350" s="2" t="s">
        <v>125</v>
      </c>
    </row>
    <row r="351" spans="1:9" x14ac:dyDescent="0.35">
      <c r="A351" s="2">
        <v>202610</v>
      </c>
      <c r="B351" s="2">
        <v>1500</v>
      </c>
      <c r="C351" s="2">
        <v>3400</v>
      </c>
      <c r="D351" s="2" t="s">
        <v>486</v>
      </c>
      <c r="E351" s="2" t="s">
        <v>15</v>
      </c>
      <c r="F351" s="2" t="s">
        <v>487</v>
      </c>
      <c r="G351" s="2">
        <v>0.95899999999999996</v>
      </c>
      <c r="H351" s="2">
        <v>-0.95899999999999996</v>
      </c>
      <c r="I351" s="2" t="s">
        <v>125</v>
      </c>
    </row>
    <row r="352" spans="1:9" x14ac:dyDescent="0.35">
      <c r="A352" s="2">
        <v>202610</v>
      </c>
      <c r="B352" s="2">
        <v>1500</v>
      </c>
      <c r="C352" s="2">
        <v>3670</v>
      </c>
      <c r="D352" s="2" t="s">
        <v>488</v>
      </c>
      <c r="E352" s="2" t="s">
        <v>15</v>
      </c>
      <c r="F352" s="2" t="s">
        <v>489</v>
      </c>
      <c r="G352" s="2">
        <v>0.505</v>
      </c>
      <c r="H352" s="2">
        <v>-0.505</v>
      </c>
      <c r="I352" s="2" t="s">
        <v>125</v>
      </c>
    </row>
    <row r="353" spans="1:9" x14ac:dyDescent="0.35">
      <c r="A353" s="2">
        <v>202610</v>
      </c>
      <c r="B353" s="2">
        <v>1500</v>
      </c>
      <c r="C353" s="2">
        <v>5000</v>
      </c>
      <c r="D353" s="2" t="s">
        <v>490</v>
      </c>
      <c r="E353" s="2" t="s">
        <v>35</v>
      </c>
      <c r="F353" s="2" t="s">
        <v>491</v>
      </c>
      <c r="G353" s="2">
        <v>7.9</v>
      </c>
      <c r="H353" s="2">
        <v>7.9</v>
      </c>
      <c r="I353" s="2" t="s">
        <v>125</v>
      </c>
    </row>
    <row r="354" spans="1:9" x14ac:dyDescent="0.35">
      <c r="A354" s="2">
        <v>202610</v>
      </c>
      <c r="B354" s="2">
        <v>1500</v>
      </c>
      <c r="C354" s="2">
        <v>6300</v>
      </c>
      <c r="D354" s="2" t="s">
        <v>54</v>
      </c>
      <c r="E354" s="2" t="s">
        <v>35</v>
      </c>
      <c r="F354" s="2" t="s">
        <v>492</v>
      </c>
      <c r="G354" s="2">
        <v>3.15</v>
      </c>
      <c r="H354" s="2">
        <v>3.15</v>
      </c>
      <c r="I354" s="2" t="s">
        <v>125</v>
      </c>
    </row>
    <row r="355" spans="1:9" x14ac:dyDescent="0.35">
      <c r="A355" s="2">
        <v>202610</v>
      </c>
      <c r="B355" s="2">
        <v>1500</v>
      </c>
      <c r="C355" s="2">
        <v>6050</v>
      </c>
      <c r="D355" s="2" t="s">
        <v>493</v>
      </c>
      <c r="E355" s="2" t="s">
        <v>35</v>
      </c>
      <c r="F355" s="2" t="s">
        <v>494</v>
      </c>
      <c r="G355" s="2">
        <v>1.1200000000000001</v>
      </c>
      <c r="H355" s="2">
        <v>1.1200000000000001</v>
      </c>
      <c r="I355" s="2" t="s">
        <v>125</v>
      </c>
    </row>
    <row r="356" spans="1:9" x14ac:dyDescent="0.35">
      <c r="A356" s="2">
        <v>202610</v>
      </c>
      <c r="B356" s="2">
        <v>1900</v>
      </c>
      <c r="C356" s="2">
        <v>3900</v>
      </c>
      <c r="D356" s="2" t="s">
        <v>31</v>
      </c>
      <c r="E356" s="2" t="s">
        <v>15</v>
      </c>
      <c r="F356" s="2" t="s">
        <v>485</v>
      </c>
      <c r="G356" s="2">
        <v>7.1980000000000004</v>
      </c>
      <c r="H356" s="2">
        <v>-7.1980000000000004</v>
      </c>
      <c r="I356" s="2" t="s">
        <v>125</v>
      </c>
    </row>
    <row r="357" spans="1:9" x14ac:dyDescent="0.35">
      <c r="A357" s="2">
        <v>202610</v>
      </c>
      <c r="B357" s="2">
        <v>1900</v>
      </c>
      <c r="C357" s="2">
        <v>3400</v>
      </c>
      <c r="D357" s="2" t="s">
        <v>486</v>
      </c>
      <c r="E357" s="2" t="s">
        <v>15</v>
      </c>
      <c r="F357" s="2" t="s">
        <v>487</v>
      </c>
      <c r="G357" s="2">
        <v>0.28799999999999998</v>
      </c>
      <c r="H357" s="2">
        <v>-0.28799999999999998</v>
      </c>
      <c r="I357" s="2" t="s">
        <v>125</v>
      </c>
    </row>
    <row r="358" spans="1:9" x14ac:dyDescent="0.35">
      <c r="A358" s="2">
        <v>202610</v>
      </c>
      <c r="B358" s="2">
        <v>1900</v>
      </c>
      <c r="C358" s="2">
        <v>3670</v>
      </c>
      <c r="D358" s="2" t="s">
        <v>488</v>
      </c>
      <c r="E358" s="2" t="s">
        <v>15</v>
      </c>
      <c r="F358" s="2" t="s">
        <v>489</v>
      </c>
      <c r="G358" s="2">
        <v>1.625</v>
      </c>
      <c r="H358" s="2">
        <v>-1.625</v>
      </c>
      <c r="I358" s="2" t="s">
        <v>125</v>
      </c>
    </row>
    <row r="359" spans="1:9" x14ac:dyDescent="0.35">
      <c r="A359" s="2">
        <v>202610</v>
      </c>
      <c r="B359" s="2">
        <v>1900</v>
      </c>
      <c r="C359" s="2">
        <v>5000</v>
      </c>
      <c r="D359" s="2" t="s">
        <v>490</v>
      </c>
      <c r="E359" s="2" t="s">
        <v>35</v>
      </c>
      <c r="F359" s="2" t="s">
        <v>491</v>
      </c>
      <c r="G359" s="2">
        <v>6.3179999999999996</v>
      </c>
      <c r="H359" s="2">
        <v>6.3179999999999996</v>
      </c>
      <c r="I359" s="2" t="s">
        <v>125</v>
      </c>
    </row>
    <row r="360" spans="1:9" x14ac:dyDescent="0.35">
      <c r="A360" s="2">
        <v>202610</v>
      </c>
      <c r="B360" s="2">
        <v>1900</v>
      </c>
      <c r="C360" s="2">
        <v>6300</v>
      </c>
      <c r="D360" s="2" t="s">
        <v>54</v>
      </c>
      <c r="E360" s="2" t="s">
        <v>35</v>
      </c>
      <c r="F360" s="2" t="s">
        <v>492</v>
      </c>
      <c r="G360" s="2">
        <v>2.52</v>
      </c>
      <c r="H360" s="2">
        <v>2.52</v>
      </c>
      <c r="I360" s="2" t="s">
        <v>125</v>
      </c>
    </row>
    <row r="361" spans="1:9" x14ac:dyDescent="0.35">
      <c r="A361" s="2">
        <v>202610</v>
      </c>
      <c r="B361" s="2">
        <v>1900</v>
      </c>
      <c r="C361" s="2">
        <v>6050</v>
      </c>
      <c r="D361" s="2" t="s">
        <v>493</v>
      </c>
      <c r="E361" s="2" t="s">
        <v>35</v>
      </c>
      <c r="F361" s="2" t="s">
        <v>494</v>
      </c>
      <c r="G361" s="2">
        <v>1.44</v>
      </c>
      <c r="H361" s="2">
        <v>1.44</v>
      </c>
      <c r="I361" s="2" t="s">
        <v>125</v>
      </c>
    </row>
    <row r="362" spans="1:9" x14ac:dyDescent="0.35">
      <c r="A362" s="2">
        <v>202611</v>
      </c>
      <c r="B362" s="2">
        <v>1100</v>
      </c>
      <c r="C362" s="2">
        <v>3900</v>
      </c>
      <c r="D362" s="2" t="s">
        <v>31</v>
      </c>
      <c r="E362" s="2" t="s">
        <v>15</v>
      </c>
      <c r="F362" s="2" t="s">
        <v>485</v>
      </c>
      <c r="G362" s="2">
        <v>20.56</v>
      </c>
      <c r="H362" s="2">
        <v>-20.56</v>
      </c>
      <c r="I362" s="2" t="s">
        <v>125</v>
      </c>
    </row>
    <row r="363" spans="1:9" x14ac:dyDescent="0.35">
      <c r="A363" s="2">
        <v>202611</v>
      </c>
      <c r="B363" s="2">
        <v>1100</v>
      </c>
      <c r="C363" s="2">
        <v>3400</v>
      </c>
      <c r="D363" s="2" t="s">
        <v>486</v>
      </c>
      <c r="E363" s="2" t="s">
        <v>15</v>
      </c>
      <c r="F363" s="2" t="s">
        <v>487</v>
      </c>
      <c r="G363" s="2">
        <v>2.0750000000000002</v>
      </c>
      <c r="H363" s="2">
        <v>-2.0750000000000002</v>
      </c>
      <c r="I363" s="2" t="s">
        <v>125</v>
      </c>
    </row>
    <row r="364" spans="1:9" x14ac:dyDescent="0.35">
      <c r="A364" s="2">
        <v>202611</v>
      </c>
      <c r="B364" s="2">
        <v>1100</v>
      </c>
      <c r="C364" s="2">
        <v>3670</v>
      </c>
      <c r="D364" s="2" t="s">
        <v>488</v>
      </c>
      <c r="E364" s="2" t="s">
        <v>15</v>
      </c>
      <c r="F364" s="2" t="s">
        <v>489</v>
      </c>
      <c r="G364" s="2">
        <v>0.61599999999999999</v>
      </c>
      <c r="H364" s="2">
        <v>-0.61599999999999999</v>
      </c>
      <c r="I364" s="2" t="s">
        <v>125</v>
      </c>
    </row>
    <row r="365" spans="1:9" x14ac:dyDescent="0.35">
      <c r="A365" s="2">
        <v>202611</v>
      </c>
      <c r="B365" s="2">
        <v>1100</v>
      </c>
      <c r="C365" s="2">
        <v>5000</v>
      </c>
      <c r="D365" s="2" t="s">
        <v>490</v>
      </c>
      <c r="E365" s="2" t="s">
        <v>35</v>
      </c>
      <c r="F365" s="2" t="s">
        <v>491</v>
      </c>
      <c r="G365" s="2">
        <v>14.917999999999999</v>
      </c>
      <c r="H365" s="2">
        <v>14.917999999999999</v>
      </c>
      <c r="I365" s="2" t="s">
        <v>125</v>
      </c>
    </row>
    <row r="366" spans="1:9" x14ac:dyDescent="0.35">
      <c r="A366" s="2">
        <v>202611</v>
      </c>
      <c r="B366" s="2">
        <v>1100</v>
      </c>
      <c r="C366" s="2">
        <v>6300</v>
      </c>
      <c r="D366" s="2" t="s">
        <v>54</v>
      </c>
      <c r="E366" s="2" t="s">
        <v>35</v>
      </c>
      <c r="F366" s="2" t="s">
        <v>492</v>
      </c>
      <c r="G366" s="2">
        <v>5.89</v>
      </c>
      <c r="H366" s="2">
        <v>5.89</v>
      </c>
      <c r="I366" s="2" t="s">
        <v>125</v>
      </c>
    </row>
    <row r="367" spans="1:9" x14ac:dyDescent="0.35">
      <c r="A367" s="2">
        <v>202611</v>
      </c>
      <c r="B367" s="2">
        <v>1100</v>
      </c>
      <c r="C367" s="2">
        <v>6050</v>
      </c>
      <c r="D367" s="2" t="s">
        <v>493</v>
      </c>
      <c r="E367" s="2" t="s">
        <v>35</v>
      </c>
      <c r="F367" s="2" t="s">
        <v>494</v>
      </c>
      <c r="G367" s="2">
        <v>3.04</v>
      </c>
      <c r="H367" s="2">
        <v>3.04</v>
      </c>
      <c r="I367" s="2" t="s">
        <v>125</v>
      </c>
    </row>
    <row r="368" spans="1:9" x14ac:dyDescent="0.35">
      <c r="A368" s="2">
        <v>202611</v>
      </c>
      <c r="B368" s="2">
        <v>1200</v>
      </c>
      <c r="C368" s="2">
        <v>3900</v>
      </c>
      <c r="D368" s="2" t="s">
        <v>31</v>
      </c>
      <c r="E368" s="2" t="s">
        <v>15</v>
      </c>
      <c r="F368" s="2" t="s">
        <v>485</v>
      </c>
      <c r="G368" s="2">
        <v>27.757999999999999</v>
      </c>
      <c r="H368" s="2">
        <v>-27.757999999999999</v>
      </c>
      <c r="I368" s="2" t="s">
        <v>125</v>
      </c>
    </row>
    <row r="369" spans="1:9" x14ac:dyDescent="0.35">
      <c r="A369" s="2">
        <v>202611</v>
      </c>
      <c r="B369" s="2">
        <v>1200</v>
      </c>
      <c r="C369" s="2">
        <v>3400</v>
      </c>
      <c r="D369" s="2" t="s">
        <v>486</v>
      </c>
      <c r="E369" s="2" t="s">
        <v>15</v>
      </c>
      <c r="F369" s="2" t="s">
        <v>487</v>
      </c>
      <c r="G369" s="2">
        <v>4.5270000000000001</v>
      </c>
      <c r="H369" s="2">
        <v>-4.5270000000000001</v>
      </c>
      <c r="I369" s="2" t="s">
        <v>125</v>
      </c>
    </row>
    <row r="370" spans="1:9" x14ac:dyDescent="0.35">
      <c r="A370" s="2">
        <v>202611</v>
      </c>
      <c r="B370" s="2">
        <v>1200</v>
      </c>
      <c r="C370" s="2">
        <v>3670</v>
      </c>
      <c r="D370" s="2" t="s">
        <v>488</v>
      </c>
      <c r="E370" s="2" t="s">
        <v>15</v>
      </c>
      <c r="F370" s="2" t="s">
        <v>489</v>
      </c>
      <c r="G370" s="2">
        <v>1.5469999999999999</v>
      </c>
      <c r="H370" s="2">
        <v>-1.5469999999999999</v>
      </c>
      <c r="I370" s="2" t="s">
        <v>125</v>
      </c>
    </row>
    <row r="371" spans="1:9" x14ac:dyDescent="0.35">
      <c r="A371" s="2">
        <v>202611</v>
      </c>
      <c r="B371" s="2">
        <v>1200</v>
      </c>
      <c r="C371" s="2">
        <v>5000</v>
      </c>
      <c r="D371" s="2" t="s">
        <v>490</v>
      </c>
      <c r="E371" s="2" t="s">
        <v>35</v>
      </c>
      <c r="F371" s="2" t="s">
        <v>491</v>
      </c>
      <c r="G371" s="2">
        <v>21.196999999999999</v>
      </c>
      <c r="H371" s="2">
        <v>21.196999999999999</v>
      </c>
      <c r="I371" s="2" t="s">
        <v>125</v>
      </c>
    </row>
    <row r="372" spans="1:9" x14ac:dyDescent="0.35">
      <c r="A372" s="2">
        <v>202611</v>
      </c>
      <c r="B372" s="2">
        <v>1200</v>
      </c>
      <c r="C372" s="2">
        <v>6300</v>
      </c>
      <c r="D372" s="2" t="s">
        <v>54</v>
      </c>
      <c r="E372" s="2" t="s">
        <v>35</v>
      </c>
      <c r="F372" s="2" t="s">
        <v>492</v>
      </c>
      <c r="G372" s="2">
        <v>8.3699999999999992</v>
      </c>
      <c r="H372" s="2">
        <v>8.3699999999999992</v>
      </c>
      <c r="I372" s="2" t="s">
        <v>125</v>
      </c>
    </row>
    <row r="373" spans="1:9" x14ac:dyDescent="0.35">
      <c r="A373" s="2">
        <v>202611</v>
      </c>
      <c r="B373" s="2">
        <v>1200</v>
      </c>
      <c r="C373" s="2">
        <v>6050</v>
      </c>
      <c r="D373" s="2" t="s">
        <v>493</v>
      </c>
      <c r="E373" s="2" t="s">
        <v>35</v>
      </c>
      <c r="F373" s="2" t="s">
        <v>494</v>
      </c>
      <c r="G373" s="2">
        <v>5.6</v>
      </c>
      <c r="H373" s="2">
        <v>5.6</v>
      </c>
      <c r="I373" s="2" t="s">
        <v>125</v>
      </c>
    </row>
    <row r="374" spans="1:9" x14ac:dyDescent="0.35">
      <c r="A374" s="2">
        <v>202611</v>
      </c>
      <c r="B374" s="2">
        <v>1300</v>
      </c>
      <c r="C374" s="2">
        <v>3900</v>
      </c>
      <c r="D374" s="2" t="s">
        <v>31</v>
      </c>
      <c r="E374" s="2" t="s">
        <v>15</v>
      </c>
      <c r="F374" s="2" t="s">
        <v>485</v>
      </c>
      <c r="G374" s="2">
        <v>23.641999999999999</v>
      </c>
      <c r="H374" s="2">
        <v>-23.641999999999999</v>
      </c>
      <c r="I374" s="2" t="s">
        <v>125</v>
      </c>
    </row>
    <row r="375" spans="1:9" x14ac:dyDescent="0.35">
      <c r="A375" s="2">
        <v>202611</v>
      </c>
      <c r="B375" s="2">
        <v>1300</v>
      </c>
      <c r="C375" s="2">
        <v>3400</v>
      </c>
      <c r="D375" s="2" t="s">
        <v>486</v>
      </c>
      <c r="E375" s="2" t="s">
        <v>15</v>
      </c>
      <c r="F375" s="2" t="s">
        <v>487</v>
      </c>
      <c r="G375" s="2">
        <v>2.3580000000000001</v>
      </c>
      <c r="H375" s="2">
        <v>-2.3580000000000001</v>
      </c>
      <c r="I375" s="2" t="s">
        <v>125</v>
      </c>
    </row>
    <row r="376" spans="1:9" x14ac:dyDescent="0.35">
      <c r="A376" s="2">
        <v>202611</v>
      </c>
      <c r="B376" s="2">
        <v>1300</v>
      </c>
      <c r="C376" s="2">
        <v>3670</v>
      </c>
      <c r="D376" s="2" t="s">
        <v>488</v>
      </c>
      <c r="E376" s="2" t="s">
        <v>15</v>
      </c>
      <c r="F376" s="2" t="s">
        <v>489</v>
      </c>
      <c r="G376" s="2">
        <v>1.1679999999999999</v>
      </c>
      <c r="H376" s="2">
        <v>-1.1679999999999999</v>
      </c>
      <c r="I376" s="2" t="s">
        <v>125</v>
      </c>
    </row>
    <row r="377" spans="1:9" x14ac:dyDescent="0.35">
      <c r="A377" s="2">
        <v>202611</v>
      </c>
      <c r="B377" s="2">
        <v>1300</v>
      </c>
      <c r="C377" s="2">
        <v>5000</v>
      </c>
      <c r="D377" s="2" t="s">
        <v>490</v>
      </c>
      <c r="E377" s="2" t="s">
        <v>35</v>
      </c>
      <c r="F377" s="2" t="s">
        <v>491</v>
      </c>
      <c r="G377" s="2">
        <v>18.053000000000001</v>
      </c>
      <c r="H377" s="2">
        <v>18.053000000000001</v>
      </c>
      <c r="I377" s="2" t="s">
        <v>125</v>
      </c>
    </row>
    <row r="378" spans="1:9" x14ac:dyDescent="0.35">
      <c r="A378" s="2">
        <v>202611</v>
      </c>
      <c r="B378" s="2">
        <v>1300</v>
      </c>
      <c r="C378" s="2">
        <v>6300</v>
      </c>
      <c r="D378" s="2" t="s">
        <v>54</v>
      </c>
      <c r="E378" s="2" t="s">
        <v>35</v>
      </c>
      <c r="F378" s="2" t="s">
        <v>492</v>
      </c>
      <c r="G378" s="2">
        <v>7.13</v>
      </c>
      <c r="H378" s="2">
        <v>7.13</v>
      </c>
      <c r="I378" s="2" t="s">
        <v>125</v>
      </c>
    </row>
    <row r="379" spans="1:9" x14ac:dyDescent="0.35">
      <c r="A379" s="2">
        <v>202611</v>
      </c>
      <c r="B379" s="2">
        <v>1300</v>
      </c>
      <c r="C379" s="2">
        <v>6050</v>
      </c>
      <c r="D379" s="2" t="s">
        <v>493</v>
      </c>
      <c r="E379" s="2" t="s">
        <v>35</v>
      </c>
      <c r="F379" s="2" t="s">
        <v>494</v>
      </c>
      <c r="G379" s="2">
        <v>3.36</v>
      </c>
      <c r="H379" s="2">
        <v>3.36</v>
      </c>
      <c r="I379" s="2" t="s">
        <v>125</v>
      </c>
    </row>
    <row r="380" spans="1:9" x14ac:dyDescent="0.35">
      <c r="A380" s="2">
        <v>202611</v>
      </c>
      <c r="B380" s="2">
        <v>1400</v>
      </c>
      <c r="C380" s="2">
        <v>3900</v>
      </c>
      <c r="D380" s="2" t="s">
        <v>31</v>
      </c>
      <c r="E380" s="2" t="s">
        <v>15</v>
      </c>
      <c r="F380" s="2" t="s">
        <v>485</v>
      </c>
      <c r="G380" s="2">
        <v>13.362</v>
      </c>
      <c r="H380" s="2">
        <v>-13.362</v>
      </c>
      <c r="I380" s="2" t="s">
        <v>125</v>
      </c>
    </row>
    <row r="381" spans="1:9" x14ac:dyDescent="0.35">
      <c r="A381" s="2">
        <v>202611</v>
      </c>
      <c r="B381" s="2">
        <v>1400</v>
      </c>
      <c r="C381" s="2">
        <v>3400</v>
      </c>
      <c r="D381" s="2" t="s">
        <v>486</v>
      </c>
      <c r="E381" s="2" t="s">
        <v>15</v>
      </c>
      <c r="F381" s="2" t="s">
        <v>487</v>
      </c>
      <c r="G381" s="2">
        <v>1.415</v>
      </c>
      <c r="H381" s="2">
        <v>-1.415</v>
      </c>
      <c r="I381" s="2" t="s">
        <v>125</v>
      </c>
    </row>
    <row r="382" spans="1:9" x14ac:dyDescent="0.35">
      <c r="A382" s="2">
        <v>202611</v>
      </c>
      <c r="B382" s="2">
        <v>1400</v>
      </c>
      <c r="C382" s="2">
        <v>3670</v>
      </c>
      <c r="D382" s="2" t="s">
        <v>488</v>
      </c>
      <c r="E382" s="2" t="s">
        <v>15</v>
      </c>
      <c r="F382" s="2" t="s">
        <v>489</v>
      </c>
      <c r="G382" s="2">
        <v>0.70299999999999996</v>
      </c>
      <c r="H382" s="2">
        <v>-0.70299999999999996</v>
      </c>
      <c r="I382" s="2" t="s">
        <v>125</v>
      </c>
    </row>
    <row r="383" spans="1:9" x14ac:dyDescent="0.35">
      <c r="A383" s="2">
        <v>202611</v>
      </c>
      <c r="B383" s="2">
        <v>1400</v>
      </c>
      <c r="C383" s="2">
        <v>5000</v>
      </c>
      <c r="D383" s="2" t="s">
        <v>490</v>
      </c>
      <c r="E383" s="2" t="s">
        <v>35</v>
      </c>
      <c r="F383" s="2" t="s">
        <v>491</v>
      </c>
      <c r="G383" s="2">
        <v>10.202999999999999</v>
      </c>
      <c r="H383" s="2">
        <v>10.202999999999999</v>
      </c>
      <c r="I383" s="2" t="s">
        <v>125</v>
      </c>
    </row>
    <row r="384" spans="1:9" x14ac:dyDescent="0.35">
      <c r="A384" s="2">
        <v>202611</v>
      </c>
      <c r="B384" s="2">
        <v>1400</v>
      </c>
      <c r="C384" s="2">
        <v>6300</v>
      </c>
      <c r="D384" s="2" t="s">
        <v>54</v>
      </c>
      <c r="E384" s="2" t="s">
        <v>35</v>
      </c>
      <c r="F384" s="2" t="s">
        <v>492</v>
      </c>
      <c r="G384" s="2">
        <v>4.03</v>
      </c>
      <c r="H384" s="2">
        <v>4.03</v>
      </c>
      <c r="I384" s="2" t="s">
        <v>125</v>
      </c>
    </row>
    <row r="385" spans="1:9" x14ac:dyDescent="0.35">
      <c r="A385" s="2">
        <v>202611</v>
      </c>
      <c r="B385" s="2">
        <v>1400</v>
      </c>
      <c r="C385" s="2">
        <v>6050</v>
      </c>
      <c r="D385" s="2" t="s">
        <v>493</v>
      </c>
      <c r="E385" s="2" t="s">
        <v>35</v>
      </c>
      <c r="F385" s="2" t="s">
        <v>494</v>
      </c>
      <c r="G385" s="2">
        <v>1.44</v>
      </c>
      <c r="H385" s="2">
        <v>1.44</v>
      </c>
      <c r="I385" s="2" t="s">
        <v>125</v>
      </c>
    </row>
    <row r="386" spans="1:9" x14ac:dyDescent="0.35">
      <c r="A386" s="2">
        <v>202611</v>
      </c>
      <c r="B386" s="2">
        <v>1500</v>
      </c>
      <c r="C386" s="2">
        <v>3900</v>
      </c>
      <c r="D386" s="2" t="s">
        <v>31</v>
      </c>
      <c r="E386" s="2" t="s">
        <v>15</v>
      </c>
      <c r="F386" s="2" t="s">
        <v>485</v>
      </c>
      <c r="G386" s="2">
        <v>10.28</v>
      </c>
      <c r="H386" s="2">
        <v>-10.28</v>
      </c>
      <c r="I386" s="2" t="s">
        <v>125</v>
      </c>
    </row>
    <row r="387" spans="1:9" x14ac:dyDescent="0.35">
      <c r="A387" s="2">
        <v>202611</v>
      </c>
      <c r="B387" s="2">
        <v>1500</v>
      </c>
      <c r="C387" s="2">
        <v>3400</v>
      </c>
      <c r="D387" s="2" t="s">
        <v>486</v>
      </c>
      <c r="E387" s="2" t="s">
        <v>15</v>
      </c>
      <c r="F387" s="2" t="s">
        <v>487</v>
      </c>
      <c r="G387" s="2">
        <v>0.94299999999999995</v>
      </c>
      <c r="H387" s="2">
        <v>-0.94299999999999995</v>
      </c>
      <c r="I387" s="2" t="s">
        <v>125</v>
      </c>
    </row>
    <row r="388" spans="1:9" x14ac:dyDescent="0.35">
      <c r="A388" s="2">
        <v>202611</v>
      </c>
      <c r="B388" s="2">
        <v>1500</v>
      </c>
      <c r="C388" s="2">
        <v>3670</v>
      </c>
      <c r="D388" s="2" t="s">
        <v>488</v>
      </c>
      <c r="E388" s="2" t="s">
        <v>15</v>
      </c>
      <c r="F388" s="2" t="s">
        <v>489</v>
      </c>
      <c r="G388" s="2">
        <v>0.46600000000000003</v>
      </c>
      <c r="H388" s="2">
        <v>-0.46600000000000003</v>
      </c>
      <c r="I388" s="2" t="s">
        <v>125</v>
      </c>
    </row>
    <row r="389" spans="1:9" x14ac:dyDescent="0.35">
      <c r="A389" s="2">
        <v>202611</v>
      </c>
      <c r="B389" s="2">
        <v>1500</v>
      </c>
      <c r="C389" s="2">
        <v>5000</v>
      </c>
      <c r="D389" s="2" t="s">
        <v>490</v>
      </c>
      <c r="E389" s="2" t="s">
        <v>35</v>
      </c>
      <c r="F389" s="2" t="s">
        <v>491</v>
      </c>
      <c r="G389" s="2">
        <v>7.85</v>
      </c>
      <c r="H389" s="2">
        <v>7.85</v>
      </c>
      <c r="I389" s="2" t="s">
        <v>125</v>
      </c>
    </row>
    <row r="390" spans="1:9" x14ac:dyDescent="0.35">
      <c r="A390" s="2">
        <v>202611</v>
      </c>
      <c r="B390" s="2">
        <v>1500</v>
      </c>
      <c r="C390" s="2">
        <v>6300</v>
      </c>
      <c r="D390" s="2" t="s">
        <v>54</v>
      </c>
      <c r="E390" s="2" t="s">
        <v>35</v>
      </c>
      <c r="F390" s="2" t="s">
        <v>492</v>
      </c>
      <c r="G390" s="2">
        <v>3.1</v>
      </c>
      <c r="H390" s="2">
        <v>3.1</v>
      </c>
      <c r="I390" s="2" t="s">
        <v>125</v>
      </c>
    </row>
    <row r="391" spans="1:9" x14ac:dyDescent="0.35">
      <c r="A391" s="2">
        <v>202611</v>
      </c>
      <c r="B391" s="2">
        <v>1500</v>
      </c>
      <c r="C391" s="2">
        <v>6050</v>
      </c>
      <c r="D391" s="2" t="s">
        <v>493</v>
      </c>
      <c r="E391" s="2" t="s">
        <v>35</v>
      </c>
      <c r="F391" s="2" t="s">
        <v>494</v>
      </c>
      <c r="G391" s="2">
        <v>1.1200000000000001</v>
      </c>
      <c r="H391" s="2">
        <v>1.1200000000000001</v>
      </c>
      <c r="I391" s="2" t="s">
        <v>125</v>
      </c>
    </row>
    <row r="392" spans="1:9" x14ac:dyDescent="0.35">
      <c r="A392" s="2">
        <v>202611</v>
      </c>
      <c r="B392" s="2">
        <v>1900</v>
      </c>
      <c r="C392" s="2">
        <v>3900</v>
      </c>
      <c r="D392" s="2" t="s">
        <v>31</v>
      </c>
      <c r="E392" s="2" t="s">
        <v>15</v>
      </c>
      <c r="F392" s="2" t="s">
        <v>485</v>
      </c>
      <c r="G392" s="2">
        <v>7.1980000000000004</v>
      </c>
      <c r="H392" s="2">
        <v>-7.1980000000000004</v>
      </c>
      <c r="I392" s="2" t="s">
        <v>125</v>
      </c>
    </row>
    <row r="393" spans="1:9" x14ac:dyDescent="0.35">
      <c r="A393" s="2">
        <v>202611</v>
      </c>
      <c r="B393" s="2">
        <v>1900</v>
      </c>
      <c r="C393" s="2">
        <v>3400</v>
      </c>
      <c r="D393" s="2" t="s">
        <v>486</v>
      </c>
      <c r="E393" s="2" t="s">
        <v>15</v>
      </c>
      <c r="F393" s="2" t="s">
        <v>487</v>
      </c>
      <c r="G393" s="2">
        <v>0.28299999999999997</v>
      </c>
      <c r="H393" s="2">
        <v>-0.28299999999999997</v>
      </c>
      <c r="I393" s="2" t="s">
        <v>125</v>
      </c>
    </row>
    <row r="394" spans="1:9" x14ac:dyDescent="0.35">
      <c r="A394" s="2">
        <v>202611</v>
      </c>
      <c r="B394" s="2">
        <v>1900</v>
      </c>
      <c r="C394" s="2">
        <v>3670</v>
      </c>
      <c r="D394" s="2" t="s">
        <v>488</v>
      </c>
      <c r="E394" s="2" t="s">
        <v>15</v>
      </c>
      <c r="F394" s="2" t="s">
        <v>489</v>
      </c>
      <c r="G394" s="2">
        <v>1.5</v>
      </c>
      <c r="H394" s="2">
        <v>-1.5</v>
      </c>
      <c r="I394" s="2" t="s">
        <v>125</v>
      </c>
    </row>
    <row r="395" spans="1:9" x14ac:dyDescent="0.35">
      <c r="A395" s="2">
        <v>202611</v>
      </c>
      <c r="B395" s="2">
        <v>1900</v>
      </c>
      <c r="C395" s="2">
        <v>5000</v>
      </c>
      <c r="D395" s="2" t="s">
        <v>490</v>
      </c>
      <c r="E395" s="2" t="s">
        <v>35</v>
      </c>
      <c r="F395" s="2" t="s">
        <v>491</v>
      </c>
      <c r="G395" s="2">
        <v>6.2779999999999996</v>
      </c>
      <c r="H395" s="2">
        <v>6.2779999999999996</v>
      </c>
      <c r="I395" s="2" t="s">
        <v>125</v>
      </c>
    </row>
    <row r="396" spans="1:9" x14ac:dyDescent="0.35">
      <c r="A396" s="2">
        <v>202611</v>
      </c>
      <c r="B396" s="2">
        <v>1900</v>
      </c>
      <c r="C396" s="2">
        <v>6300</v>
      </c>
      <c r="D396" s="2" t="s">
        <v>54</v>
      </c>
      <c r="E396" s="2" t="s">
        <v>35</v>
      </c>
      <c r="F396" s="2" t="s">
        <v>492</v>
      </c>
      <c r="G396" s="2">
        <v>2.48</v>
      </c>
      <c r="H396" s="2">
        <v>2.48</v>
      </c>
      <c r="I396" s="2" t="s">
        <v>125</v>
      </c>
    </row>
    <row r="397" spans="1:9" x14ac:dyDescent="0.35">
      <c r="A397" s="2">
        <v>202611</v>
      </c>
      <c r="B397" s="2">
        <v>1900</v>
      </c>
      <c r="C397" s="2">
        <v>6050</v>
      </c>
      <c r="D397" s="2" t="s">
        <v>493</v>
      </c>
      <c r="E397" s="2" t="s">
        <v>35</v>
      </c>
      <c r="F397" s="2" t="s">
        <v>494</v>
      </c>
      <c r="G397" s="2">
        <v>1.44</v>
      </c>
      <c r="H397" s="2">
        <v>1.44</v>
      </c>
      <c r="I397" s="2" t="s">
        <v>125</v>
      </c>
    </row>
    <row r="398" spans="1:9" x14ac:dyDescent="0.35">
      <c r="A398" s="2">
        <v>202612</v>
      </c>
      <c r="B398" s="2">
        <v>1100</v>
      </c>
      <c r="C398" s="2">
        <v>3900</v>
      </c>
      <c r="D398" s="2" t="s">
        <v>31</v>
      </c>
      <c r="E398" s="2" t="s">
        <v>15</v>
      </c>
      <c r="F398" s="2" t="s">
        <v>485</v>
      </c>
      <c r="G398" s="2">
        <v>20.58</v>
      </c>
      <c r="H398" s="2">
        <v>-20.58</v>
      </c>
      <c r="I398" s="2" t="s">
        <v>125</v>
      </c>
    </row>
    <row r="399" spans="1:9" x14ac:dyDescent="0.35">
      <c r="A399" s="2">
        <v>202612</v>
      </c>
      <c r="B399" s="2">
        <v>1100</v>
      </c>
      <c r="C399" s="2">
        <v>3400</v>
      </c>
      <c r="D399" s="2" t="s">
        <v>486</v>
      </c>
      <c r="E399" s="2" t="s">
        <v>15</v>
      </c>
      <c r="F399" s="2" t="s">
        <v>487</v>
      </c>
      <c r="G399" s="2">
        <v>2.0030000000000001</v>
      </c>
      <c r="H399" s="2">
        <v>-2.0030000000000001</v>
      </c>
      <c r="I399" s="2" t="s">
        <v>125</v>
      </c>
    </row>
    <row r="400" spans="1:9" x14ac:dyDescent="0.35">
      <c r="A400" s="2">
        <v>202612</v>
      </c>
      <c r="B400" s="2">
        <v>1100</v>
      </c>
      <c r="C400" s="2">
        <v>3670</v>
      </c>
      <c r="D400" s="2" t="s">
        <v>488</v>
      </c>
      <c r="E400" s="2" t="s">
        <v>15</v>
      </c>
      <c r="F400" s="2" t="s">
        <v>489</v>
      </c>
      <c r="G400" s="2">
        <v>0.54400000000000004</v>
      </c>
      <c r="H400" s="2">
        <v>-0.54400000000000004</v>
      </c>
      <c r="I400" s="2" t="s">
        <v>125</v>
      </c>
    </row>
    <row r="401" spans="1:9" x14ac:dyDescent="0.35">
      <c r="A401" s="2">
        <v>202612</v>
      </c>
      <c r="B401" s="2">
        <v>1100</v>
      </c>
      <c r="C401" s="2">
        <v>5000</v>
      </c>
      <c r="D401" s="2" t="s">
        <v>490</v>
      </c>
      <c r="E401" s="2" t="s">
        <v>35</v>
      </c>
      <c r="F401" s="2" t="s">
        <v>491</v>
      </c>
      <c r="G401" s="2">
        <v>12.163</v>
      </c>
      <c r="H401" s="2">
        <v>12.163</v>
      </c>
      <c r="I401" s="2" t="s">
        <v>125</v>
      </c>
    </row>
    <row r="402" spans="1:9" x14ac:dyDescent="0.35">
      <c r="A402" s="2">
        <v>202612</v>
      </c>
      <c r="B402" s="2">
        <v>1100</v>
      </c>
      <c r="C402" s="2">
        <v>6300</v>
      </c>
      <c r="D402" s="2" t="s">
        <v>54</v>
      </c>
      <c r="E402" s="2" t="s">
        <v>35</v>
      </c>
      <c r="F402" s="2" t="s">
        <v>492</v>
      </c>
      <c r="G402" s="2">
        <v>4.37</v>
      </c>
      <c r="H402" s="2">
        <v>4.37</v>
      </c>
      <c r="I402" s="2" t="s">
        <v>125</v>
      </c>
    </row>
    <row r="403" spans="1:9" x14ac:dyDescent="0.35">
      <c r="A403" s="2">
        <v>202612</v>
      </c>
      <c r="B403" s="2">
        <v>1100</v>
      </c>
      <c r="C403" s="2">
        <v>6050</v>
      </c>
      <c r="D403" s="2" t="s">
        <v>493</v>
      </c>
      <c r="E403" s="2" t="s">
        <v>35</v>
      </c>
      <c r="F403" s="2" t="s">
        <v>494</v>
      </c>
      <c r="G403" s="2">
        <v>2.4700000000000002</v>
      </c>
      <c r="H403" s="2">
        <v>2.4700000000000002</v>
      </c>
      <c r="I403" s="2" t="s">
        <v>125</v>
      </c>
    </row>
    <row r="404" spans="1:9" x14ac:dyDescent="0.35">
      <c r="A404" s="2">
        <v>202612</v>
      </c>
      <c r="B404" s="2">
        <v>1200</v>
      </c>
      <c r="C404" s="2">
        <v>3900</v>
      </c>
      <c r="D404" s="2" t="s">
        <v>31</v>
      </c>
      <c r="E404" s="2" t="s">
        <v>15</v>
      </c>
      <c r="F404" s="2" t="s">
        <v>485</v>
      </c>
      <c r="G404" s="2">
        <v>27.785</v>
      </c>
      <c r="H404" s="2">
        <v>-27.785</v>
      </c>
      <c r="I404" s="2" t="s">
        <v>125</v>
      </c>
    </row>
    <row r="405" spans="1:9" x14ac:dyDescent="0.35">
      <c r="A405" s="2">
        <v>202612</v>
      </c>
      <c r="B405" s="2">
        <v>1200</v>
      </c>
      <c r="C405" s="2">
        <v>3400</v>
      </c>
      <c r="D405" s="2" t="s">
        <v>486</v>
      </c>
      <c r="E405" s="2" t="s">
        <v>15</v>
      </c>
      <c r="F405" s="2" t="s">
        <v>487</v>
      </c>
      <c r="G405" s="2">
        <v>4.3710000000000004</v>
      </c>
      <c r="H405" s="2">
        <v>-4.3710000000000004</v>
      </c>
      <c r="I405" s="2" t="s">
        <v>125</v>
      </c>
    </row>
    <row r="406" spans="1:9" x14ac:dyDescent="0.35">
      <c r="A406" s="2">
        <v>202612</v>
      </c>
      <c r="B406" s="2">
        <v>1200</v>
      </c>
      <c r="C406" s="2">
        <v>3670</v>
      </c>
      <c r="D406" s="2" t="s">
        <v>488</v>
      </c>
      <c r="E406" s="2" t="s">
        <v>15</v>
      </c>
      <c r="F406" s="2" t="s">
        <v>489</v>
      </c>
      <c r="G406" s="2">
        <v>1.367</v>
      </c>
      <c r="H406" s="2">
        <v>-1.367</v>
      </c>
      <c r="I406" s="2" t="s">
        <v>125</v>
      </c>
    </row>
    <row r="407" spans="1:9" x14ac:dyDescent="0.35">
      <c r="A407" s="2">
        <v>202612</v>
      </c>
      <c r="B407" s="2">
        <v>1200</v>
      </c>
      <c r="C407" s="2">
        <v>5000</v>
      </c>
      <c r="D407" s="2" t="s">
        <v>490</v>
      </c>
      <c r="E407" s="2" t="s">
        <v>35</v>
      </c>
      <c r="F407" s="2" t="s">
        <v>491</v>
      </c>
      <c r="G407" s="2">
        <v>17.280999999999999</v>
      </c>
      <c r="H407" s="2">
        <v>17.280999999999999</v>
      </c>
      <c r="I407" s="2" t="s">
        <v>125</v>
      </c>
    </row>
    <row r="408" spans="1:9" x14ac:dyDescent="0.35">
      <c r="A408" s="2">
        <v>202612</v>
      </c>
      <c r="B408" s="2">
        <v>1200</v>
      </c>
      <c r="C408" s="2">
        <v>6300</v>
      </c>
      <c r="D408" s="2" t="s">
        <v>54</v>
      </c>
      <c r="E408" s="2" t="s">
        <v>35</v>
      </c>
      <c r="F408" s="2" t="s">
        <v>492</v>
      </c>
      <c r="G408" s="2">
        <v>6.21</v>
      </c>
      <c r="H408" s="2">
        <v>6.21</v>
      </c>
      <c r="I408" s="2" t="s">
        <v>125</v>
      </c>
    </row>
    <row r="409" spans="1:9" x14ac:dyDescent="0.35">
      <c r="A409" s="2">
        <v>202612</v>
      </c>
      <c r="B409" s="2">
        <v>1200</v>
      </c>
      <c r="C409" s="2">
        <v>6050</v>
      </c>
      <c r="D409" s="2" t="s">
        <v>493</v>
      </c>
      <c r="E409" s="2" t="s">
        <v>35</v>
      </c>
      <c r="F409" s="2" t="s">
        <v>494</v>
      </c>
      <c r="G409" s="2">
        <v>4.55</v>
      </c>
      <c r="H409" s="2">
        <v>4.55</v>
      </c>
      <c r="I409" s="2" t="s">
        <v>125</v>
      </c>
    </row>
    <row r="410" spans="1:9" x14ac:dyDescent="0.35">
      <c r="A410" s="2">
        <v>202612</v>
      </c>
      <c r="B410" s="2">
        <v>1300</v>
      </c>
      <c r="C410" s="2">
        <v>3900</v>
      </c>
      <c r="D410" s="2" t="s">
        <v>31</v>
      </c>
      <c r="E410" s="2" t="s">
        <v>15</v>
      </c>
      <c r="F410" s="2" t="s">
        <v>485</v>
      </c>
      <c r="G410" s="2">
        <v>23.664999999999999</v>
      </c>
      <c r="H410" s="2">
        <v>-23.664999999999999</v>
      </c>
      <c r="I410" s="2" t="s">
        <v>125</v>
      </c>
    </row>
    <row r="411" spans="1:9" x14ac:dyDescent="0.35">
      <c r="A411" s="2">
        <v>202612</v>
      </c>
      <c r="B411" s="2">
        <v>1300</v>
      </c>
      <c r="C411" s="2">
        <v>3400</v>
      </c>
      <c r="D411" s="2" t="s">
        <v>486</v>
      </c>
      <c r="E411" s="2" t="s">
        <v>15</v>
      </c>
      <c r="F411" s="2" t="s">
        <v>487</v>
      </c>
      <c r="G411" s="2">
        <v>2.2759999999999998</v>
      </c>
      <c r="H411" s="2">
        <v>-2.2759999999999998</v>
      </c>
      <c r="I411" s="2" t="s">
        <v>125</v>
      </c>
    </row>
    <row r="412" spans="1:9" x14ac:dyDescent="0.35">
      <c r="A412" s="2">
        <v>202612</v>
      </c>
      <c r="B412" s="2">
        <v>1300</v>
      </c>
      <c r="C412" s="2">
        <v>3670</v>
      </c>
      <c r="D412" s="2" t="s">
        <v>488</v>
      </c>
      <c r="E412" s="2" t="s">
        <v>15</v>
      </c>
      <c r="F412" s="2" t="s">
        <v>489</v>
      </c>
      <c r="G412" s="2">
        <v>1.032</v>
      </c>
      <c r="H412" s="2">
        <v>-1.032</v>
      </c>
      <c r="I412" s="2" t="s">
        <v>125</v>
      </c>
    </row>
    <row r="413" spans="1:9" x14ac:dyDescent="0.35">
      <c r="A413" s="2">
        <v>202612</v>
      </c>
      <c r="B413" s="2">
        <v>1300</v>
      </c>
      <c r="C413" s="2">
        <v>5000</v>
      </c>
      <c r="D413" s="2" t="s">
        <v>490</v>
      </c>
      <c r="E413" s="2" t="s">
        <v>35</v>
      </c>
      <c r="F413" s="2" t="s">
        <v>491</v>
      </c>
      <c r="G413" s="2">
        <v>14.718999999999999</v>
      </c>
      <c r="H413" s="2">
        <v>14.718999999999999</v>
      </c>
      <c r="I413" s="2" t="s">
        <v>125</v>
      </c>
    </row>
    <row r="414" spans="1:9" x14ac:dyDescent="0.35">
      <c r="A414" s="2">
        <v>202612</v>
      </c>
      <c r="B414" s="2">
        <v>1300</v>
      </c>
      <c r="C414" s="2">
        <v>6300</v>
      </c>
      <c r="D414" s="2" t="s">
        <v>54</v>
      </c>
      <c r="E414" s="2" t="s">
        <v>35</v>
      </c>
      <c r="F414" s="2" t="s">
        <v>492</v>
      </c>
      <c r="G414" s="2">
        <v>5.29</v>
      </c>
      <c r="H414" s="2">
        <v>5.29</v>
      </c>
      <c r="I414" s="2" t="s">
        <v>125</v>
      </c>
    </row>
    <row r="415" spans="1:9" x14ac:dyDescent="0.35">
      <c r="A415" s="2">
        <v>202612</v>
      </c>
      <c r="B415" s="2">
        <v>1300</v>
      </c>
      <c r="C415" s="2">
        <v>6050</v>
      </c>
      <c r="D415" s="2" t="s">
        <v>493</v>
      </c>
      <c r="E415" s="2" t="s">
        <v>35</v>
      </c>
      <c r="F415" s="2" t="s">
        <v>494</v>
      </c>
      <c r="G415" s="2">
        <v>2.73</v>
      </c>
      <c r="H415" s="2">
        <v>2.73</v>
      </c>
      <c r="I415" s="2" t="s">
        <v>125</v>
      </c>
    </row>
    <row r="416" spans="1:9" x14ac:dyDescent="0.35">
      <c r="A416" s="2">
        <v>202612</v>
      </c>
      <c r="B416" s="2">
        <v>1400</v>
      </c>
      <c r="C416" s="2">
        <v>3900</v>
      </c>
      <c r="D416" s="2" t="s">
        <v>31</v>
      </c>
      <c r="E416" s="2" t="s">
        <v>15</v>
      </c>
      <c r="F416" s="2" t="s">
        <v>485</v>
      </c>
      <c r="G416" s="2">
        <v>13.375</v>
      </c>
      <c r="H416" s="2">
        <v>-13.375</v>
      </c>
      <c r="I416" s="2" t="s">
        <v>125</v>
      </c>
    </row>
    <row r="417" spans="1:9" x14ac:dyDescent="0.35">
      <c r="A417" s="2">
        <v>202612</v>
      </c>
      <c r="B417" s="2">
        <v>1400</v>
      </c>
      <c r="C417" s="2">
        <v>3400</v>
      </c>
      <c r="D417" s="2" t="s">
        <v>486</v>
      </c>
      <c r="E417" s="2" t="s">
        <v>15</v>
      </c>
      <c r="F417" s="2" t="s">
        <v>487</v>
      </c>
      <c r="G417" s="2">
        <v>1.3660000000000001</v>
      </c>
      <c r="H417" s="2">
        <v>-1.3660000000000001</v>
      </c>
      <c r="I417" s="2" t="s">
        <v>125</v>
      </c>
    </row>
    <row r="418" spans="1:9" x14ac:dyDescent="0.35">
      <c r="A418" s="2">
        <v>202612</v>
      </c>
      <c r="B418" s="2">
        <v>1400</v>
      </c>
      <c r="C418" s="2">
        <v>3670</v>
      </c>
      <c r="D418" s="2" t="s">
        <v>488</v>
      </c>
      <c r="E418" s="2" t="s">
        <v>15</v>
      </c>
      <c r="F418" s="2" t="s">
        <v>489</v>
      </c>
      <c r="G418" s="2">
        <v>0.621</v>
      </c>
      <c r="H418" s="2">
        <v>-0.621</v>
      </c>
      <c r="I418" s="2" t="s">
        <v>125</v>
      </c>
    </row>
    <row r="419" spans="1:9" x14ac:dyDescent="0.35">
      <c r="A419" s="2">
        <v>202612</v>
      </c>
      <c r="B419" s="2">
        <v>1400</v>
      </c>
      <c r="C419" s="2">
        <v>5000</v>
      </c>
      <c r="D419" s="2" t="s">
        <v>490</v>
      </c>
      <c r="E419" s="2" t="s">
        <v>35</v>
      </c>
      <c r="F419" s="2" t="s">
        <v>491</v>
      </c>
      <c r="G419" s="2">
        <v>8.3190000000000008</v>
      </c>
      <c r="H419" s="2">
        <v>8.3190000000000008</v>
      </c>
      <c r="I419" s="2" t="s">
        <v>125</v>
      </c>
    </row>
    <row r="420" spans="1:9" x14ac:dyDescent="0.35">
      <c r="A420" s="2">
        <v>202612</v>
      </c>
      <c r="B420" s="2">
        <v>1400</v>
      </c>
      <c r="C420" s="2">
        <v>6300</v>
      </c>
      <c r="D420" s="2" t="s">
        <v>54</v>
      </c>
      <c r="E420" s="2" t="s">
        <v>35</v>
      </c>
      <c r="F420" s="2" t="s">
        <v>492</v>
      </c>
      <c r="G420" s="2">
        <v>2.99</v>
      </c>
      <c r="H420" s="2">
        <v>2.99</v>
      </c>
      <c r="I420" s="2" t="s">
        <v>125</v>
      </c>
    </row>
    <row r="421" spans="1:9" x14ac:dyDescent="0.35">
      <c r="A421" s="2">
        <v>202612</v>
      </c>
      <c r="B421" s="2">
        <v>1400</v>
      </c>
      <c r="C421" s="2">
        <v>6050</v>
      </c>
      <c r="D421" s="2" t="s">
        <v>493</v>
      </c>
      <c r="E421" s="2" t="s">
        <v>35</v>
      </c>
      <c r="F421" s="2" t="s">
        <v>494</v>
      </c>
      <c r="G421" s="2">
        <v>1.17</v>
      </c>
      <c r="H421" s="2">
        <v>1.17</v>
      </c>
      <c r="I421" s="2" t="s">
        <v>125</v>
      </c>
    </row>
    <row r="422" spans="1:9" x14ac:dyDescent="0.35">
      <c r="A422" s="2">
        <v>202612</v>
      </c>
      <c r="B422" s="2">
        <v>1500</v>
      </c>
      <c r="C422" s="2">
        <v>3900</v>
      </c>
      <c r="D422" s="2" t="s">
        <v>31</v>
      </c>
      <c r="E422" s="2" t="s">
        <v>15</v>
      </c>
      <c r="F422" s="2" t="s">
        <v>485</v>
      </c>
      <c r="G422" s="2">
        <v>10.29</v>
      </c>
      <c r="H422" s="2">
        <v>-10.29</v>
      </c>
      <c r="I422" s="2" t="s">
        <v>125</v>
      </c>
    </row>
    <row r="423" spans="1:9" x14ac:dyDescent="0.35">
      <c r="A423" s="2">
        <v>202612</v>
      </c>
      <c r="B423" s="2">
        <v>1500</v>
      </c>
      <c r="C423" s="2">
        <v>3400</v>
      </c>
      <c r="D423" s="2" t="s">
        <v>486</v>
      </c>
      <c r="E423" s="2" t="s">
        <v>15</v>
      </c>
      <c r="F423" s="2" t="s">
        <v>487</v>
      </c>
      <c r="G423" s="2">
        <v>0.91100000000000003</v>
      </c>
      <c r="H423" s="2">
        <v>-0.91100000000000003</v>
      </c>
      <c r="I423" s="2" t="s">
        <v>125</v>
      </c>
    </row>
    <row r="424" spans="1:9" x14ac:dyDescent="0.35">
      <c r="A424" s="2">
        <v>202612</v>
      </c>
      <c r="B424" s="2">
        <v>1500</v>
      </c>
      <c r="C424" s="2">
        <v>3670</v>
      </c>
      <c r="D424" s="2" t="s">
        <v>488</v>
      </c>
      <c r="E424" s="2" t="s">
        <v>15</v>
      </c>
      <c r="F424" s="2" t="s">
        <v>489</v>
      </c>
      <c r="G424" s="2">
        <v>0.41099999999999998</v>
      </c>
      <c r="H424" s="2">
        <v>-0.41099999999999998</v>
      </c>
      <c r="I424" s="2" t="s">
        <v>125</v>
      </c>
    </row>
    <row r="425" spans="1:9" x14ac:dyDescent="0.35">
      <c r="A425" s="2">
        <v>202612</v>
      </c>
      <c r="B425" s="2">
        <v>1500</v>
      </c>
      <c r="C425" s="2">
        <v>5000</v>
      </c>
      <c r="D425" s="2" t="s">
        <v>490</v>
      </c>
      <c r="E425" s="2" t="s">
        <v>35</v>
      </c>
      <c r="F425" s="2" t="s">
        <v>491</v>
      </c>
      <c r="G425" s="2">
        <v>6.4</v>
      </c>
      <c r="H425" s="2">
        <v>6.4</v>
      </c>
      <c r="I425" s="2" t="s">
        <v>125</v>
      </c>
    </row>
    <row r="426" spans="1:9" x14ac:dyDescent="0.35">
      <c r="A426" s="2">
        <v>202612</v>
      </c>
      <c r="B426" s="2">
        <v>1500</v>
      </c>
      <c r="C426" s="2">
        <v>6300</v>
      </c>
      <c r="D426" s="2" t="s">
        <v>54</v>
      </c>
      <c r="E426" s="2" t="s">
        <v>35</v>
      </c>
      <c r="F426" s="2" t="s">
        <v>492</v>
      </c>
      <c r="G426" s="2">
        <v>2.2999999999999998</v>
      </c>
      <c r="H426" s="2">
        <v>2.2999999999999998</v>
      </c>
      <c r="I426" s="2" t="s">
        <v>125</v>
      </c>
    </row>
    <row r="427" spans="1:9" x14ac:dyDescent="0.35">
      <c r="A427" s="2">
        <v>202612</v>
      </c>
      <c r="B427" s="2">
        <v>1500</v>
      </c>
      <c r="C427" s="2">
        <v>6050</v>
      </c>
      <c r="D427" s="2" t="s">
        <v>493</v>
      </c>
      <c r="E427" s="2" t="s">
        <v>35</v>
      </c>
      <c r="F427" s="2" t="s">
        <v>494</v>
      </c>
      <c r="G427" s="2">
        <v>0.91</v>
      </c>
      <c r="H427" s="2">
        <v>0.91</v>
      </c>
      <c r="I427" s="2" t="s">
        <v>125</v>
      </c>
    </row>
    <row r="428" spans="1:9" x14ac:dyDescent="0.35">
      <c r="A428" s="2">
        <v>202612</v>
      </c>
      <c r="B428" s="2">
        <v>1900</v>
      </c>
      <c r="C428" s="2">
        <v>3900</v>
      </c>
      <c r="D428" s="2" t="s">
        <v>31</v>
      </c>
      <c r="E428" s="2" t="s">
        <v>15</v>
      </c>
      <c r="F428" s="2" t="s">
        <v>485</v>
      </c>
      <c r="G428" s="2">
        <v>7.2050000000000001</v>
      </c>
      <c r="H428" s="2">
        <v>-7.2050000000000001</v>
      </c>
      <c r="I428" s="2" t="s">
        <v>125</v>
      </c>
    </row>
    <row r="429" spans="1:9" x14ac:dyDescent="0.35">
      <c r="A429" s="2">
        <v>202612</v>
      </c>
      <c r="B429" s="2">
        <v>1900</v>
      </c>
      <c r="C429" s="2">
        <v>3400</v>
      </c>
      <c r="D429" s="2" t="s">
        <v>486</v>
      </c>
      <c r="E429" s="2" t="s">
        <v>15</v>
      </c>
      <c r="F429" s="2" t="s">
        <v>487</v>
      </c>
      <c r="G429" s="2">
        <v>0.27300000000000002</v>
      </c>
      <c r="H429" s="2">
        <v>-0.27300000000000002</v>
      </c>
      <c r="I429" s="2" t="s">
        <v>125</v>
      </c>
    </row>
    <row r="430" spans="1:9" x14ac:dyDescent="0.35">
      <c r="A430" s="2">
        <v>202612</v>
      </c>
      <c r="B430" s="2">
        <v>1900</v>
      </c>
      <c r="C430" s="2">
        <v>3670</v>
      </c>
      <c r="D430" s="2" t="s">
        <v>488</v>
      </c>
      <c r="E430" s="2" t="s">
        <v>15</v>
      </c>
      <c r="F430" s="2" t="s">
        <v>489</v>
      </c>
      <c r="G430" s="2">
        <v>1.325</v>
      </c>
      <c r="H430" s="2">
        <v>-1.325</v>
      </c>
      <c r="I430" s="2" t="s">
        <v>125</v>
      </c>
    </row>
    <row r="431" spans="1:9" x14ac:dyDescent="0.35">
      <c r="A431" s="2">
        <v>202612</v>
      </c>
      <c r="B431" s="2">
        <v>1900</v>
      </c>
      <c r="C431" s="2">
        <v>5000</v>
      </c>
      <c r="D431" s="2" t="s">
        <v>490</v>
      </c>
      <c r="E431" s="2" t="s">
        <v>35</v>
      </c>
      <c r="F431" s="2" t="s">
        <v>491</v>
      </c>
      <c r="G431" s="2">
        <v>5.1189999999999998</v>
      </c>
      <c r="H431" s="2">
        <v>5.1189999999999998</v>
      </c>
      <c r="I431" s="2" t="s">
        <v>125</v>
      </c>
    </row>
    <row r="432" spans="1:9" x14ac:dyDescent="0.35">
      <c r="A432" s="2">
        <v>202612</v>
      </c>
      <c r="B432" s="2">
        <v>1900</v>
      </c>
      <c r="C432" s="2">
        <v>6300</v>
      </c>
      <c r="D432" s="2" t="s">
        <v>54</v>
      </c>
      <c r="E432" s="2" t="s">
        <v>35</v>
      </c>
      <c r="F432" s="2" t="s">
        <v>492</v>
      </c>
      <c r="G432" s="2">
        <v>1.84</v>
      </c>
      <c r="H432" s="2">
        <v>1.84</v>
      </c>
      <c r="I432" s="2" t="s">
        <v>125</v>
      </c>
    </row>
    <row r="433" spans="1:9" x14ac:dyDescent="0.35">
      <c r="A433" s="2">
        <v>202612</v>
      </c>
      <c r="B433" s="2">
        <v>1900</v>
      </c>
      <c r="C433" s="2">
        <v>6050</v>
      </c>
      <c r="D433" s="2" t="s">
        <v>493</v>
      </c>
      <c r="E433" s="2" t="s">
        <v>35</v>
      </c>
      <c r="F433" s="2" t="s">
        <v>494</v>
      </c>
      <c r="G433" s="2">
        <v>1.17</v>
      </c>
      <c r="H433" s="2">
        <v>1.17</v>
      </c>
      <c r="I433" s="2" t="s">
        <v>125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A030-EFCF-4D27-885E-E8F0BE2D532A}">
  <dimension ref="A1:Q43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81640625" bestFit="1" customWidth="1"/>
    <col min="2" max="2" width="7.08984375" bestFit="1" customWidth="1"/>
    <col min="3" max="3" width="14" bestFit="1" customWidth="1"/>
    <col min="4" max="4" width="9" bestFit="1" customWidth="1"/>
    <col min="5" max="5" width="10.36328125" bestFit="1" customWidth="1"/>
    <col min="6" max="6" width="30.90625" bestFit="1" customWidth="1"/>
    <col min="7" max="7" width="13.453125" bestFit="1" customWidth="1"/>
    <col min="8" max="8" width="8" bestFit="1" customWidth="1"/>
    <col min="9" max="9" width="24.6328125" bestFit="1" customWidth="1"/>
    <col min="10" max="10" width="18.08984375" bestFit="1" customWidth="1"/>
    <col min="11" max="11" width="28.08984375" bestFit="1" customWidth="1"/>
    <col min="12" max="12" width="19.90625" bestFit="1" customWidth="1"/>
    <col min="13" max="13" width="10.1796875" bestFit="1" customWidth="1"/>
    <col min="14" max="14" width="17.90625" bestFit="1" customWidth="1"/>
    <col min="15" max="15" width="13.90625" customWidth="1"/>
    <col min="16" max="16" width="20.7265625" customWidth="1"/>
    <col min="17" max="17" width="19.453125" bestFit="1" customWidth="1"/>
  </cols>
  <sheetData>
    <row r="1" spans="1:17" ht="28" customHeight="1" x14ac:dyDescent="0.35">
      <c r="A1" s="2" t="s">
        <v>91</v>
      </c>
      <c r="B1" s="2" t="s">
        <v>92</v>
      </c>
      <c r="C1" s="2" t="s">
        <v>95</v>
      </c>
      <c r="D1" s="2" t="s">
        <v>96</v>
      </c>
      <c r="E1" s="2" t="s">
        <v>327</v>
      </c>
      <c r="F1" s="2" t="s">
        <v>134</v>
      </c>
      <c r="G1" s="2" t="s">
        <v>497</v>
      </c>
      <c r="H1" s="2" t="s">
        <v>0</v>
      </c>
      <c r="I1" s="2" t="s">
        <v>1</v>
      </c>
      <c r="J1" s="2" t="s">
        <v>465</v>
      </c>
      <c r="K1" s="2" t="s">
        <v>498</v>
      </c>
      <c r="L1" s="2" t="s">
        <v>11</v>
      </c>
      <c r="M1" s="2" t="s">
        <v>481</v>
      </c>
      <c r="N1" s="2" t="s">
        <v>482</v>
      </c>
      <c r="O1" s="2" t="s">
        <v>495</v>
      </c>
      <c r="P1" s="2" t="s">
        <v>496</v>
      </c>
      <c r="Q1" s="2" t="s">
        <v>116</v>
      </c>
    </row>
    <row r="2" spans="1:17" x14ac:dyDescent="0.35">
      <c r="A2" s="2">
        <v>202601</v>
      </c>
      <c r="B2" s="2">
        <v>46053</v>
      </c>
      <c r="C2" s="2" t="s">
        <v>98</v>
      </c>
      <c r="D2" s="2" t="s">
        <v>99</v>
      </c>
      <c r="E2" s="2">
        <v>1100</v>
      </c>
      <c r="F2" s="2" t="s">
        <v>339</v>
      </c>
      <c r="G2" s="2" t="s">
        <v>340</v>
      </c>
      <c r="H2" s="2">
        <v>3900</v>
      </c>
      <c r="I2" s="2" t="s">
        <v>31</v>
      </c>
      <c r="J2" s="2" t="s">
        <v>13</v>
      </c>
      <c r="K2" s="2" t="s">
        <v>31</v>
      </c>
      <c r="L2" s="2" t="s">
        <v>31</v>
      </c>
      <c r="M2" s="2" t="s">
        <v>15</v>
      </c>
      <c r="N2" s="2" t="s">
        <v>485</v>
      </c>
      <c r="O2" s="2">
        <v>20.56</v>
      </c>
      <c r="P2" s="2">
        <v>-20.56</v>
      </c>
      <c r="Q2" s="2" t="s">
        <v>122</v>
      </c>
    </row>
    <row r="3" spans="1:17" x14ac:dyDescent="0.35">
      <c r="A3" s="2">
        <v>202601</v>
      </c>
      <c r="B3" s="2">
        <v>46053</v>
      </c>
      <c r="C3" s="2" t="s">
        <v>98</v>
      </c>
      <c r="D3" s="2" t="s">
        <v>99</v>
      </c>
      <c r="E3" s="2">
        <v>1100</v>
      </c>
      <c r="F3" s="2" t="s">
        <v>339</v>
      </c>
      <c r="G3" s="2" t="s">
        <v>340</v>
      </c>
      <c r="H3" s="2">
        <v>3400</v>
      </c>
      <c r="I3" s="2" t="s">
        <v>486</v>
      </c>
      <c r="J3" s="2" t="s">
        <v>13</v>
      </c>
      <c r="K3" s="2" t="s">
        <v>22</v>
      </c>
      <c r="L3" s="2" t="s">
        <v>23</v>
      </c>
      <c r="M3" s="2" t="s">
        <v>15</v>
      </c>
      <c r="N3" s="2" t="s">
        <v>487</v>
      </c>
      <c r="O3" s="2">
        <v>1.52</v>
      </c>
      <c r="P3" s="2">
        <v>-1.52</v>
      </c>
      <c r="Q3" s="2" t="s">
        <v>122</v>
      </c>
    </row>
    <row r="4" spans="1:17" x14ac:dyDescent="0.35">
      <c r="A4" s="2">
        <v>202601</v>
      </c>
      <c r="B4" s="2">
        <v>46053</v>
      </c>
      <c r="C4" s="2" t="s">
        <v>98</v>
      </c>
      <c r="D4" s="2" t="s">
        <v>99</v>
      </c>
      <c r="E4" s="2">
        <v>1100</v>
      </c>
      <c r="F4" s="2" t="s">
        <v>339</v>
      </c>
      <c r="G4" s="2" t="s">
        <v>340</v>
      </c>
      <c r="H4" s="2">
        <v>3670</v>
      </c>
      <c r="I4" s="2" t="s">
        <v>488</v>
      </c>
      <c r="J4" s="2" t="s">
        <v>13</v>
      </c>
      <c r="K4" s="2" t="s">
        <v>29</v>
      </c>
      <c r="L4" s="2" t="s">
        <v>30</v>
      </c>
      <c r="M4" s="2" t="s">
        <v>15</v>
      </c>
      <c r="N4" s="2" t="s">
        <v>489</v>
      </c>
      <c r="O4" s="2">
        <v>0.59499999999999997</v>
      </c>
      <c r="P4" s="2">
        <v>-0.59499999999999997</v>
      </c>
      <c r="Q4" s="2" t="s">
        <v>122</v>
      </c>
    </row>
    <row r="5" spans="1:17" x14ac:dyDescent="0.35">
      <c r="A5" s="2">
        <v>202601</v>
      </c>
      <c r="B5" s="2">
        <v>46053</v>
      </c>
      <c r="C5" s="2" t="s">
        <v>98</v>
      </c>
      <c r="D5" s="2" t="s">
        <v>99</v>
      </c>
      <c r="E5" s="2">
        <v>1100</v>
      </c>
      <c r="F5" s="2" t="s">
        <v>339</v>
      </c>
      <c r="G5" s="2" t="s">
        <v>340</v>
      </c>
      <c r="H5" s="2">
        <v>5000</v>
      </c>
      <c r="I5" s="2" t="s">
        <v>490</v>
      </c>
      <c r="J5" s="2" t="s">
        <v>33</v>
      </c>
      <c r="K5" s="2" t="s">
        <v>34</v>
      </c>
      <c r="L5" s="2" t="s">
        <v>36</v>
      </c>
      <c r="M5" s="2" t="s">
        <v>35</v>
      </c>
      <c r="N5" s="2" t="s">
        <v>491</v>
      </c>
      <c r="O5" s="2">
        <v>14.538</v>
      </c>
      <c r="P5" s="2">
        <v>14.538</v>
      </c>
      <c r="Q5" s="2" t="s">
        <v>122</v>
      </c>
    </row>
    <row r="6" spans="1:17" x14ac:dyDescent="0.35">
      <c r="A6" s="2">
        <v>202601</v>
      </c>
      <c r="B6" s="2">
        <v>46053</v>
      </c>
      <c r="C6" s="2" t="s">
        <v>98</v>
      </c>
      <c r="D6" s="2" t="s">
        <v>99</v>
      </c>
      <c r="E6" s="2">
        <v>1100</v>
      </c>
      <c r="F6" s="2" t="s">
        <v>339</v>
      </c>
      <c r="G6" s="2" t="s">
        <v>340</v>
      </c>
      <c r="H6" s="2">
        <v>6300</v>
      </c>
      <c r="I6" s="2" t="s">
        <v>54</v>
      </c>
      <c r="J6" s="2" t="s">
        <v>48</v>
      </c>
      <c r="K6" s="2" t="s">
        <v>53</v>
      </c>
      <c r="L6" s="2" t="s">
        <v>54</v>
      </c>
      <c r="M6" s="2" t="s">
        <v>35</v>
      </c>
      <c r="N6" s="2" t="s">
        <v>492</v>
      </c>
      <c r="O6" s="2">
        <v>5.2249999999999996</v>
      </c>
      <c r="P6" s="2">
        <v>5.2249999999999996</v>
      </c>
      <c r="Q6" s="2" t="s">
        <v>122</v>
      </c>
    </row>
    <row r="7" spans="1:17" x14ac:dyDescent="0.35">
      <c r="A7" s="2">
        <v>202601</v>
      </c>
      <c r="B7" s="2">
        <v>46053</v>
      </c>
      <c r="C7" s="2" t="s">
        <v>98</v>
      </c>
      <c r="D7" s="2" t="s">
        <v>99</v>
      </c>
      <c r="E7" s="2">
        <v>1100</v>
      </c>
      <c r="F7" s="2" t="s">
        <v>339</v>
      </c>
      <c r="G7" s="2" t="s">
        <v>340</v>
      </c>
      <c r="H7" s="2">
        <v>6050</v>
      </c>
      <c r="I7" s="2" t="s">
        <v>493</v>
      </c>
      <c r="J7" s="2" t="s">
        <v>48</v>
      </c>
      <c r="K7" s="2" t="s">
        <v>49</v>
      </c>
      <c r="L7" s="2" t="s">
        <v>50</v>
      </c>
      <c r="M7" s="2" t="s">
        <v>35</v>
      </c>
      <c r="N7" s="2" t="s">
        <v>494</v>
      </c>
      <c r="O7" s="2">
        <v>1.9950000000000001</v>
      </c>
      <c r="P7" s="2">
        <v>1.9950000000000001</v>
      </c>
      <c r="Q7" s="2" t="s">
        <v>122</v>
      </c>
    </row>
    <row r="8" spans="1:17" x14ac:dyDescent="0.35">
      <c r="A8" s="2">
        <v>202601</v>
      </c>
      <c r="B8" s="2">
        <v>46053</v>
      </c>
      <c r="C8" s="2" t="s">
        <v>98</v>
      </c>
      <c r="D8" s="2" t="s">
        <v>99</v>
      </c>
      <c r="E8" s="2">
        <v>1200</v>
      </c>
      <c r="F8" s="2" t="s">
        <v>344</v>
      </c>
      <c r="G8" s="2" t="s">
        <v>345</v>
      </c>
      <c r="H8" s="2">
        <v>3900</v>
      </c>
      <c r="I8" s="2" t="s">
        <v>31</v>
      </c>
      <c r="J8" s="2" t="s">
        <v>13</v>
      </c>
      <c r="K8" s="2" t="s">
        <v>31</v>
      </c>
      <c r="L8" s="2" t="s">
        <v>31</v>
      </c>
      <c r="M8" s="2" t="s">
        <v>15</v>
      </c>
      <c r="N8" s="2" t="s">
        <v>485</v>
      </c>
      <c r="O8" s="2">
        <v>27.757999999999999</v>
      </c>
      <c r="P8" s="2">
        <v>-27.757999999999999</v>
      </c>
      <c r="Q8" s="2" t="s">
        <v>122</v>
      </c>
    </row>
    <row r="9" spans="1:17" x14ac:dyDescent="0.35">
      <c r="A9" s="2">
        <v>202601</v>
      </c>
      <c r="B9" s="2">
        <v>46053</v>
      </c>
      <c r="C9" s="2" t="s">
        <v>98</v>
      </c>
      <c r="D9" s="2" t="s">
        <v>99</v>
      </c>
      <c r="E9" s="2">
        <v>1200</v>
      </c>
      <c r="F9" s="2" t="s">
        <v>344</v>
      </c>
      <c r="G9" s="2" t="s">
        <v>345</v>
      </c>
      <c r="H9" s="2">
        <v>3400</v>
      </c>
      <c r="I9" s="2" t="s">
        <v>486</v>
      </c>
      <c r="J9" s="2" t="s">
        <v>13</v>
      </c>
      <c r="K9" s="2" t="s">
        <v>22</v>
      </c>
      <c r="L9" s="2" t="s">
        <v>23</v>
      </c>
      <c r="M9" s="2" t="s">
        <v>15</v>
      </c>
      <c r="N9" s="2" t="s">
        <v>487</v>
      </c>
      <c r="O9" s="2">
        <v>3.3170000000000002</v>
      </c>
      <c r="P9" s="2">
        <v>-3.3170000000000002</v>
      </c>
      <c r="Q9" s="2" t="s">
        <v>122</v>
      </c>
    </row>
    <row r="10" spans="1:17" x14ac:dyDescent="0.35">
      <c r="A10" s="2">
        <v>202601</v>
      </c>
      <c r="B10" s="2">
        <v>46053</v>
      </c>
      <c r="C10" s="2" t="s">
        <v>98</v>
      </c>
      <c r="D10" s="2" t="s">
        <v>99</v>
      </c>
      <c r="E10" s="2">
        <v>1200</v>
      </c>
      <c r="F10" s="2" t="s">
        <v>344</v>
      </c>
      <c r="G10" s="2" t="s">
        <v>345</v>
      </c>
      <c r="H10" s="2">
        <v>3670</v>
      </c>
      <c r="I10" s="2" t="s">
        <v>488</v>
      </c>
      <c r="J10" s="2" t="s">
        <v>13</v>
      </c>
      <c r="K10" s="2" t="s">
        <v>29</v>
      </c>
      <c r="L10" s="2" t="s">
        <v>30</v>
      </c>
      <c r="M10" s="2" t="s">
        <v>15</v>
      </c>
      <c r="N10" s="2" t="s">
        <v>489</v>
      </c>
      <c r="O10" s="2">
        <v>1.496</v>
      </c>
      <c r="P10" s="2">
        <v>-1.496</v>
      </c>
      <c r="Q10" s="2" t="s">
        <v>122</v>
      </c>
    </row>
    <row r="11" spans="1:17" x14ac:dyDescent="0.35">
      <c r="A11" s="2">
        <v>202601</v>
      </c>
      <c r="B11" s="2">
        <v>46053</v>
      </c>
      <c r="C11" s="2" t="s">
        <v>98</v>
      </c>
      <c r="D11" s="2" t="s">
        <v>99</v>
      </c>
      <c r="E11" s="2">
        <v>1200</v>
      </c>
      <c r="F11" s="2" t="s">
        <v>344</v>
      </c>
      <c r="G11" s="2" t="s">
        <v>345</v>
      </c>
      <c r="H11" s="2">
        <v>5000</v>
      </c>
      <c r="I11" s="2" t="s">
        <v>490</v>
      </c>
      <c r="J11" s="2" t="s">
        <v>33</v>
      </c>
      <c r="K11" s="2" t="s">
        <v>34</v>
      </c>
      <c r="L11" s="2" t="s">
        <v>36</v>
      </c>
      <c r="M11" s="2" t="s">
        <v>35</v>
      </c>
      <c r="N11" s="2" t="s">
        <v>491</v>
      </c>
      <c r="O11" s="2">
        <v>20.657</v>
      </c>
      <c r="P11" s="2">
        <v>20.657</v>
      </c>
      <c r="Q11" s="2" t="s">
        <v>122</v>
      </c>
    </row>
    <row r="12" spans="1:17" x14ac:dyDescent="0.35">
      <c r="A12" s="2">
        <v>202601</v>
      </c>
      <c r="B12" s="2">
        <v>46053</v>
      </c>
      <c r="C12" s="2" t="s">
        <v>98</v>
      </c>
      <c r="D12" s="2" t="s">
        <v>99</v>
      </c>
      <c r="E12" s="2">
        <v>1200</v>
      </c>
      <c r="F12" s="2" t="s">
        <v>344</v>
      </c>
      <c r="G12" s="2" t="s">
        <v>345</v>
      </c>
      <c r="H12" s="2">
        <v>6300</v>
      </c>
      <c r="I12" s="2" t="s">
        <v>54</v>
      </c>
      <c r="J12" s="2" t="s">
        <v>48</v>
      </c>
      <c r="K12" s="2" t="s">
        <v>53</v>
      </c>
      <c r="L12" s="2" t="s">
        <v>54</v>
      </c>
      <c r="M12" s="2" t="s">
        <v>35</v>
      </c>
      <c r="N12" s="2" t="s">
        <v>492</v>
      </c>
      <c r="O12" s="2">
        <v>7.4249999999999998</v>
      </c>
      <c r="P12" s="2">
        <v>7.4249999999999998</v>
      </c>
      <c r="Q12" s="2" t="s">
        <v>122</v>
      </c>
    </row>
    <row r="13" spans="1:17" x14ac:dyDescent="0.35">
      <c r="A13" s="2">
        <v>202601</v>
      </c>
      <c r="B13" s="2">
        <v>46053</v>
      </c>
      <c r="C13" s="2" t="s">
        <v>98</v>
      </c>
      <c r="D13" s="2" t="s">
        <v>99</v>
      </c>
      <c r="E13" s="2">
        <v>1200</v>
      </c>
      <c r="F13" s="2" t="s">
        <v>344</v>
      </c>
      <c r="G13" s="2" t="s">
        <v>345</v>
      </c>
      <c r="H13" s="2">
        <v>6050</v>
      </c>
      <c r="I13" s="2" t="s">
        <v>493</v>
      </c>
      <c r="J13" s="2" t="s">
        <v>48</v>
      </c>
      <c r="K13" s="2" t="s">
        <v>49</v>
      </c>
      <c r="L13" s="2" t="s">
        <v>50</v>
      </c>
      <c r="M13" s="2" t="s">
        <v>35</v>
      </c>
      <c r="N13" s="2" t="s">
        <v>494</v>
      </c>
      <c r="O13" s="2">
        <v>3.6749999999999998</v>
      </c>
      <c r="P13" s="2">
        <v>3.6749999999999998</v>
      </c>
      <c r="Q13" s="2" t="s">
        <v>122</v>
      </c>
    </row>
    <row r="14" spans="1:17" x14ac:dyDescent="0.35">
      <c r="A14" s="2">
        <v>202601</v>
      </c>
      <c r="B14" s="2">
        <v>46053</v>
      </c>
      <c r="C14" s="2" t="s">
        <v>98</v>
      </c>
      <c r="D14" s="2" t="s">
        <v>99</v>
      </c>
      <c r="E14" s="2">
        <v>1300</v>
      </c>
      <c r="F14" s="2" t="s">
        <v>348</v>
      </c>
      <c r="G14" s="2" t="s">
        <v>349</v>
      </c>
      <c r="H14" s="2">
        <v>3900</v>
      </c>
      <c r="I14" s="2" t="s">
        <v>31</v>
      </c>
      <c r="J14" s="2" t="s">
        <v>13</v>
      </c>
      <c r="K14" s="2" t="s">
        <v>31</v>
      </c>
      <c r="L14" s="2" t="s">
        <v>31</v>
      </c>
      <c r="M14" s="2" t="s">
        <v>15</v>
      </c>
      <c r="N14" s="2" t="s">
        <v>485</v>
      </c>
      <c r="O14" s="2">
        <v>23.641999999999999</v>
      </c>
      <c r="P14" s="2">
        <v>-23.641999999999999</v>
      </c>
      <c r="Q14" s="2" t="s">
        <v>122</v>
      </c>
    </row>
    <row r="15" spans="1:17" x14ac:dyDescent="0.35">
      <c r="A15" s="2">
        <v>202601</v>
      </c>
      <c r="B15" s="2">
        <v>46053</v>
      </c>
      <c r="C15" s="2" t="s">
        <v>98</v>
      </c>
      <c r="D15" s="2" t="s">
        <v>99</v>
      </c>
      <c r="E15" s="2">
        <v>1300</v>
      </c>
      <c r="F15" s="2" t="s">
        <v>348</v>
      </c>
      <c r="G15" s="2" t="s">
        <v>349</v>
      </c>
      <c r="H15" s="2">
        <v>3400</v>
      </c>
      <c r="I15" s="2" t="s">
        <v>486</v>
      </c>
      <c r="J15" s="2" t="s">
        <v>13</v>
      </c>
      <c r="K15" s="2" t="s">
        <v>22</v>
      </c>
      <c r="L15" s="2" t="s">
        <v>23</v>
      </c>
      <c r="M15" s="2" t="s">
        <v>15</v>
      </c>
      <c r="N15" s="2" t="s">
        <v>487</v>
      </c>
      <c r="O15" s="2">
        <v>1.728</v>
      </c>
      <c r="P15" s="2">
        <v>-1.728</v>
      </c>
      <c r="Q15" s="2" t="s">
        <v>122</v>
      </c>
    </row>
    <row r="16" spans="1:17" x14ac:dyDescent="0.35">
      <c r="A16" s="2">
        <v>202601</v>
      </c>
      <c r="B16" s="2">
        <v>46053</v>
      </c>
      <c r="C16" s="2" t="s">
        <v>98</v>
      </c>
      <c r="D16" s="2" t="s">
        <v>99</v>
      </c>
      <c r="E16" s="2">
        <v>1300</v>
      </c>
      <c r="F16" s="2" t="s">
        <v>348</v>
      </c>
      <c r="G16" s="2" t="s">
        <v>349</v>
      </c>
      <c r="H16" s="2">
        <v>3670</v>
      </c>
      <c r="I16" s="2" t="s">
        <v>488</v>
      </c>
      <c r="J16" s="2" t="s">
        <v>13</v>
      </c>
      <c r="K16" s="2" t="s">
        <v>29</v>
      </c>
      <c r="L16" s="2" t="s">
        <v>30</v>
      </c>
      <c r="M16" s="2" t="s">
        <v>15</v>
      </c>
      <c r="N16" s="2" t="s">
        <v>489</v>
      </c>
      <c r="O16" s="2">
        <v>1.129</v>
      </c>
      <c r="P16" s="2">
        <v>-1.129</v>
      </c>
      <c r="Q16" s="2" t="s">
        <v>122</v>
      </c>
    </row>
    <row r="17" spans="1:17" x14ac:dyDescent="0.35">
      <c r="A17" s="2">
        <v>202601</v>
      </c>
      <c r="B17" s="2">
        <v>46053</v>
      </c>
      <c r="C17" s="2" t="s">
        <v>98</v>
      </c>
      <c r="D17" s="2" t="s">
        <v>99</v>
      </c>
      <c r="E17" s="2">
        <v>1300</v>
      </c>
      <c r="F17" s="2" t="s">
        <v>348</v>
      </c>
      <c r="G17" s="2" t="s">
        <v>349</v>
      </c>
      <c r="H17" s="2">
        <v>5000</v>
      </c>
      <c r="I17" s="2" t="s">
        <v>490</v>
      </c>
      <c r="J17" s="2" t="s">
        <v>33</v>
      </c>
      <c r="K17" s="2" t="s">
        <v>34</v>
      </c>
      <c r="L17" s="2" t="s">
        <v>36</v>
      </c>
      <c r="M17" s="2" t="s">
        <v>35</v>
      </c>
      <c r="N17" s="2" t="s">
        <v>491</v>
      </c>
      <c r="O17" s="2">
        <v>17.593</v>
      </c>
      <c r="P17" s="2">
        <v>17.593</v>
      </c>
      <c r="Q17" s="2" t="s">
        <v>122</v>
      </c>
    </row>
    <row r="18" spans="1:17" x14ac:dyDescent="0.35">
      <c r="A18" s="2">
        <v>202601</v>
      </c>
      <c r="B18" s="2">
        <v>46053</v>
      </c>
      <c r="C18" s="2" t="s">
        <v>98</v>
      </c>
      <c r="D18" s="2" t="s">
        <v>99</v>
      </c>
      <c r="E18" s="2">
        <v>1300</v>
      </c>
      <c r="F18" s="2" t="s">
        <v>348</v>
      </c>
      <c r="G18" s="2" t="s">
        <v>349</v>
      </c>
      <c r="H18" s="2">
        <v>6300</v>
      </c>
      <c r="I18" s="2" t="s">
        <v>54</v>
      </c>
      <c r="J18" s="2" t="s">
        <v>48</v>
      </c>
      <c r="K18" s="2" t="s">
        <v>53</v>
      </c>
      <c r="L18" s="2" t="s">
        <v>54</v>
      </c>
      <c r="M18" s="2" t="s">
        <v>35</v>
      </c>
      <c r="N18" s="2" t="s">
        <v>492</v>
      </c>
      <c r="O18" s="2">
        <v>6.3250000000000002</v>
      </c>
      <c r="P18" s="2">
        <v>6.3250000000000002</v>
      </c>
      <c r="Q18" s="2" t="s">
        <v>122</v>
      </c>
    </row>
    <row r="19" spans="1:17" x14ac:dyDescent="0.35">
      <c r="A19" s="2">
        <v>202601</v>
      </c>
      <c r="B19" s="2">
        <v>46053</v>
      </c>
      <c r="C19" s="2" t="s">
        <v>98</v>
      </c>
      <c r="D19" s="2" t="s">
        <v>99</v>
      </c>
      <c r="E19" s="2">
        <v>1300</v>
      </c>
      <c r="F19" s="2" t="s">
        <v>348</v>
      </c>
      <c r="G19" s="2" t="s">
        <v>349</v>
      </c>
      <c r="H19" s="2">
        <v>6050</v>
      </c>
      <c r="I19" s="2" t="s">
        <v>493</v>
      </c>
      <c r="J19" s="2" t="s">
        <v>48</v>
      </c>
      <c r="K19" s="2" t="s">
        <v>49</v>
      </c>
      <c r="L19" s="2" t="s">
        <v>50</v>
      </c>
      <c r="M19" s="2" t="s">
        <v>35</v>
      </c>
      <c r="N19" s="2" t="s">
        <v>494</v>
      </c>
      <c r="O19" s="2">
        <v>2.2050000000000001</v>
      </c>
      <c r="P19" s="2">
        <v>2.2050000000000001</v>
      </c>
      <c r="Q19" s="2" t="s">
        <v>122</v>
      </c>
    </row>
    <row r="20" spans="1:17" x14ac:dyDescent="0.35">
      <c r="A20" s="2">
        <v>202601</v>
      </c>
      <c r="B20" s="2">
        <v>46053</v>
      </c>
      <c r="C20" s="2" t="s">
        <v>98</v>
      </c>
      <c r="D20" s="2" t="s">
        <v>99</v>
      </c>
      <c r="E20" s="2">
        <v>1400</v>
      </c>
      <c r="F20" s="2" t="s">
        <v>352</v>
      </c>
      <c r="G20" s="2" t="s">
        <v>353</v>
      </c>
      <c r="H20" s="2">
        <v>3900</v>
      </c>
      <c r="I20" s="2" t="s">
        <v>31</v>
      </c>
      <c r="J20" s="2" t="s">
        <v>13</v>
      </c>
      <c r="K20" s="2" t="s">
        <v>31</v>
      </c>
      <c r="L20" s="2" t="s">
        <v>31</v>
      </c>
      <c r="M20" s="2" t="s">
        <v>15</v>
      </c>
      <c r="N20" s="2" t="s">
        <v>485</v>
      </c>
      <c r="O20" s="2">
        <v>13.362</v>
      </c>
      <c r="P20" s="2">
        <v>-13.362</v>
      </c>
      <c r="Q20" s="2" t="s">
        <v>122</v>
      </c>
    </row>
    <row r="21" spans="1:17" x14ac:dyDescent="0.35">
      <c r="A21" s="2">
        <v>202601</v>
      </c>
      <c r="B21" s="2">
        <v>46053</v>
      </c>
      <c r="C21" s="2" t="s">
        <v>98</v>
      </c>
      <c r="D21" s="2" t="s">
        <v>99</v>
      </c>
      <c r="E21" s="2">
        <v>1400</v>
      </c>
      <c r="F21" s="2" t="s">
        <v>352</v>
      </c>
      <c r="G21" s="2" t="s">
        <v>353</v>
      </c>
      <c r="H21" s="2">
        <v>3400</v>
      </c>
      <c r="I21" s="2" t="s">
        <v>486</v>
      </c>
      <c r="J21" s="2" t="s">
        <v>13</v>
      </c>
      <c r="K21" s="2" t="s">
        <v>22</v>
      </c>
      <c r="L21" s="2" t="s">
        <v>23</v>
      </c>
      <c r="M21" s="2" t="s">
        <v>15</v>
      </c>
      <c r="N21" s="2" t="s">
        <v>487</v>
      </c>
      <c r="O21" s="2">
        <v>1.0369999999999999</v>
      </c>
      <c r="P21" s="2">
        <v>-1.0369999999999999</v>
      </c>
      <c r="Q21" s="2" t="s">
        <v>122</v>
      </c>
    </row>
    <row r="22" spans="1:17" x14ac:dyDescent="0.35">
      <c r="A22" s="2">
        <v>202601</v>
      </c>
      <c r="B22" s="2">
        <v>46053</v>
      </c>
      <c r="C22" s="2" t="s">
        <v>98</v>
      </c>
      <c r="D22" s="2" t="s">
        <v>99</v>
      </c>
      <c r="E22" s="2">
        <v>1400</v>
      </c>
      <c r="F22" s="2" t="s">
        <v>352</v>
      </c>
      <c r="G22" s="2" t="s">
        <v>353</v>
      </c>
      <c r="H22" s="2">
        <v>3670</v>
      </c>
      <c r="I22" s="2" t="s">
        <v>488</v>
      </c>
      <c r="J22" s="2" t="s">
        <v>13</v>
      </c>
      <c r="K22" s="2" t="s">
        <v>29</v>
      </c>
      <c r="L22" s="2" t="s">
        <v>30</v>
      </c>
      <c r="M22" s="2" t="s">
        <v>15</v>
      </c>
      <c r="N22" s="2" t="s">
        <v>489</v>
      </c>
      <c r="O22" s="2">
        <v>0.67900000000000005</v>
      </c>
      <c r="P22" s="2">
        <v>-0.67900000000000005</v>
      </c>
      <c r="Q22" s="2" t="s">
        <v>122</v>
      </c>
    </row>
    <row r="23" spans="1:17" x14ac:dyDescent="0.35">
      <c r="A23" s="2">
        <v>202601</v>
      </c>
      <c r="B23" s="2">
        <v>46053</v>
      </c>
      <c r="C23" s="2" t="s">
        <v>98</v>
      </c>
      <c r="D23" s="2" t="s">
        <v>99</v>
      </c>
      <c r="E23" s="2">
        <v>1400</v>
      </c>
      <c r="F23" s="2" t="s">
        <v>352</v>
      </c>
      <c r="G23" s="2" t="s">
        <v>353</v>
      </c>
      <c r="H23" s="2">
        <v>5000</v>
      </c>
      <c r="I23" s="2" t="s">
        <v>490</v>
      </c>
      <c r="J23" s="2" t="s">
        <v>33</v>
      </c>
      <c r="K23" s="2" t="s">
        <v>34</v>
      </c>
      <c r="L23" s="2" t="s">
        <v>36</v>
      </c>
      <c r="M23" s="2" t="s">
        <v>35</v>
      </c>
      <c r="N23" s="2" t="s">
        <v>491</v>
      </c>
      <c r="O23" s="2">
        <v>9.9429999999999996</v>
      </c>
      <c r="P23" s="2">
        <v>9.9429999999999996</v>
      </c>
      <c r="Q23" s="2" t="s">
        <v>122</v>
      </c>
    </row>
    <row r="24" spans="1:17" x14ac:dyDescent="0.35">
      <c r="A24" s="2">
        <v>202601</v>
      </c>
      <c r="B24" s="2">
        <v>46053</v>
      </c>
      <c r="C24" s="2" t="s">
        <v>98</v>
      </c>
      <c r="D24" s="2" t="s">
        <v>99</v>
      </c>
      <c r="E24" s="2">
        <v>1400</v>
      </c>
      <c r="F24" s="2" t="s">
        <v>352</v>
      </c>
      <c r="G24" s="2" t="s">
        <v>353</v>
      </c>
      <c r="H24" s="2">
        <v>6300</v>
      </c>
      <c r="I24" s="2" t="s">
        <v>54</v>
      </c>
      <c r="J24" s="2" t="s">
        <v>48</v>
      </c>
      <c r="K24" s="2" t="s">
        <v>53</v>
      </c>
      <c r="L24" s="2" t="s">
        <v>54</v>
      </c>
      <c r="M24" s="2" t="s">
        <v>35</v>
      </c>
      <c r="N24" s="2" t="s">
        <v>492</v>
      </c>
      <c r="O24" s="2">
        <v>3.5750000000000002</v>
      </c>
      <c r="P24" s="2">
        <v>3.5750000000000002</v>
      </c>
      <c r="Q24" s="2" t="s">
        <v>122</v>
      </c>
    </row>
    <row r="25" spans="1:17" x14ac:dyDescent="0.35">
      <c r="A25" s="2">
        <v>202601</v>
      </c>
      <c r="B25" s="2">
        <v>46053</v>
      </c>
      <c r="C25" s="2" t="s">
        <v>98</v>
      </c>
      <c r="D25" s="2" t="s">
        <v>99</v>
      </c>
      <c r="E25" s="2">
        <v>1400</v>
      </c>
      <c r="F25" s="2" t="s">
        <v>352</v>
      </c>
      <c r="G25" s="2" t="s">
        <v>353</v>
      </c>
      <c r="H25" s="2">
        <v>6050</v>
      </c>
      <c r="I25" s="2" t="s">
        <v>493</v>
      </c>
      <c r="J25" s="2" t="s">
        <v>48</v>
      </c>
      <c r="K25" s="2" t="s">
        <v>49</v>
      </c>
      <c r="L25" s="2" t="s">
        <v>50</v>
      </c>
      <c r="M25" s="2" t="s">
        <v>35</v>
      </c>
      <c r="N25" s="2" t="s">
        <v>494</v>
      </c>
      <c r="O25" s="2">
        <v>0.94499999999999995</v>
      </c>
      <c r="P25" s="2">
        <v>0.94499999999999995</v>
      </c>
      <c r="Q25" s="2" t="s">
        <v>122</v>
      </c>
    </row>
    <row r="26" spans="1:17" x14ac:dyDescent="0.35">
      <c r="A26" s="2">
        <v>202601</v>
      </c>
      <c r="B26" s="2">
        <v>46053</v>
      </c>
      <c r="C26" s="2" t="s">
        <v>98</v>
      </c>
      <c r="D26" s="2" t="s">
        <v>99</v>
      </c>
      <c r="E26" s="2">
        <v>1500</v>
      </c>
      <c r="F26" s="2" t="s">
        <v>356</v>
      </c>
      <c r="G26" s="2" t="s">
        <v>357</v>
      </c>
      <c r="H26" s="2">
        <v>3900</v>
      </c>
      <c r="I26" s="2" t="s">
        <v>31</v>
      </c>
      <c r="J26" s="2" t="s">
        <v>13</v>
      </c>
      <c r="K26" s="2" t="s">
        <v>31</v>
      </c>
      <c r="L26" s="2" t="s">
        <v>31</v>
      </c>
      <c r="M26" s="2" t="s">
        <v>15</v>
      </c>
      <c r="N26" s="2" t="s">
        <v>485</v>
      </c>
      <c r="O26" s="2">
        <v>10.28</v>
      </c>
      <c r="P26" s="2">
        <v>-10.28</v>
      </c>
      <c r="Q26" s="2" t="s">
        <v>122</v>
      </c>
    </row>
    <row r="27" spans="1:17" x14ac:dyDescent="0.35">
      <c r="A27" s="2">
        <v>202601</v>
      </c>
      <c r="B27" s="2">
        <v>46053</v>
      </c>
      <c r="C27" s="2" t="s">
        <v>98</v>
      </c>
      <c r="D27" s="2" t="s">
        <v>99</v>
      </c>
      <c r="E27" s="2">
        <v>1500</v>
      </c>
      <c r="F27" s="2" t="s">
        <v>356</v>
      </c>
      <c r="G27" s="2" t="s">
        <v>357</v>
      </c>
      <c r="H27" s="2">
        <v>3400</v>
      </c>
      <c r="I27" s="2" t="s">
        <v>486</v>
      </c>
      <c r="J27" s="2" t="s">
        <v>13</v>
      </c>
      <c r="K27" s="2" t="s">
        <v>22</v>
      </c>
      <c r="L27" s="2" t="s">
        <v>23</v>
      </c>
      <c r="M27" s="2" t="s">
        <v>15</v>
      </c>
      <c r="N27" s="2" t="s">
        <v>487</v>
      </c>
      <c r="O27" s="2">
        <v>0.69099999999999995</v>
      </c>
      <c r="P27" s="2">
        <v>-0.69099999999999995</v>
      </c>
      <c r="Q27" s="2" t="s">
        <v>122</v>
      </c>
    </row>
    <row r="28" spans="1:17" x14ac:dyDescent="0.35">
      <c r="A28" s="2">
        <v>202601</v>
      </c>
      <c r="B28" s="2">
        <v>46053</v>
      </c>
      <c r="C28" s="2" t="s">
        <v>98</v>
      </c>
      <c r="D28" s="2" t="s">
        <v>99</v>
      </c>
      <c r="E28" s="2">
        <v>1500</v>
      </c>
      <c r="F28" s="2" t="s">
        <v>356</v>
      </c>
      <c r="G28" s="2" t="s">
        <v>357</v>
      </c>
      <c r="H28" s="2">
        <v>3670</v>
      </c>
      <c r="I28" s="2" t="s">
        <v>488</v>
      </c>
      <c r="J28" s="2" t="s">
        <v>13</v>
      </c>
      <c r="K28" s="2" t="s">
        <v>29</v>
      </c>
      <c r="L28" s="2" t="s">
        <v>30</v>
      </c>
      <c r="M28" s="2" t="s">
        <v>15</v>
      </c>
      <c r="N28" s="2" t="s">
        <v>489</v>
      </c>
      <c r="O28" s="2">
        <v>0.45</v>
      </c>
      <c r="P28" s="2">
        <v>-0.45</v>
      </c>
      <c r="Q28" s="2" t="s">
        <v>122</v>
      </c>
    </row>
    <row r="29" spans="1:17" x14ac:dyDescent="0.35">
      <c r="A29" s="2">
        <v>202601</v>
      </c>
      <c r="B29" s="2">
        <v>46053</v>
      </c>
      <c r="C29" s="2" t="s">
        <v>98</v>
      </c>
      <c r="D29" s="2" t="s">
        <v>99</v>
      </c>
      <c r="E29" s="2">
        <v>1500</v>
      </c>
      <c r="F29" s="2" t="s">
        <v>356</v>
      </c>
      <c r="G29" s="2" t="s">
        <v>357</v>
      </c>
      <c r="H29" s="2">
        <v>5000</v>
      </c>
      <c r="I29" s="2" t="s">
        <v>490</v>
      </c>
      <c r="J29" s="2" t="s">
        <v>33</v>
      </c>
      <c r="K29" s="2" t="s">
        <v>34</v>
      </c>
      <c r="L29" s="2" t="s">
        <v>36</v>
      </c>
      <c r="M29" s="2" t="s">
        <v>35</v>
      </c>
      <c r="N29" s="2" t="s">
        <v>491</v>
      </c>
      <c r="O29" s="2">
        <v>7.65</v>
      </c>
      <c r="P29" s="2">
        <v>7.65</v>
      </c>
      <c r="Q29" s="2" t="s">
        <v>122</v>
      </c>
    </row>
    <row r="30" spans="1:17" x14ac:dyDescent="0.35">
      <c r="A30" s="2">
        <v>202601</v>
      </c>
      <c r="B30" s="2">
        <v>46053</v>
      </c>
      <c r="C30" s="2" t="s">
        <v>98</v>
      </c>
      <c r="D30" s="2" t="s">
        <v>99</v>
      </c>
      <c r="E30" s="2">
        <v>1500</v>
      </c>
      <c r="F30" s="2" t="s">
        <v>356</v>
      </c>
      <c r="G30" s="2" t="s">
        <v>357</v>
      </c>
      <c r="H30" s="2">
        <v>6300</v>
      </c>
      <c r="I30" s="2" t="s">
        <v>54</v>
      </c>
      <c r="J30" s="2" t="s">
        <v>48</v>
      </c>
      <c r="K30" s="2" t="s">
        <v>53</v>
      </c>
      <c r="L30" s="2" t="s">
        <v>54</v>
      </c>
      <c r="M30" s="2" t="s">
        <v>35</v>
      </c>
      <c r="N30" s="2" t="s">
        <v>492</v>
      </c>
      <c r="O30" s="2">
        <v>2.75</v>
      </c>
      <c r="P30" s="2">
        <v>2.75</v>
      </c>
      <c r="Q30" s="2" t="s">
        <v>122</v>
      </c>
    </row>
    <row r="31" spans="1:17" x14ac:dyDescent="0.35">
      <c r="A31" s="2">
        <v>202601</v>
      </c>
      <c r="B31" s="2">
        <v>46053</v>
      </c>
      <c r="C31" s="2" t="s">
        <v>98</v>
      </c>
      <c r="D31" s="2" t="s">
        <v>99</v>
      </c>
      <c r="E31" s="2">
        <v>1500</v>
      </c>
      <c r="F31" s="2" t="s">
        <v>356</v>
      </c>
      <c r="G31" s="2" t="s">
        <v>357</v>
      </c>
      <c r="H31" s="2">
        <v>6050</v>
      </c>
      <c r="I31" s="2" t="s">
        <v>493</v>
      </c>
      <c r="J31" s="2" t="s">
        <v>48</v>
      </c>
      <c r="K31" s="2" t="s">
        <v>49</v>
      </c>
      <c r="L31" s="2" t="s">
        <v>50</v>
      </c>
      <c r="M31" s="2" t="s">
        <v>35</v>
      </c>
      <c r="N31" s="2" t="s">
        <v>494</v>
      </c>
      <c r="O31" s="2">
        <v>0.73499999999999999</v>
      </c>
      <c r="P31" s="2">
        <v>0.73499999999999999</v>
      </c>
      <c r="Q31" s="2" t="s">
        <v>122</v>
      </c>
    </row>
    <row r="32" spans="1:17" x14ac:dyDescent="0.35">
      <c r="A32" s="2">
        <v>202601</v>
      </c>
      <c r="B32" s="2">
        <v>46053</v>
      </c>
      <c r="C32" s="2" t="s">
        <v>98</v>
      </c>
      <c r="D32" s="2" t="s">
        <v>99</v>
      </c>
      <c r="E32" s="2">
        <v>1900</v>
      </c>
      <c r="F32" s="2" t="s">
        <v>360</v>
      </c>
      <c r="G32" s="2" t="s">
        <v>361</v>
      </c>
      <c r="H32" s="2">
        <v>3900</v>
      </c>
      <c r="I32" s="2" t="s">
        <v>31</v>
      </c>
      <c r="J32" s="2" t="s">
        <v>13</v>
      </c>
      <c r="K32" s="2" t="s">
        <v>31</v>
      </c>
      <c r="L32" s="2" t="s">
        <v>31</v>
      </c>
      <c r="M32" s="2" t="s">
        <v>15</v>
      </c>
      <c r="N32" s="2" t="s">
        <v>485</v>
      </c>
      <c r="O32" s="2">
        <v>7.1980000000000004</v>
      </c>
      <c r="P32" s="2">
        <v>-7.1980000000000004</v>
      </c>
      <c r="Q32" s="2" t="s">
        <v>122</v>
      </c>
    </row>
    <row r="33" spans="1:17" x14ac:dyDescent="0.35">
      <c r="A33" s="2">
        <v>202601</v>
      </c>
      <c r="B33" s="2">
        <v>46053</v>
      </c>
      <c r="C33" s="2" t="s">
        <v>98</v>
      </c>
      <c r="D33" s="2" t="s">
        <v>99</v>
      </c>
      <c r="E33" s="2">
        <v>1900</v>
      </c>
      <c r="F33" s="2" t="s">
        <v>360</v>
      </c>
      <c r="G33" s="2" t="s">
        <v>361</v>
      </c>
      <c r="H33" s="2">
        <v>3400</v>
      </c>
      <c r="I33" s="2" t="s">
        <v>486</v>
      </c>
      <c r="J33" s="2" t="s">
        <v>13</v>
      </c>
      <c r="K33" s="2" t="s">
        <v>22</v>
      </c>
      <c r="L33" s="2" t="s">
        <v>23</v>
      </c>
      <c r="M33" s="2" t="s">
        <v>15</v>
      </c>
      <c r="N33" s="2" t="s">
        <v>487</v>
      </c>
      <c r="O33" s="2">
        <v>0.20699999999999999</v>
      </c>
      <c r="P33" s="2">
        <v>-0.20699999999999999</v>
      </c>
      <c r="Q33" s="2" t="s">
        <v>122</v>
      </c>
    </row>
    <row r="34" spans="1:17" x14ac:dyDescent="0.35">
      <c r="A34" s="2">
        <v>202601</v>
      </c>
      <c r="B34" s="2">
        <v>46053</v>
      </c>
      <c r="C34" s="2" t="s">
        <v>98</v>
      </c>
      <c r="D34" s="2" t="s">
        <v>99</v>
      </c>
      <c r="E34" s="2">
        <v>1900</v>
      </c>
      <c r="F34" s="2" t="s">
        <v>360</v>
      </c>
      <c r="G34" s="2" t="s">
        <v>361</v>
      </c>
      <c r="H34" s="2">
        <v>3670</v>
      </c>
      <c r="I34" s="2" t="s">
        <v>488</v>
      </c>
      <c r="J34" s="2" t="s">
        <v>13</v>
      </c>
      <c r="K34" s="2" t="s">
        <v>29</v>
      </c>
      <c r="L34" s="2" t="s">
        <v>30</v>
      </c>
      <c r="M34" s="2" t="s">
        <v>15</v>
      </c>
      <c r="N34" s="2" t="s">
        <v>489</v>
      </c>
      <c r="O34" s="2">
        <v>1.45</v>
      </c>
      <c r="P34" s="2">
        <v>-1.45</v>
      </c>
      <c r="Q34" s="2" t="s">
        <v>122</v>
      </c>
    </row>
    <row r="35" spans="1:17" x14ac:dyDescent="0.35">
      <c r="A35" s="2">
        <v>202601</v>
      </c>
      <c r="B35" s="2">
        <v>46053</v>
      </c>
      <c r="C35" s="2" t="s">
        <v>98</v>
      </c>
      <c r="D35" s="2" t="s">
        <v>99</v>
      </c>
      <c r="E35" s="2">
        <v>1900</v>
      </c>
      <c r="F35" s="2" t="s">
        <v>360</v>
      </c>
      <c r="G35" s="2" t="s">
        <v>361</v>
      </c>
      <c r="H35" s="2">
        <v>5000</v>
      </c>
      <c r="I35" s="2" t="s">
        <v>490</v>
      </c>
      <c r="J35" s="2" t="s">
        <v>33</v>
      </c>
      <c r="K35" s="2" t="s">
        <v>34</v>
      </c>
      <c r="L35" s="2" t="s">
        <v>36</v>
      </c>
      <c r="M35" s="2" t="s">
        <v>35</v>
      </c>
      <c r="N35" s="2" t="s">
        <v>491</v>
      </c>
      <c r="O35" s="2">
        <v>6.1180000000000003</v>
      </c>
      <c r="P35" s="2">
        <v>6.1180000000000003</v>
      </c>
      <c r="Q35" s="2" t="s">
        <v>122</v>
      </c>
    </row>
    <row r="36" spans="1:17" x14ac:dyDescent="0.35">
      <c r="A36" s="2">
        <v>202601</v>
      </c>
      <c r="B36" s="2">
        <v>46053</v>
      </c>
      <c r="C36" s="2" t="s">
        <v>98</v>
      </c>
      <c r="D36" s="2" t="s">
        <v>99</v>
      </c>
      <c r="E36" s="2">
        <v>1900</v>
      </c>
      <c r="F36" s="2" t="s">
        <v>360</v>
      </c>
      <c r="G36" s="2" t="s">
        <v>361</v>
      </c>
      <c r="H36" s="2">
        <v>6300</v>
      </c>
      <c r="I36" s="2" t="s">
        <v>54</v>
      </c>
      <c r="J36" s="2" t="s">
        <v>48</v>
      </c>
      <c r="K36" s="2" t="s">
        <v>53</v>
      </c>
      <c r="L36" s="2" t="s">
        <v>54</v>
      </c>
      <c r="M36" s="2" t="s">
        <v>35</v>
      </c>
      <c r="N36" s="2" t="s">
        <v>492</v>
      </c>
      <c r="O36" s="2">
        <v>2.2000000000000002</v>
      </c>
      <c r="P36" s="2">
        <v>2.2000000000000002</v>
      </c>
      <c r="Q36" s="2" t="s">
        <v>122</v>
      </c>
    </row>
    <row r="37" spans="1:17" x14ac:dyDescent="0.35">
      <c r="A37" s="2">
        <v>202601</v>
      </c>
      <c r="B37" s="2">
        <v>46053</v>
      </c>
      <c r="C37" s="2" t="s">
        <v>98</v>
      </c>
      <c r="D37" s="2" t="s">
        <v>99</v>
      </c>
      <c r="E37" s="2">
        <v>1900</v>
      </c>
      <c r="F37" s="2" t="s">
        <v>360</v>
      </c>
      <c r="G37" s="2" t="s">
        <v>361</v>
      </c>
      <c r="H37" s="2">
        <v>6050</v>
      </c>
      <c r="I37" s="2" t="s">
        <v>493</v>
      </c>
      <c r="J37" s="2" t="s">
        <v>48</v>
      </c>
      <c r="K37" s="2" t="s">
        <v>49</v>
      </c>
      <c r="L37" s="2" t="s">
        <v>50</v>
      </c>
      <c r="M37" s="2" t="s">
        <v>35</v>
      </c>
      <c r="N37" s="2" t="s">
        <v>494</v>
      </c>
      <c r="O37" s="2">
        <v>0.94499999999999995</v>
      </c>
      <c r="P37" s="2">
        <v>0.94499999999999995</v>
      </c>
      <c r="Q37" s="2" t="s">
        <v>122</v>
      </c>
    </row>
    <row r="38" spans="1:17" x14ac:dyDescent="0.35">
      <c r="A38" s="2">
        <v>202602</v>
      </c>
      <c r="B38" s="2">
        <v>46081</v>
      </c>
      <c r="C38" s="2" t="s">
        <v>101</v>
      </c>
      <c r="D38" s="2" t="s">
        <v>99</v>
      </c>
      <c r="E38" s="2">
        <v>1100</v>
      </c>
      <c r="F38" s="2" t="s">
        <v>339</v>
      </c>
      <c r="G38" s="2" t="s">
        <v>340</v>
      </c>
      <c r="H38" s="2">
        <v>3900</v>
      </c>
      <c r="I38" s="2" t="s">
        <v>31</v>
      </c>
      <c r="J38" s="2" t="s">
        <v>13</v>
      </c>
      <c r="K38" s="2" t="s">
        <v>31</v>
      </c>
      <c r="L38" s="2" t="s">
        <v>31</v>
      </c>
      <c r="M38" s="2" t="s">
        <v>15</v>
      </c>
      <c r="N38" s="2" t="s">
        <v>485</v>
      </c>
      <c r="O38" s="2">
        <v>20.56</v>
      </c>
      <c r="P38" s="2">
        <v>-20.56</v>
      </c>
      <c r="Q38" s="2" t="s">
        <v>122</v>
      </c>
    </row>
    <row r="39" spans="1:17" x14ac:dyDescent="0.35">
      <c r="A39" s="2">
        <v>202602</v>
      </c>
      <c r="B39" s="2">
        <v>46081</v>
      </c>
      <c r="C39" s="2" t="s">
        <v>101</v>
      </c>
      <c r="D39" s="2" t="s">
        <v>99</v>
      </c>
      <c r="E39" s="2">
        <v>1100</v>
      </c>
      <c r="F39" s="2" t="s">
        <v>339</v>
      </c>
      <c r="G39" s="2" t="s">
        <v>340</v>
      </c>
      <c r="H39" s="2">
        <v>3400</v>
      </c>
      <c r="I39" s="2" t="s">
        <v>486</v>
      </c>
      <c r="J39" s="2" t="s">
        <v>13</v>
      </c>
      <c r="K39" s="2" t="s">
        <v>22</v>
      </c>
      <c r="L39" s="2" t="s">
        <v>23</v>
      </c>
      <c r="M39" s="2" t="s">
        <v>15</v>
      </c>
      <c r="N39" s="2" t="s">
        <v>487</v>
      </c>
      <c r="O39" s="2">
        <v>1.6459999999999999</v>
      </c>
      <c r="P39" s="2">
        <v>-1.6459999999999999</v>
      </c>
      <c r="Q39" s="2" t="s">
        <v>122</v>
      </c>
    </row>
    <row r="40" spans="1:17" x14ac:dyDescent="0.35">
      <c r="A40" s="2">
        <v>202602</v>
      </c>
      <c r="B40" s="2">
        <v>46081</v>
      </c>
      <c r="C40" s="2" t="s">
        <v>101</v>
      </c>
      <c r="D40" s="2" t="s">
        <v>99</v>
      </c>
      <c r="E40" s="2">
        <v>1100</v>
      </c>
      <c r="F40" s="2" t="s">
        <v>339</v>
      </c>
      <c r="G40" s="2" t="s">
        <v>340</v>
      </c>
      <c r="H40" s="2">
        <v>3670</v>
      </c>
      <c r="I40" s="2" t="s">
        <v>488</v>
      </c>
      <c r="J40" s="2" t="s">
        <v>13</v>
      </c>
      <c r="K40" s="2" t="s">
        <v>29</v>
      </c>
      <c r="L40" s="2" t="s">
        <v>30</v>
      </c>
      <c r="M40" s="2" t="s">
        <v>15</v>
      </c>
      <c r="N40" s="2" t="s">
        <v>489</v>
      </c>
      <c r="O40" s="2">
        <v>0.77</v>
      </c>
      <c r="P40" s="2">
        <v>-0.77</v>
      </c>
      <c r="Q40" s="2" t="s">
        <v>122</v>
      </c>
    </row>
    <row r="41" spans="1:17" x14ac:dyDescent="0.35">
      <c r="A41" s="2">
        <v>202602</v>
      </c>
      <c r="B41" s="2">
        <v>46081</v>
      </c>
      <c r="C41" s="2" t="s">
        <v>101</v>
      </c>
      <c r="D41" s="2" t="s">
        <v>99</v>
      </c>
      <c r="E41" s="2">
        <v>1100</v>
      </c>
      <c r="F41" s="2" t="s">
        <v>339</v>
      </c>
      <c r="G41" s="2" t="s">
        <v>340</v>
      </c>
      <c r="H41" s="2">
        <v>5000</v>
      </c>
      <c r="I41" s="2" t="s">
        <v>490</v>
      </c>
      <c r="J41" s="2" t="s">
        <v>33</v>
      </c>
      <c r="K41" s="2" t="s">
        <v>34</v>
      </c>
      <c r="L41" s="2" t="s">
        <v>36</v>
      </c>
      <c r="M41" s="2" t="s">
        <v>35</v>
      </c>
      <c r="N41" s="2" t="s">
        <v>491</v>
      </c>
      <c r="O41" s="2">
        <v>14.632999999999999</v>
      </c>
      <c r="P41" s="2">
        <v>14.632999999999999</v>
      </c>
      <c r="Q41" s="2" t="s">
        <v>122</v>
      </c>
    </row>
    <row r="42" spans="1:17" x14ac:dyDescent="0.35">
      <c r="A42" s="2">
        <v>202602</v>
      </c>
      <c r="B42" s="2">
        <v>46081</v>
      </c>
      <c r="C42" s="2" t="s">
        <v>101</v>
      </c>
      <c r="D42" s="2" t="s">
        <v>99</v>
      </c>
      <c r="E42" s="2">
        <v>1100</v>
      </c>
      <c r="F42" s="2" t="s">
        <v>339</v>
      </c>
      <c r="G42" s="2" t="s">
        <v>340</v>
      </c>
      <c r="H42" s="2">
        <v>6300</v>
      </c>
      <c r="I42" s="2" t="s">
        <v>54</v>
      </c>
      <c r="J42" s="2" t="s">
        <v>48</v>
      </c>
      <c r="K42" s="2" t="s">
        <v>53</v>
      </c>
      <c r="L42" s="2" t="s">
        <v>54</v>
      </c>
      <c r="M42" s="2" t="s">
        <v>35</v>
      </c>
      <c r="N42" s="2" t="s">
        <v>492</v>
      </c>
      <c r="O42" s="2">
        <v>5.0350000000000001</v>
      </c>
      <c r="P42" s="2">
        <v>5.0350000000000001</v>
      </c>
      <c r="Q42" s="2" t="s">
        <v>122</v>
      </c>
    </row>
    <row r="43" spans="1:17" x14ac:dyDescent="0.35">
      <c r="A43" s="2">
        <v>202602</v>
      </c>
      <c r="B43" s="2">
        <v>46081</v>
      </c>
      <c r="C43" s="2" t="s">
        <v>101</v>
      </c>
      <c r="D43" s="2" t="s">
        <v>99</v>
      </c>
      <c r="E43" s="2">
        <v>1100</v>
      </c>
      <c r="F43" s="2" t="s">
        <v>339</v>
      </c>
      <c r="G43" s="2" t="s">
        <v>340</v>
      </c>
      <c r="H43" s="2">
        <v>6050</v>
      </c>
      <c r="I43" s="2" t="s">
        <v>493</v>
      </c>
      <c r="J43" s="2" t="s">
        <v>48</v>
      </c>
      <c r="K43" s="2" t="s">
        <v>49</v>
      </c>
      <c r="L43" s="2" t="s">
        <v>50</v>
      </c>
      <c r="M43" s="2" t="s">
        <v>35</v>
      </c>
      <c r="N43" s="2" t="s">
        <v>494</v>
      </c>
      <c r="O43" s="2">
        <v>2.09</v>
      </c>
      <c r="P43" s="2">
        <v>2.09</v>
      </c>
      <c r="Q43" s="2" t="s">
        <v>122</v>
      </c>
    </row>
    <row r="44" spans="1:17" x14ac:dyDescent="0.35">
      <c r="A44" s="2">
        <v>202602</v>
      </c>
      <c r="B44" s="2">
        <v>46081</v>
      </c>
      <c r="C44" s="2" t="s">
        <v>101</v>
      </c>
      <c r="D44" s="2" t="s">
        <v>99</v>
      </c>
      <c r="E44" s="2">
        <v>1200</v>
      </c>
      <c r="F44" s="2" t="s">
        <v>344</v>
      </c>
      <c r="G44" s="2" t="s">
        <v>345</v>
      </c>
      <c r="H44" s="2">
        <v>3900</v>
      </c>
      <c r="I44" s="2" t="s">
        <v>31</v>
      </c>
      <c r="J44" s="2" t="s">
        <v>13</v>
      </c>
      <c r="K44" s="2" t="s">
        <v>31</v>
      </c>
      <c r="L44" s="2" t="s">
        <v>31</v>
      </c>
      <c r="M44" s="2" t="s">
        <v>15</v>
      </c>
      <c r="N44" s="2" t="s">
        <v>485</v>
      </c>
      <c r="O44" s="2">
        <v>27.757999999999999</v>
      </c>
      <c r="P44" s="2">
        <v>-27.757999999999999</v>
      </c>
      <c r="Q44" s="2" t="s">
        <v>122</v>
      </c>
    </row>
    <row r="45" spans="1:17" x14ac:dyDescent="0.35">
      <c r="A45" s="2">
        <v>202602</v>
      </c>
      <c r="B45" s="2">
        <v>46081</v>
      </c>
      <c r="C45" s="2" t="s">
        <v>101</v>
      </c>
      <c r="D45" s="2" t="s">
        <v>99</v>
      </c>
      <c r="E45" s="2">
        <v>1200</v>
      </c>
      <c r="F45" s="2" t="s">
        <v>344</v>
      </c>
      <c r="G45" s="2" t="s">
        <v>345</v>
      </c>
      <c r="H45" s="2">
        <v>3400</v>
      </c>
      <c r="I45" s="2" t="s">
        <v>486</v>
      </c>
      <c r="J45" s="2" t="s">
        <v>13</v>
      </c>
      <c r="K45" s="2" t="s">
        <v>22</v>
      </c>
      <c r="L45" s="2" t="s">
        <v>23</v>
      </c>
      <c r="M45" s="2" t="s">
        <v>15</v>
      </c>
      <c r="N45" s="2" t="s">
        <v>487</v>
      </c>
      <c r="O45" s="2">
        <v>3.59</v>
      </c>
      <c r="P45" s="2">
        <v>-3.59</v>
      </c>
      <c r="Q45" s="2" t="s">
        <v>122</v>
      </c>
    </row>
    <row r="46" spans="1:17" x14ac:dyDescent="0.35">
      <c r="A46" s="2">
        <v>202602</v>
      </c>
      <c r="B46" s="2">
        <v>46081</v>
      </c>
      <c r="C46" s="2" t="s">
        <v>101</v>
      </c>
      <c r="D46" s="2" t="s">
        <v>99</v>
      </c>
      <c r="E46" s="2">
        <v>1200</v>
      </c>
      <c r="F46" s="2" t="s">
        <v>344</v>
      </c>
      <c r="G46" s="2" t="s">
        <v>345</v>
      </c>
      <c r="H46" s="2">
        <v>3670</v>
      </c>
      <c r="I46" s="2" t="s">
        <v>488</v>
      </c>
      <c r="J46" s="2" t="s">
        <v>13</v>
      </c>
      <c r="K46" s="2" t="s">
        <v>29</v>
      </c>
      <c r="L46" s="2" t="s">
        <v>30</v>
      </c>
      <c r="M46" s="2" t="s">
        <v>15</v>
      </c>
      <c r="N46" s="2" t="s">
        <v>489</v>
      </c>
      <c r="O46" s="2">
        <v>1.9339999999999999</v>
      </c>
      <c r="P46" s="2">
        <v>-1.9339999999999999</v>
      </c>
      <c r="Q46" s="2" t="s">
        <v>122</v>
      </c>
    </row>
    <row r="47" spans="1:17" x14ac:dyDescent="0.35">
      <c r="A47" s="2">
        <v>202602</v>
      </c>
      <c r="B47" s="2">
        <v>46081</v>
      </c>
      <c r="C47" s="2" t="s">
        <v>101</v>
      </c>
      <c r="D47" s="2" t="s">
        <v>99</v>
      </c>
      <c r="E47" s="2">
        <v>1200</v>
      </c>
      <c r="F47" s="2" t="s">
        <v>344</v>
      </c>
      <c r="G47" s="2" t="s">
        <v>345</v>
      </c>
      <c r="H47" s="2">
        <v>5000</v>
      </c>
      <c r="I47" s="2" t="s">
        <v>490</v>
      </c>
      <c r="J47" s="2" t="s">
        <v>33</v>
      </c>
      <c r="K47" s="2" t="s">
        <v>34</v>
      </c>
      <c r="L47" s="2" t="s">
        <v>36</v>
      </c>
      <c r="M47" s="2" t="s">
        <v>35</v>
      </c>
      <c r="N47" s="2" t="s">
        <v>491</v>
      </c>
      <c r="O47" s="2">
        <v>20.792000000000002</v>
      </c>
      <c r="P47" s="2">
        <v>20.792000000000002</v>
      </c>
      <c r="Q47" s="2" t="s">
        <v>122</v>
      </c>
    </row>
    <row r="48" spans="1:17" x14ac:dyDescent="0.35">
      <c r="A48" s="2">
        <v>202602</v>
      </c>
      <c r="B48" s="2">
        <v>46081</v>
      </c>
      <c r="C48" s="2" t="s">
        <v>101</v>
      </c>
      <c r="D48" s="2" t="s">
        <v>99</v>
      </c>
      <c r="E48" s="2">
        <v>1200</v>
      </c>
      <c r="F48" s="2" t="s">
        <v>344</v>
      </c>
      <c r="G48" s="2" t="s">
        <v>345</v>
      </c>
      <c r="H48" s="2">
        <v>6300</v>
      </c>
      <c r="I48" s="2" t="s">
        <v>54</v>
      </c>
      <c r="J48" s="2" t="s">
        <v>48</v>
      </c>
      <c r="K48" s="2" t="s">
        <v>53</v>
      </c>
      <c r="L48" s="2" t="s">
        <v>54</v>
      </c>
      <c r="M48" s="2" t="s">
        <v>35</v>
      </c>
      <c r="N48" s="2" t="s">
        <v>492</v>
      </c>
      <c r="O48" s="2">
        <v>7.1550000000000002</v>
      </c>
      <c r="P48" s="2">
        <v>7.1550000000000002</v>
      </c>
      <c r="Q48" s="2" t="s">
        <v>122</v>
      </c>
    </row>
    <row r="49" spans="1:17" x14ac:dyDescent="0.35">
      <c r="A49" s="2">
        <v>202602</v>
      </c>
      <c r="B49" s="2">
        <v>46081</v>
      </c>
      <c r="C49" s="2" t="s">
        <v>101</v>
      </c>
      <c r="D49" s="2" t="s">
        <v>99</v>
      </c>
      <c r="E49" s="2">
        <v>1200</v>
      </c>
      <c r="F49" s="2" t="s">
        <v>344</v>
      </c>
      <c r="G49" s="2" t="s">
        <v>345</v>
      </c>
      <c r="H49" s="2">
        <v>6050</v>
      </c>
      <c r="I49" s="2" t="s">
        <v>493</v>
      </c>
      <c r="J49" s="2" t="s">
        <v>48</v>
      </c>
      <c r="K49" s="2" t="s">
        <v>49</v>
      </c>
      <c r="L49" s="2" t="s">
        <v>50</v>
      </c>
      <c r="M49" s="2" t="s">
        <v>35</v>
      </c>
      <c r="N49" s="2" t="s">
        <v>494</v>
      </c>
      <c r="O49" s="2">
        <v>3.85</v>
      </c>
      <c r="P49" s="2">
        <v>3.85</v>
      </c>
      <c r="Q49" s="2" t="s">
        <v>122</v>
      </c>
    </row>
    <row r="50" spans="1:17" x14ac:dyDescent="0.35">
      <c r="A50" s="2">
        <v>202602</v>
      </c>
      <c r="B50" s="2">
        <v>46081</v>
      </c>
      <c r="C50" s="2" t="s">
        <v>101</v>
      </c>
      <c r="D50" s="2" t="s">
        <v>99</v>
      </c>
      <c r="E50" s="2">
        <v>1300</v>
      </c>
      <c r="F50" s="2" t="s">
        <v>348</v>
      </c>
      <c r="G50" s="2" t="s">
        <v>349</v>
      </c>
      <c r="H50" s="2">
        <v>3900</v>
      </c>
      <c r="I50" s="2" t="s">
        <v>31</v>
      </c>
      <c r="J50" s="2" t="s">
        <v>13</v>
      </c>
      <c r="K50" s="2" t="s">
        <v>31</v>
      </c>
      <c r="L50" s="2" t="s">
        <v>31</v>
      </c>
      <c r="M50" s="2" t="s">
        <v>15</v>
      </c>
      <c r="N50" s="2" t="s">
        <v>485</v>
      </c>
      <c r="O50" s="2">
        <v>23.641999999999999</v>
      </c>
      <c r="P50" s="2">
        <v>-23.641999999999999</v>
      </c>
      <c r="Q50" s="2" t="s">
        <v>122</v>
      </c>
    </row>
    <row r="51" spans="1:17" x14ac:dyDescent="0.35">
      <c r="A51" s="2">
        <v>202602</v>
      </c>
      <c r="B51" s="2">
        <v>46081</v>
      </c>
      <c r="C51" s="2" t="s">
        <v>101</v>
      </c>
      <c r="D51" s="2" t="s">
        <v>99</v>
      </c>
      <c r="E51" s="2">
        <v>1300</v>
      </c>
      <c r="F51" s="2" t="s">
        <v>348</v>
      </c>
      <c r="G51" s="2" t="s">
        <v>349</v>
      </c>
      <c r="H51" s="2">
        <v>3400</v>
      </c>
      <c r="I51" s="2" t="s">
        <v>486</v>
      </c>
      <c r="J51" s="2" t="s">
        <v>13</v>
      </c>
      <c r="K51" s="2" t="s">
        <v>22</v>
      </c>
      <c r="L51" s="2" t="s">
        <v>23</v>
      </c>
      <c r="M51" s="2" t="s">
        <v>15</v>
      </c>
      <c r="N51" s="2" t="s">
        <v>487</v>
      </c>
      <c r="O51" s="2">
        <v>1.87</v>
      </c>
      <c r="P51" s="2">
        <v>-1.87</v>
      </c>
      <c r="Q51" s="2" t="s">
        <v>122</v>
      </c>
    </row>
    <row r="52" spans="1:17" x14ac:dyDescent="0.35">
      <c r="A52" s="2">
        <v>202602</v>
      </c>
      <c r="B52" s="2">
        <v>46081</v>
      </c>
      <c r="C52" s="2" t="s">
        <v>101</v>
      </c>
      <c r="D52" s="2" t="s">
        <v>99</v>
      </c>
      <c r="E52" s="2">
        <v>1300</v>
      </c>
      <c r="F52" s="2" t="s">
        <v>348</v>
      </c>
      <c r="G52" s="2" t="s">
        <v>349</v>
      </c>
      <c r="H52" s="2">
        <v>3670</v>
      </c>
      <c r="I52" s="2" t="s">
        <v>488</v>
      </c>
      <c r="J52" s="2" t="s">
        <v>13</v>
      </c>
      <c r="K52" s="2" t="s">
        <v>29</v>
      </c>
      <c r="L52" s="2" t="s">
        <v>30</v>
      </c>
      <c r="M52" s="2" t="s">
        <v>15</v>
      </c>
      <c r="N52" s="2" t="s">
        <v>489</v>
      </c>
      <c r="O52" s="2">
        <v>1.4610000000000001</v>
      </c>
      <c r="P52" s="2">
        <v>-1.4610000000000001</v>
      </c>
      <c r="Q52" s="2" t="s">
        <v>122</v>
      </c>
    </row>
    <row r="53" spans="1:17" x14ac:dyDescent="0.35">
      <c r="A53" s="2">
        <v>202602</v>
      </c>
      <c r="B53" s="2">
        <v>46081</v>
      </c>
      <c r="C53" s="2" t="s">
        <v>101</v>
      </c>
      <c r="D53" s="2" t="s">
        <v>99</v>
      </c>
      <c r="E53" s="2">
        <v>1300</v>
      </c>
      <c r="F53" s="2" t="s">
        <v>348</v>
      </c>
      <c r="G53" s="2" t="s">
        <v>349</v>
      </c>
      <c r="H53" s="2">
        <v>5000</v>
      </c>
      <c r="I53" s="2" t="s">
        <v>490</v>
      </c>
      <c r="J53" s="2" t="s">
        <v>33</v>
      </c>
      <c r="K53" s="2" t="s">
        <v>34</v>
      </c>
      <c r="L53" s="2" t="s">
        <v>36</v>
      </c>
      <c r="M53" s="2" t="s">
        <v>35</v>
      </c>
      <c r="N53" s="2" t="s">
        <v>491</v>
      </c>
      <c r="O53" s="2">
        <v>17.707999999999998</v>
      </c>
      <c r="P53" s="2">
        <v>17.707999999999998</v>
      </c>
      <c r="Q53" s="2" t="s">
        <v>122</v>
      </c>
    </row>
    <row r="54" spans="1:17" x14ac:dyDescent="0.35">
      <c r="A54" s="2">
        <v>202602</v>
      </c>
      <c r="B54" s="2">
        <v>46081</v>
      </c>
      <c r="C54" s="2" t="s">
        <v>101</v>
      </c>
      <c r="D54" s="2" t="s">
        <v>99</v>
      </c>
      <c r="E54" s="2">
        <v>1300</v>
      </c>
      <c r="F54" s="2" t="s">
        <v>348</v>
      </c>
      <c r="G54" s="2" t="s">
        <v>349</v>
      </c>
      <c r="H54" s="2">
        <v>6300</v>
      </c>
      <c r="I54" s="2" t="s">
        <v>54</v>
      </c>
      <c r="J54" s="2" t="s">
        <v>48</v>
      </c>
      <c r="K54" s="2" t="s">
        <v>53</v>
      </c>
      <c r="L54" s="2" t="s">
        <v>54</v>
      </c>
      <c r="M54" s="2" t="s">
        <v>35</v>
      </c>
      <c r="N54" s="2" t="s">
        <v>492</v>
      </c>
      <c r="O54" s="2">
        <v>6.0949999999999998</v>
      </c>
      <c r="P54" s="2">
        <v>6.0949999999999998</v>
      </c>
      <c r="Q54" s="2" t="s">
        <v>122</v>
      </c>
    </row>
    <row r="55" spans="1:17" x14ac:dyDescent="0.35">
      <c r="A55" s="2">
        <v>202602</v>
      </c>
      <c r="B55" s="2">
        <v>46081</v>
      </c>
      <c r="C55" s="2" t="s">
        <v>101</v>
      </c>
      <c r="D55" s="2" t="s">
        <v>99</v>
      </c>
      <c r="E55" s="2">
        <v>1300</v>
      </c>
      <c r="F55" s="2" t="s">
        <v>348</v>
      </c>
      <c r="G55" s="2" t="s">
        <v>349</v>
      </c>
      <c r="H55" s="2">
        <v>6050</v>
      </c>
      <c r="I55" s="2" t="s">
        <v>493</v>
      </c>
      <c r="J55" s="2" t="s">
        <v>48</v>
      </c>
      <c r="K55" s="2" t="s">
        <v>49</v>
      </c>
      <c r="L55" s="2" t="s">
        <v>50</v>
      </c>
      <c r="M55" s="2" t="s">
        <v>35</v>
      </c>
      <c r="N55" s="2" t="s">
        <v>494</v>
      </c>
      <c r="O55" s="2">
        <v>2.31</v>
      </c>
      <c r="P55" s="2">
        <v>2.31</v>
      </c>
      <c r="Q55" s="2" t="s">
        <v>122</v>
      </c>
    </row>
    <row r="56" spans="1:17" x14ac:dyDescent="0.35">
      <c r="A56" s="2">
        <v>202602</v>
      </c>
      <c r="B56" s="2">
        <v>46081</v>
      </c>
      <c r="C56" s="2" t="s">
        <v>101</v>
      </c>
      <c r="D56" s="2" t="s">
        <v>99</v>
      </c>
      <c r="E56" s="2">
        <v>1400</v>
      </c>
      <c r="F56" s="2" t="s">
        <v>352</v>
      </c>
      <c r="G56" s="2" t="s">
        <v>353</v>
      </c>
      <c r="H56" s="2">
        <v>3900</v>
      </c>
      <c r="I56" s="2" t="s">
        <v>31</v>
      </c>
      <c r="J56" s="2" t="s">
        <v>13</v>
      </c>
      <c r="K56" s="2" t="s">
        <v>31</v>
      </c>
      <c r="L56" s="2" t="s">
        <v>31</v>
      </c>
      <c r="M56" s="2" t="s">
        <v>15</v>
      </c>
      <c r="N56" s="2" t="s">
        <v>485</v>
      </c>
      <c r="O56" s="2">
        <v>13.362</v>
      </c>
      <c r="P56" s="2">
        <v>-13.362</v>
      </c>
      <c r="Q56" s="2" t="s">
        <v>122</v>
      </c>
    </row>
    <row r="57" spans="1:17" x14ac:dyDescent="0.35">
      <c r="A57" s="2">
        <v>202602</v>
      </c>
      <c r="B57" s="2">
        <v>46081</v>
      </c>
      <c r="C57" s="2" t="s">
        <v>101</v>
      </c>
      <c r="D57" s="2" t="s">
        <v>99</v>
      </c>
      <c r="E57" s="2">
        <v>1400</v>
      </c>
      <c r="F57" s="2" t="s">
        <v>352</v>
      </c>
      <c r="G57" s="2" t="s">
        <v>353</v>
      </c>
      <c r="H57" s="2">
        <v>3400</v>
      </c>
      <c r="I57" s="2" t="s">
        <v>486</v>
      </c>
      <c r="J57" s="2" t="s">
        <v>13</v>
      </c>
      <c r="K57" s="2" t="s">
        <v>22</v>
      </c>
      <c r="L57" s="2" t="s">
        <v>23</v>
      </c>
      <c r="M57" s="2" t="s">
        <v>15</v>
      </c>
      <c r="N57" s="2" t="s">
        <v>487</v>
      </c>
      <c r="O57" s="2">
        <v>1.1220000000000001</v>
      </c>
      <c r="P57" s="2">
        <v>-1.1220000000000001</v>
      </c>
      <c r="Q57" s="2" t="s">
        <v>122</v>
      </c>
    </row>
    <row r="58" spans="1:17" x14ac:dyDescent="0.35">
      <c r="A58" s="2">
        <v>202602</v>
      </c>
      <c r="B58" s="2">
        <v>46081</v>
      </c>
      <c r="C58" s="2" t="s">
        <v>101</v>
      </c>
      <c r="D58" s="2" t="s">
        <v>99</v>
      </c>
      <c r="E58" s="2">
        <v>1400</v>
      </c>
      <c r="F58" s="2" t="s">
        <v>352</v>
      </c>
      <c r="G58" s="2" t="s">
        <v>353</v>
      </c>
      <c r="H58" s="2">
        <v>3670</v>
      </c>
      <c r="I58" s="2" t="s">
        <v>488</v>
      </c>
      <c r="J58" s="2" t="s">
        <v>13</v>
      </c>
      <c r="K58" s="2" t="s">
        <v>29</v>
      </c>
      <c r="L58" s="2" t="s">
        <v>30</v>
      </c>
      <c r="M58" s="2" t="s">
        <v>15</v>
      </c>
      <c r="N58" s="2" t="s">
        <v>489</v>
      </c>
      <c r="O58" s="2">
        <v>0.878</v>
      </c>
      <c r="P58" s="2">
        <v>-0.878</v>
      </c>
      <c r="Q58" s="2" t="s">
        <v>122</v>
      </c>
    </row>
    <row r="59" spans="1:17" x14ac:dyDescent="0.35">
      <c r="A59" s="2">
        <v>202602</v>
      </c>
      <c r="B59" s="2">
        <v>46081</v>
      </c>
      <c r="C59" s="2" t="s">
        <v>101</v>
      </c>
      <c r="D59" s="2" t="s">
        <v>99</v>
      </c>
      <c r="E59" s="2">
        <v>1400</v>
      </c>
      <c r="F59" s="2" t="s">
        <v>352</v>
      </c>
      <c r="G59" s="2" t="s">
        <v>353</v>
      </c>
      <c r="H59" s="2">
        <v>5000</v>
      </c>
      <c r="I59" s="2" t="s">
        <v>490</v>
      </c>
      <c r="J59" s="2" t="s">
        <v>33</v>
      </c>
      <c r="K59" s="2" t="s">
        <v>34</v>
      </c>
      <c r="L59" s="2" t="s">
        <v>36</v>
      </c>
      <c r="M59" s="2" t="s">
        <v>35</v>
      </c>
      <c r="N59" s="2" t="s">
        <v>491</v>
      </c>
      <c r="O59" s="2">
        <v>10.007999999999999</v>
      </c>
      <c r="P59" s="2">
        <v>10.007999999999999</v>
      </c>
      <c r="Q59" s="2" t="s">
        <v>122</v>
      </c>
    </row>
    <row r="60" spans="1:17" x14ac:dyDescent="0.35">
      <c r="A60" s="2">
        <v>202602</v>
      </c>
      <c r="B60" s="2">
        <v>46081</v>
      </c>
      <c r="C60" s="2" t="s">
        <v>101</v>
      </c>
      <c r="D60" s="2" t="s">
        <v>99</v>
      </c>
      <c r="E60" s="2">
        <v>1400</v>
      </c>
      <c r="F60" s="2" t="s">
        <v>352</v>
      </c>
      <c r="G60" s="2" t="s">
        <v>353</v>
      </c>
      <c r="H60" s="2">
        <v>6300</v>
      </c>
      <c r="I60" s="2" t="s">
        <v>54</v>
      </c>
      <c r="J60" s="2" t="s">
        <v>48</v>
      </c>
      <c r="K60" s="2" t="s">
        <v>53</v>
      </c>
      <c r="L60" s="2" t="s">
        <v>54</v>
      </c>
      <c r="M60" s="2" t="s">
        <v>35</v>
      </c>
      <c r="N60" s="2" t="s">
        <v>492</v>
      </c>
      <c r="O60" s="2">
        <v>3.4449999999999998</v>
      </c>
      <c r="P60" s="2">
        <v>3.4449999999999998</v>
      </c>
      <c r="Q60" s="2" t="s">
        <v>122</v>
      </c>
    </row>
    <row r="61" spans="1:17" x14ac:dyDescent="0.35">
      <c r="A61" s="2">
        <v>202602</v>
      </c>
      <c r="B61" s="2">
        <v>46081</v>
      </c>
      <c r="C61" s="2" t="s">
        <v>101</v>
      </c>
      <c r="D61" s="2" t="s">
        <v>99</v>
      </c>
      <c r="E61" s="2">
        <v>1400</v>
      </c>
      <c r="F61" s="2" t="s">
        <v>352</v>
      </c>
      <c r="G61" s="2" t="s">
        <v>353</v>
      </c>
      <c r="H61" s="2">
        <v>6050</v>
      </c>
      <c r="I61" s="2" t="s">
        <v>493</v>
      </c>
      <c r="J61" s="2" t="s">
        <v>48</v>
      </c>
      <c r="K61" s="2" t="s">
        <v>49</v>
      </c>
      <c r="L61" s="2" t="s">
        <v>50</v>
      </c>
      <c r="M61" s="2" t="s">
        <v>35</v>
      </c>
      <c r="N61" s="2" t="s">
        <v>494</v>
      </c>
      <c r="O61" s="2">
        <v>0.99</v>
      </c>
      <c r="P61" s="2">
        <v>0.99</v>
      </c>
      <c r="Q61" s="2" t="s">
        <v>122</v>
      </c>
    </row>
    <row r="62" spans="1:17" x14ac:dyDescent="0.35">
      <c r="A62" s="2">
        <v>202602</v>
      </c>
      <c r="B62" s="2">
        <v>46081</v>
      </c>
      <c r="C62" s="2" t="s">
        <v>101</v>
      </c>
      <c r="D62" s="2" t="s">
        <v>99</v>
      </c>
      <c r="E62" s="2">
        <v>1500</v>
      </c>
      <c r="F62" s="2" t="s">
        <v>356</v>
      </c>
      <c r="G62" s="2" t="s">
        <v>357</v>
      </c>
      <c r="H62" s="2">
        <v>3900</v>
      </c>
      <c r="I62" s="2" t="s">
        <v>31</v>
      </c>
      <c r="J62" s="2" t="s">
        <v>13</v>
      </c>
      <c r="K62" s="2" t="s">
        <v>31</v>
      </c>
      <c r="L62" s="2" t="s">
        <v>31</v>
      </c>
      <c r="M62" s="2" t="s">
        <v>15</v>
      </c>
      <c r="N62" s="2" t="s">
        <v>485</v>
      </c>
      <c r="O62" s="2">
        <v>10.28</v>
      </c>
      <c r="P62" s="2">
        <v>-10.28</v>
      </c>
      <c r="Q62" s="2" t="s">
        <v>122</v>
      </c>
    </row>
    <row r="63" spans="1:17" x14ac:dyDescent="0.35">
      <c r="A63" s="2">
        <v>202602</v>
      </c>
      <c r="B63" s="2">
        <v>46081</v>
      </c>
      <c r="C63" s="2" t="s">
        <v>101</v>
      </c>
      <c r="D63" s="2" t="s">
        <v>99</v>
      </c>
      <c r="E63" s="2">
        <v>1500</v>
      </c>
      <c r="F63" s="2" t="s">
        <v>356</v>
      </c>
      <c r="G63" s="2" t="s">
        <v>357</v>
      </c>
      <c r="H63" s="2">
        <v>3400</v>
      </c>
      <c r="I63" s="2" t="s">
        <v>486</v>
      </c>
      <c r="J63" s="2" t="s">
        <v>13</v>
      </c>
      <c r="K63" s="2" t="s">
        <v>22</v>
      </c>
      <c r="L63" s="2" t="s">
        <v>23</v>
      </c>
      <c r="M63" s="2" t="s">
        <v>15</v>
      </c>
      <c r="N63" s="2" t="s">
        <v>487</v>
      </c>
      <c r="O63" s="2">
        <v>0.748</v>
      </c>
      <c r="P63" s="2">
        <v>-0.748</v>
      </c>
      <c r="Q63" s="2" t="s">
        <v>122</v>
      </c>
    </row>
    <row r="64" spans="1:17" x14ac:dyDescent="0.35">
      <c r="A64" s="2">
        <v>202602</v>
      </c>
      <c r="B64" s="2">
        <v>46081</v>
      </c>
      <c r="C64" s="2" t="s">
        <v>101</v>
      </c>
      <c r="D64" s="2" t="s">
        <v>99</v>
      </c>
      <c r="E64" s="2">
        <v>1500</v>
      </c>
      <c r="F64" s="2" t="s">
        <v>356</v>
      </c>
      <c r="G64" s="2" t="s">
        <v>357</v>
      </c>
      <c r="H64" s="2">
        <v>3670</v>
      </c>
      <c r="I64" s="2" t="s">
        <v>488</v>
      </c>
      <c r="J64" s="2" t="s">
        <v>13</v>
      </c>
      <c r="K64" s="2" t="s">
        <v>29</v>
      </c>
      <c r="L64" s="2" t="s">
        <v>30</v>
      </c>
      <c r="M64" s="2" t="s">
        <v>15</v>
      </c>
      <c r="N64" s="2" t="s">
        <v>489</v>
      </c>
      <c r="O64" s="2">
        <v>0.58199999999999996</v>
      </c>
      <c r="P64" s="2">
        <v>-0.58199999999999996</v>
      </c>
      <c r="Q64" s="2" t="s">
        <v>122</v>
      </c>
    </row>
    <row r="65" spans="1:17" x14ac:dyDescent="0.35">
      <c r="A65" s="2">
        <v>202602</v>
      </c>
      <c r="B65" s="2">
        <v>46081</v>
      </c>
      <c r="C65" s="2" t="s">
        <v>101</v>
      </c>
      <c r="D65" s="2" t="s">
        <v>99</v>
      </c>
      <c r="E65" s="2">
        <v>1500</v>
      </c>
      <c r="F65" s="2" t="s">
        <v>356</v>
      </c>
      <c r="G65" s="2" t="s">
        <v>357</v>
      </c>
      <c r="H65" s="2">
        <v>5000</v>
      </c>
      <c r="I65" s="2" t="s">
        <v>490</v>
      </c>
      <c r="J65" s="2" t="s">
        <v>33</v>
      </c>
      <c r="K65" s="2" t="s">
        <v>34</v>
      </c>
      <c r="L65" s="2" t="s">
        <v>36</v>
      </c>
      <c r="M65" s="2" t="s">
        <v>35</v>
      </c>
      <c r="N65" s="2" t="s">
        <v>491</v>
      </c>
      <c r="O65" s="2">
        <v>7.7</v>
      </c>
      <c r="P65" s="2">
        <v>7.7</v>
      </c>
      <c r="Q65" s="2" t="s">
        <v>122</v>
      </c>
    </row>
    <row r="66" spans="1:17" x14ac:dyDescent="0.35">
      <c r="A66" s="2">
        <v>202602</v>
      </c>
      <c r="B66" s="2">
        <v>46081</v>
      </c>
      <c r="C66" s="2" t="s">
        <v>101</v>
      </c>
      <c r="D66" s="2" t="s">
        <v>99</v>
      </c>
      <c r="E66" s="2">
        <v>1500</v>
      </c>
      <c r="F66" s="2" t="s">
        <v>356</v>
      </c>
      <c r="G66" s="2" t="s">
        <v>357</v>
      </c>
      <c r="H66" s="2">
        <v>6300</v>
      </c>
      <c r="I66" s="2" t="s">
        <v>54</v>
      </c>
      <c r="J66" s="2" t="s">
        <v>48</v>
      </c>
      <c r="K66" s="2" t="s">
        <v>53</v>
      </c>
      <c r="L66" s="2" t="s">
        <v>54</v>
      </c>
      <c r="M66" s="2" t="s">
        <v>35</v>
      </c>
      <c r="N66" s="2" t="s">
        <v>492</v>
      </c>
      <c r="O66" s="2">
        <v>2.65</v>
      </c>
      <c r="P66" s="2">
        <v>2.65</v>
      </c>
      <c r="Q66" s="2" t="s">
        <v>122</v>
      </c>
    </row>
    <row r="67" spans="1:17" x14ac:dyDescent="0.35">
      <c r="A67" s="2">
        <v>202602</v>
      </c>
      <c r="B67" s="2">
        <v>46081</v>
      </c>
      <c r="C67" s="2" t="s">
        <v>101</v>
      </c>
      <c r="D67" s="2" t="s">
        <v>99</v>
      </c>
      <c r="E67" s="2">
        <v>1500</v>
      </c>
      <c r="F67" s="2" t="s">
        <v>356</v>
      </c>
      <c r="G67" s="2" t="s">
        <v>357</v>
      </c>
      <c r="H67" s="2">
        <v>6050</v>
      </c>
      <c r="I67" s="2" t="s">
        <v>493</v>
      </c>
      <c r="J67" s="2" t="s">
        <v>48</v>
      </c>
      <c r="K67" s="2" t="s">
        <v>49</v>
      </c>
      <c r="L67" s="2" t="s">
        <v>50</v>
      </c>
      <c r="M67" s="2" t="s">
        <v>35</v>
      </c>
      <c r="N67" s="2" t="s">
        <v>494</v>
      </c>
      <c r="O67" s="2">
        <v>0.77</v>
      </c>
      <c r="P67" s="2">
        <v>0.77</v>
      </c>
      <c r="Q67" s="2" t="s">
        <v>122</v>
      </c>
    </row>
    <row r="68" spans="1:17" x14ac:dyDescent="0.35">
      <c r="A68" s="2">
        <v>202602</v>
      </c>
      <c r="B68" s="2">
        <v>46081</v>
      </c>
      <c r="C68" s="2" t="s">
        <v>101</v>
      </c>
      <c r="D68" s="2" t="s">
        <v>99</v>
      </c>
      <c r="E68" s="2">
        <v>1900</v>
      </c>
      <c r="F68" s="2" t="s">
        <v>360</v>
      </c>
      <c r="G68" s="2" t="s">
        <v>361</v>
      </c>
      <c r="H68" s="2">
        <v>3900</v>
      </c>
      <c r="I68" s="2" t="s">
        <v>31</v>
      </c>
      <c r="J68" s="2" t="s">
        <v>13</v>
      </c>
      <c r="K68" s="2" t="s">
        <v>31</v>
      </c>
      <c r="L68" s="2" t="s">
        <v>31</v>
      </c>
      <c r="M68" s="2" t="s">
        <v>15</v>
      </c>
      <c r="N68" s="2" t="s">
        <v>485</v>
      </c>
      <c r="O68" s="2">
        <v>7.1980000000000004</v>
      </c>
      <c r="P68" s="2">
        <v>-7.1980000000000004</v>
      </c>
      <c r="Q68" s="2" t="s">
        <v>122</v>
      </c>
    </row>
    <row r="69" spans="1:17" x14ac:dyDescent="0.35">
      <c r="A69" s="2">
        <v>202602</v>
      </c>
      <c r="B69" s="2">
        <v>46081</v>
      </c>
      <c r="C69" s="2" t="s">
        <v>101</v>
      </c>
      <c r="D69" s="2" t="s">
        <v>99</v>
      </c>
      <c r="E69" s="2">
        <v>1900</v>
      </c>
      <c r="F69" s="2" t="s">
        <v>360</v>
      </c>
      <c r="G69" s="2" t="s">
        <v>361</v>
      </c>
      <c r="H69" s="2">
        <v>3400</v>
      </c>
      <c r="I69" s="2" t="s">
        <v>486</v>
      </c>
      <c r="J69" s="2" t="s">
        <v>13</v>
      </c>
      <c r="K69" s="2" t="s">
        <v>22</v>
      </c>
      <c r="L69" s="2" t="s">
        <v>23</v>
      </c>
      <c r="M69" s="2" t="s">
        <v>15</v>
      </c>
      <c r="N69" s="2" t="s">
        <v>487</v>
      </c>
      <c r="O69" s="2">
        <v>0.224</v>
      </c>
      <c r="P69" s="2">
        <v>-0.224</v>
      </c>
      <c r="Q69" s="2" t="s">
        <v>122</v>
      </c>
    </row>
    <row r="70" spans="1:17" x14ac:dyDescent="0.35">
      <c r="A70" s="2">
        <v>202602</v>
      </c>
      <c r="B70" s="2">
        <v>46081</v>
      </c>
      <c r="C70" s="2" t="s">
        <v>101</v>
      </c>
      <c r="D70" s="2" t="s">
        <v>99</v>
      </c>
      <c r="E70" s="2">
        <v>1900</v>
      </c>
      <c r="F70" s="2" t="s">
        <v>360</v>
      </c>
      <c r="G70" s="2" t="s">
        <v>361</v>
      </c>
      <c r="H70" s="2">
        <v>3670</v>
      </c>
      <c r="I70" s="2" t="s">
        <v>488</v>
      </c>
      <c r="J70" s="2" t="s">
        <v>13</v>
      </c>
      <c r="K70" s="2" t="s">
        <v>29</v>
      </c>
      <c r="L70" s="2" t="s">
        <v>30</v>
      </c>
      <c r="M70" s="2" t="s">
        <v>15</v>
      </c>
      <c r="N70" s="2" t="s">
        <v>489</v>
      </c>
      <c r="O70" s="2">
        <v>1.875</v>
      </c>
      <c r="P70" s="2">
        <v>-1.875</v>
      </c>
      <c r="Q70" s="2" t="s">
        <v>122</v>
      </c>
    </row>
    <row r="71" spans="1:17" x14ac:dyDescent="0.35">
      <c r="A71" s="2">
        <v>202602</v>
      </c>
      <c r="B71" s="2">
        <v>46081</v>
      </c>
      <c r="C71" s="2" t="s">
        <v>101</v>
      </c>
      <c r="D71" s="2" t="s">
        <v>99</v>
      </c>
      <c r="E71" s="2">
        <v>1900</v>
      </c>
      <c r="F71" s="2" t="s">
        <v>360</v>
      </c>
      <c r="G71" s="2" t="s">
        <v>361</v>
      </c>
      <c r="H71" s="2">
        <v>5000</v>
      </c>
      <c r="I71" s="2" t="s">
        <v>490</v>
      </c>
      <c r="J71" s="2" t="s">
        <v>33</v>
      </c>
      <c r="K71" s="2" t="s">
        <v>34</v>
      </c>
      <c r="L71" s="2" t="s">
        <v>36</v>
      </c>
      <c r="M71" s="2" t="s">
        <v>35</v>
      </c>
      <c r="N71" s="2" t="s">
        <v>491</v>
      </c>
      <c r="O71" s="2">
        <v>6.1580000000000004</v>
      </c>
      <c r="P71" s="2">
        <v>6.1580000000000004</v>
      </c>
      <c r="Q71" s="2" t="s">
        <v>122</v>
      </c>
    </row>
    <row r="72" spans="1:17" x14ac:dyDescent="0.35">
      <c r="A72" s="2">
        <v>202602</v>
      </c>
      <c r="B72" s="2">
        <v>46081</v>
      </c>
      <c r="C72" s="2" t="s">
        <v>101</v>
      </c>
      <c r="D72" s="2" t="s">
        <v>99</v>
      </c>
      <c r="E72" s="2">
        <v>1900</v>
      </c>
      <c r="F72" s="2" t="s">
        <v>360</v>
      </c>
      <c r="G72" s="2" t="s">
        <v>361</v>
      </c>
      <c r="H72" s="2">
        <v>6300</v>
      </c>
      <c r="I72" s="2" t="s">
        <v>54</v>
      </c>
      <c r="J72" s="2" t="s">
        <v>48</v>
      </c>
      <c r="K72" s="2" t="s">
        <v>53</v>
      </c>
      <c r="L72" s="2" t="s">
        <v>54</v>
      </c>
      <c r="M72" s="2" t="s">
        <v>35</v>
      </c>
      <c r="N72" s="2" t="s">
        <v>492</v>
      </c>
      <c r="O72" s="2">
        <v>2.12</v>
      </c>
      <c r="P72" s="2">
        <v>2.12</v>
      </c>
      <c r="Q72" s="2" t="s">
        <v>122</v>
      </c>
    </row>
    <row r="73" spans="1:17" x14ac:dyDescent="0.35">
      <c r="A73" s="2">
        <v>202602</v>
      </c>
      <c r="B73" s="2">
        <v>46081</v>
      </c>
      <c r="C73" s="2" t="s">
        <v>101</v>
      </c>
      <c r="D73" s="2" t="s">
        <v>99</v>
      </c>
      <c r="E73" s="2">
        <v>1900</v>
      </c>
      <c r="F73" s="2" t="s">
        <v>360</v>
      </c>
      <c r="G73" s="2" t="s">
        <v>361</v>
      </c>
      <c r="H73" s="2">
        <v>6050</v>
      </c>
      <c r="I73" s="2" t="s">
        <v>493</v>
      </c>
      <c r="J73" s="2" t="s">
        <v>48</v>
      </c>
      <c r="K73" s="2" t="s">
        <v>49</v>
      </c>
      <c r="L73" s="2" t="s">
        <v>50</v>
      </c>
      <c r="M73" s="2" t="s">
        <v>35</v>
      </c>
      <c r="N73" s="2" t="s">
        <v>494</v>
      </c>
      <c r="O73" s="2">
        <v>0.99</v>
      </c>
      <c r="P73" s="2">
        <v>0.99</v>
      </c>
      <c r="Q73" s="2" t="s">
        <v>122</v>
      </c>
    </row>
    <row r="74" spans="1:17" x14ac:dyDescent="0.35">
      <c r="A74" s="2">
        <v>202603</v>
      </c>
      <c r="B74" s="2">
        <v>46112</v>
      </c>
      <c r="C74" s="2" t="s">
        <v>102</v>
      </c>
      <c r="D74" s="2" t="s">
        <v>99</v>
      </c>
      <c r="E74" s="2">
        <v>1100</v>
      </c>
      <c r="F74" s="2" t="s">
        <v>339</v>
      </c>
      <c r="G74" s="2" t="s">
        <v>340</v>
      </c>
      <c r="H74" s="2">
        <v>3900</v>
      </c>
      <c r="I74" s="2" t="s">
        <v>31</v>
      </c>
      <c r="J74" s="2" t="s">
        <v>13</v>
      </c>
      <c r="K74" s="2" t="s">
        <v>31</v>
      </c>
      <c r="L74" s="2" t="s">
        <v>31</v>
      </c>
      <c r="M74" s="2" t="s">
        <v>15</v>
      </c>
      <c r="N74" s="2" t="s">
        <v>485</v>
      </c>
      <c r="O74" s="2">
        <v>20.56</v>
      </c>
      <c r="P74" s="2">
        <v>-20.56</v>
      </c>
      <c r="Q74" s="2" t="s">
        <v>122</v>
      </c>
    </row>
    <row r="75" spans="1:17" x14ac:dyDescent="0.35">
      <c r="A75" s="2">
        <v>202603</v>
      </c>
      <c r="B75" s="2">
        <v>46112</v>
      </c>
      <c r="C75" s="2" t="s">
        <v>102</v>
      </c>
      <c r="D75" s="2" t="s">
        <v>99</v>
      </c>
      <c r="E75" s="2">
        <v>1100</v>
      </c>
      <c r="F75" s="2" t="s">
        <v>339</v>
      </c>
      <c r="G75" s="2" t="s">
        <v>340</v>
      </c>
      <c r="H75" s="2">
        <v>3400</v>
      </c>
      <c r="I75" s="2" t="s">
        <v>486</v>
      </c>
      <c r="J75" s="2" t="s">
        <v>13</v>
      </c>
      <c r="K75" s="2" t="s">
        <v>22</v>
      </c>
      <c r="L75" s="2" t="s">
        <v>23</v>
      </c>
      <c r="M75" s="2" t="s">
        <v>15</v>
      </c>
      <c r="N75" s="2" t="s">
        <v>487</v>
      </c>
      <c r="O75" s="2">
        <v>1.8069999999999999</v>
      </c>
      <c r="P75" s="2">
        <v>-1.8069999999999999</v>
      </c>
      <c r="Q75" s="2" t="s">
        <v>122</v>
      </c>
    </row>
    <row r="76" spans="1:17" x14ac:dyDescent="0.35">
      <c r="A76" s="2">
        <v>202603</v>
      </c>
      <c r="B76" s="2">
        <v>46112</v>
      </c>
      <c r="C76" s="2" t="s">
        <v>102</v>
      </c>
      <c r="D76" s="2" t="s">
        <v>99</v>
      </c>
      <c r="E76" s="2">
        <v>1100</v>
      </c>
      <c r="F76" s="2" t="s">
        <v>339</v>
      </c>
      <c r="G76" s="2" t="s">
        <v>340</v>
      </c>
      <c r="H76" s="2">
        <v>3670</v>
      </c>
      <c r="I76" s="2" t="s">
        <v>488</v>
      </c>
      <c r="J76" s="2" t="s">
        <v>13</v>
      </c>
      <c r="K76" s="2" t="s">
        <v>29</v>
      </c>
      <c r="L76" s="2" t="s">
        <v>30</v>
      </c>
      <c r="M76" s="2" t="s">
        <v>15</v>
      </c>
      <c r="N76" s="2" t="s">
        <v>489</v>
      </c>
      <c r="O76" s="2">
        <v>0.63600000000000001</v>
      </c>
      <c r="P76" s="2">
        <v>-0.63600000000000001</v>
      </c>
      <c r="Q76" s="2" t="s">
        <v>122</v>
      </c>
    </row>
    <row r="77" spans="1:17" x14ac:dyDescent="0.35">
      <c r="A77" s="2">
        <v>202603</v>
      </c>
      <c r="B77" s="2">
        <v>46112</v>
      </c>
      <c r="C77" s="2" t="s">
        <v>102</v>
      </c>
      <c r="D77" s="2" t="s">
        <v>99</v>
      </c>
      <c r="E77" s="2">
        <v>1100</v>
      </c>
      <c r="F77" s="2" t="s">
        <v>339</v>
      </c>
      <c r="G77" s="2" t="s">
        <v>340</v>
      </c>
      <c r="H77" s="2">
        <v>5000</v>
      </c>
      <c r="I77" s="2" t="s">
        <v>490</v>
      </c>
      <c r="J77" s="2" t="s">
        <v>33</v>
      </c>
      <c r="K77" s="2" t="s">
        <v>34</v>
      </c>
      <c r="L77" s="2" t="s">
        <v>36</v>
      </c>
      <c r="M77" s="2" t="s">
        <v>35</v>
      </c>
      <c r="N77" s="2" t="s">
        <v>491</v>
      </c>
      <c r="O77" s="2">
        <v>14.917999999999999</v>
      </c>
      <c r="P77" s="2">
        <v>14.917999999999999</v>
      </c>
      <c r="Q77" s="2" t="s">
        <v>122</v>
      </c>
    </row>
    <row r="78" spans="1:17" x14ac:dyDescent="0.35">
      <c r="A78" s="2">
        <v>202603</v>
      </c>
      <c r="B78" s="2">
        <v>46112</v>
      </c>
      <c r="C78" s="2" t="s">
        <v>102</v>
      </c>
      <c r="D78" s="2" t="s">
        <v>99</v>
      </c>
      <c r="E78" s="2">
        <v>1100</v>
      </c>
      <c r="F78" s="2" t="s">
        <v>339</v>
      </c>
      <c r="G78" s="2" t="s">
        <v>340</v>
      </c>
      <c r="H78" s="2">
        <v>6300</v>
      </c>
      <c r="I78" s="2" t="s">
        <v>54</v>
      </c>
      <c r="J78" s="2" t="s">
        <v>48</v>
      </c>
      <c r="K78" s="2" t="s">
        <v>53</v>
      </c>
      <c r="L78" s="2" t="s">
        <v>54</v>
      </c>
      <c r="M78" s="2" t="s">
        <v>35</v>
      </c>
      <c r="N78" s="2" t="s">
        <v>492</v>
      </c>
      <c r="O78" s="2">
        <v>5.7</v>
      </c>
      <c r="P78" s="2">
        <v>5.7</v>
      </c>
      <c r="Q78" s="2" t="s">
        <v>122</v>
      </c>
    </row>
    <row r="79" spans="1:17" x14ac:dyDescent="0.35">
      <c r="A79" s="2">
        <v>202603</v>
      </c>
      <c r="B79" s="2">
        <v>46112</v>
      </c>
      <c r="C79" s="2" t="s">
        <v>102</v>
      </c>
      <c r="D79" s="2" t="s">
        <v>99</v>
      </c>
      <c r="E79" s="2">
        <v>1100</v>
      </c>
      <c r="F79" s="2" t="s">
        <v>339</v>
      </c>
      <c r="G79" s="2" t="s">
        <v>340</v>
      </c>
      <c r="H79" s="2">
        <v>6050</v>
      </c>
      <c r="I79" s="2" t="s">
        <v>493</v>
      </c>
      <c r="J79" s="2" t="s">
        <v>48</v>
      </c>
      <c r="K79" s="2" t="s">
        <v>49</v>
      </c>
      <c r="L79" s="2" t="s">
        <v>50</v>
      </c>
      <c r="M79" s="2" t="s">
        <v>35</v>
      </c>
      <c r="N79" s="2" t="s">
        <v>494</v>
      </c>
      <c r="O79" s="2">
        <v>2.375</v>
      </c>
      <c r="P79" s="2">
        <v>2.375</v>
      </c>
      <c r="Q79" s="2" t="s">
        <v>122</v>
      </c>
    </row>
    <row r="80" spans="1:17" x14ac:dyDescent="0.35">
      <c r="A80" s="2">
        <v>202603</v>
      </c>
      <c r="B80" s="2">
        <v>46112</v>
      </c>
      <c r="C80" s="2" t="s">
        <v>102</v>
      </c>
      <c r="D80" s="2" t="s">
        <v>99</v>
      </c>
      <c r="E80" s="2">
        <v>1200</v>
      </c>
      <c r="F80" s="2" t="s">
        <v>344</v>
      </c>
      <c r="G80" s="2" t="s">
        <v>345</v>
      </c>
      <c r="H80" s="2">
        <v>3900</v>
      </c>
      <c r="I80" s="2" t="s">
        <v>31</v>
      </c>
      <c r="J80" s="2" t="s">
        <v>13</v>
      </c>
      <c r="K80" s="2" t="s">
        <v>31</v>
      </c>
      <c r="L80" s="2" t="s">
        <v>31</v>
      </c>
      <c r="M80" s="2" t="s">
        <v>15</v>
      </c>
      <c r="N80" s="2" t="s">
        <v>485</v>
      </c>
      <c r="O80" s="2">
        <v>27.757999999999999</v>
      </c>
      <c r="P80" s="2">
        <v>-27.757999999999999</v>
      </c>
      <c r="Q80" s="2" t="s">
        <v>122</v>
      </c>
    </row>
    <row r="81" spans="1:17" x14ac:dyDescent="0.35">
      <c r="A81" s="2">
        <v>202603</v>
      </c>
      <c r="B81" s="2">
        <v>46112</v>
      </c>
      <c r="C81" s="2" t="s">
        <v>102</v>
      </c>
      <c r="D81" s="2" t="s">
        <v>99</v>
      </c>
      <c r="E81" s="2">
        <v>1200</v>
      </c>
      <c r="F81" s="2" t="s">
        <v>344</v>
      </c>
      <c r="G81" s="2" t="s">
        <v>345</v>
      </c>
      <c r="H81" s="2">
        <v>3400</v>
      </c>
      <c r="I81" s="2" t="s">
        <v>486</v>
      </c>
      <c r="J81" s="2" t="s">
        <v>13</v>
      </c>
      <c r="K81" s="2" t="s">
        <v>22</v>
      </c>
      <c r="L81" s="2" t="s">
        <v>23</v>
      </c>
      <c r="M81" s="2" t="s">
        <v>15</v>
      </c>
      <c r="N81" s="2" t="s">
        <v>487</v>
      </c>
      <c r="O81" s="2">
        <v>3.9409999999999998</v>
      </c>
      <c r="P81" s="2">
        <v>-3.9409999999999998</v>
      </c>
      <c r="Q81" s="2" t="s">
        <v>122</v>
      </c>
    </row>
    <row r="82" spans="1:17" x14ac:dyDescent="0.35">
      <c r="A82" s="2">
        <v>202603</v>
      </c>
      <c r="B82" s="2">
        <v>46112</v>
      </c>
      <c r="C82" s="2" t="s">
        <v>102</v>
      </c>
      <c r="D82" s="2" t="s">
        <v>99</v>
      </c>
      <c r="E82" s="2">
        <v>1200</v>
      </c>
      <c r="F82" s="2" t="s">
        <v>344</v>
      </c>
      <c r="G82" s="2" t="s">
        <v>345</v>
      </c>
      <c r="H82" s="2">
        <v>3670</v>
      </c>
      <c r="I82" s="2" t="s">
        <v>488</v>
      </c>
      <c r="J82" s="2" t="s">
        <v>13</v>
      </c>
      <c r="K82" s="2" t="s">
        <v>29</v>
      </c>
      <c r="L82" s="2" t="s">
        <v>30</v>
      </c>
      <c r="M82" s="2" t="s">
        <v>15</v>
      </c>
      <c r="N82" s="2" t="s">
        <v>489</v>
      </c>
      <c r="O82" s="2">
        <v>1.599</v>
      </c>
      <c r="P82" s="2">
        <v>-1.599</v>
      </c>
      <c r="Q82" s="2" t="s">
        <v>122</v>
      </c>
    </row>
    <row r="83" spans="1:17" x14ac:dyDescent="0.35">
      <c r="A83" s="2">
        <v>202603</v>
      </c>
      <c r="B83" s="2">
        <v>46112</v>
      </c>
      <c r="C83" s="2" t="s">
        <v>102</v>
      </c>
      <c r="D83" s="2" t="s">
        <v>99</v>
      </c>
      <c r="E83" s="2">
        <v>1200</v>
      </c>
      <c r="F83" s="2" t="s">
        <v>344</v>
      </c>
      <c r="G83" s="2" t="s">
        <v>345</v>
      </c>
      <c r="H83" s="2">
        <v>5000</v>
      </c>
      <c r="I83" s="2" t="s">
        <v>490</v>
      </c>
      <c r="J83" s="2" t="s">
        <v>33</v>
      </c>
      <c r="K83" s="2" t="s">
        <v>34</v>
      </c>
      <c r="L83" s="2" t="s">
        <v>36</v>
      </c>
      <c r="M83" s="2" t="s">
        <v>35</v>
      </c>
      <c r="N83" s="2" t="s">
        <v>491</v>
      </c>
      <c r="O83" s="2">
        <v>21.196999999999999</v>
      </c>
      <c r="P83" s="2">
        <v>21.196999999999999</v>
      </c>
      <c r="Q83" s="2" t="s">
        <v>122</v>
      </c>
    </row>
    <row r="84" spans="1:17" x14ac:dyDescent="0.35">
      <c r="A84" s="2">
        <v>202603</v>
      </c>
      <c r="B84" s="2">
        <v>46112</v>
      </c>
      <c r="C84" s="2" t="s">
        <v>102</v>
      </c>
      <c r="D84" s="2" t="s">
        <v>99</v>
      </c>
      <c r="E84" s="2">
        <v>1200</v>
      </c>
      <c r="F84" s="2" t="s">
        <v>344</v>
      </c>
      <c r="G84" s="2" t="s">
        <v>345</v>
      </c>
      <c r="H84" s="2">
        <v>6300</v>
      </c>
      <c r="I84" s="2" t="s">
        <v>54</v>
      </c>
      <c r="J84" s="2" t="s">
        <v>48</v>
      </c>
      <c r="K84" s="2" t="s">
        <v>53</v>
      </c>
      <c r="L84" s="2" t="s">
        <v>54</v>
      </c>
      <c r="M84" s="2" t="s">
        <v>35</v>
      </c>
      <c r="N84" s="2" t="s">
        <v>492</v>
      </c>
      <c r="O84" s="2">
        <v>8.1</v>
      </c>
      <c r="P84" s="2">
        <v>8.1</v>
      </c>
      <c r="Q84" s="2" t="s">
        <v>122</v>
      </c>
    </row>
    <row r="85" spans="1:17" x14ac:dyDescent="0.35">
      <c r="A85" s="2">
        <v>202603</v>
      </c>
      <c r="B85" s="2">
        <v>46112</v>
      </c>
      <c r="C85" s="2" t="s">
        <v>102</v>
      </c>
      <c r="D85" s="2" t="s">
        <v>99</v>
      </c>
      <c r="E85" s="2">
        <v>1200</v>
      </c>
      <c r="F85" s="2" t="s">
        <v>344</v>
      </c>
      <c r="G85" s="2" t="s">
        <v>345</v>
      </c>
      <c r="H85" s="2">
        <v>6050</v>
      </c>
      <c r="I85" s="2" t="s">
        <v>493</v>
      </c>
      <c r="J85" s="2" t="s">
        <v>48</v>
      </c>
      <c r="K85" s="2" t="s">
        <v>49</v>
      </c>
      <c r="L85" s="2" t="s">
        <v>50</v>
      </c>
      <c r="M85" s="2" t="s">
        <v>35</v>
      </c>
      <c r="N85" s="2" t="s">
        <v>494</v>
      </c>
      <c r="O85" s="2">
        <v>4.375</v>
      </c>
      <c r="P85" s="2">
        <v>4.375</v>
      </c>
      <c r="Q85" s="2" t="s">
        <v>122</v>
      </c>
    </row>
    <row r="86" spans="1:17" x14ac:dyDescent="0.35">
      <c r="A86" s="2">
        <v>202603</v>
      </c>
      <c r="B86" s="2">
        <v>46112</v>
      </c>
      <c r="C86" s="2" t="s">
        <v>102</v>
      </c>
      <c r="D86" s="2" t="s">
        <v>99</v>
      </c>
      <c r="E86" s="2">
        <v>1300</v>
      </c>
      <c r="F86" s="2" t="s">
        <v>348</v>
      </c>
      <c r="G86" s="2" t="s">
        <v>349</v>
      </c>
      <c r="H86" s="2">
        <v>3900</v>
      </c>
      <c r="I86" s="2" t="s">
        <v>31</v>
      </c>
      <c r="J86" s="2" t="s">
        <v>13</v>
      </c>
      <c r="K86" s="2" t="s">
        <v>31</v>
      </c>
      <c r="L86" s="2" t="s">
        <v>31</v>
      </c>
      <c r="M86" s="2" t="s">
        <v>15</v>
      </c>
      <c r="N86" s="2" t="s">
        <v>485</v>
      </c>
      <c r="O86" s="2">
        <v>23.641999999999999</v>
      </c>
      <c r="P86" s="2">
        <v>-23.641999999999999</v>
      </c>
      <c r="Q86" s="2" t="s">
        <v>122</v>
      </c>
    </row>
    <row r="87" spans="1:17" x14ac:dyDescent="0.35">
      <c r="A87" s="2">
        <v>202603</v>
      </c>
      <c r="B87" s="2">
        <v>46112</v>
      </c>
      <c r="C87" s="2" t="s">
        <v>102</v>
      </c>
      <c r="D87" s="2" t="s">
        <v>99</v>
      </c>
      <c r="E87" s="2">
        <v>1300</v>
      </c>
      <c r="F87" s="2" t="s">
        <v>348</v>
      </c>
      <c r="G87" s="2" t="s">
        <v>349</v>
      </c>
      <c r="H87" s="2">
        <v>3400</v>
      </c>
      <c r="I87" s="2" t="s">
        <v>486</v>
      </c>
      <c r="J87" s="2" t="s">
        <v>13</v>
      </c>
      <c r="K87" s="2" t="s">
        <v>22</v>
      </c>
      <c r="L87" s="2" t="s">
        <v>23</v>
      </c>
      <c r="M87" s="2" t="s">
        <v>15</v>
      </c>
      <c r="N87" s="2" t="s">
        <v>487</v>
      </c>
      <c r="O87" s="2">
        <v>2.0529999999999999</v>
      </c>
      <c r="P87" s="2">
        <v>-2.0529999999999999</v>
      </c>
      <c r="Q87" s="2" t="s">
        <v>122</v>
      </c>
    </row>
    <row r="88" spans="1:17" x14ac:dyDescent="0.35">
      <c r="A88" s="2">
        <v>202603</v>
      </c>
      <c r="B88" s="2">
        <v>46112</v>
      </c>
      <c r="C88" s="2" t="s">
        <v>102</v>
      </c>
      <c r="D88" s="2" t="s">
        <v>99</v>
      </c>
      <c r="E88" s="2">
        <v>1300</v>
      </c>
      <c r="F88" s="2" t="s">
        <v>348</v>
      </c>
      <c r="G88" s="2" t="s">
        <v>349</v>
      </c>
      <c r="H88" s="2">
        <v>3670</v>
      </c>
      <c r="I88" s="2" t="s">
        <v>488</v>
      </c>
      <c r="J88" s="2" t="s">
        <v>13</v>
      </c>
      <c r="K88" s="2" t="s">
        <v>29</v>
      </c>
      <c r="L88" s="2" t="s">
        <v>30</v>
      </c>
      <c r="M88" s="2" t="s">
        <v>15</v>
      </c>
      <c r="N88" s="2" t="s">
        <v>489</v>
      </c>
      <c r="O88" s="2">
        <v>1.2070000000000001</v>
      </c>
      <c r="P88" s="2">
        <v>-1.2070000000000001</v>
      </c>
      <c r="Q88" s="2" t="s">
        <v>122</v>
      </c>
    </row>
    <row r="89" spans="1:17" x14ac:dyDescent="0.35">
      <c r="A89" s="2">
        <v>202603</v>
      </c>
      <c r="B89" s="2">
        <v>46112</v>
      </c>
      <c r="C89" s="2" t="s">
        <v>102</v>
      </c>
      <c r="D89" s="2" t="s">
        <v>99</v>
      </c>
      <c r="E89" s="2">
        <v>1300</v>
      </c>
      <c r="F89" s="2" t="s">
        <v>348</v>
      </c>
      <c r="G89" s="2" t="s">
        <v>349</v>
      </c>
      <c r="H89" s="2">
        <v>5000</v>
      </c>
      <c r="I89" s="2" t="s">
        <v>490</v>
      </c>
      <c r="J89" s="2" t="s">
        <v>33</v>
      </c>
      <c r="K89" s="2" t="s">
        <v>34</v>
      </c>
      <c r="L89" s="2" t="s">
        <v>36</v>
      </c>
      <c r="M89" s="2" t="s">
        <v>35</v>
      </c>
      <c r="N89" s="2" t="s">
        <v>491</v>
      </c>
      <c r="O89" s="2">
        <v>18.053000000000001</v>
      </c>
      <c r="P89" s="2">
        <v>18.053000000000001</v>
      </c>
      <c r="Q89" s="2" t="s">
        <v>122</v>
      </c>
    </row>
    <row r="90" spans="1:17" x14ac:dyDescent="0.35">
      <c r="A90" s="2">
        <v>202603</v>
      </c>
      <c r="B90" s="2">
        <v>46112</v>
      </c>
      <c r="C90" s="2" t="s">
        <v>102</v>
      </c>
      <c r="D90" s="2" t="s">
        <v>99</v>
      </c>
      <c r="E90" s="2">
        <v>1300</v>
      </c>
      <c r="F90" s="2" t="s">
        <v>348</v>
      </c>
      <c r="G90" s="2" t="s">
        <v>349</v>
      </c>
      <c r="H90" s="2">
        <v>6300</v>
      </c>
      <c r="I90" s="2" t="s">
        <v>54</v>
      </c>
      <c r="J90" s="2" t="s">
        <v>48</v>
      </c>
      <c r="K90" s="2" t="s">
        <v>53</v>
      </c>
      <c r="L90" s="2" t="s">
        <v>54</v>
      </c>
      <c r="M90" s="2" t="s">
        <v>35</v>
      </c>
      <c r="N90" s="2" t="s">
        <v>492</v>
      </c>
      <c r="O90" s="2">
        <v>6.9</v>
      </c>
      <c r="P90" s="2">
        <v>6.9</v>
      </c>
      <c r="Q90" s="2" t="s">
        <v>122</v>
      </c>
    </row>
    <row r="91" spans="1:17" x14ac:dyDescent="0.35">
      <c r="A91" s="2">
        <v>202603</v>
      </c>
      <c r="B91" s="2">
        <v>46112</v>
      </c>
      <c r="C91" s="2" t="s">
        <v>102</v>
      </c>
      <c r="D91" s="2" t="s">
        <v>99</v>
      </c>
      <c r="E91" s="2">
        <v>1300</v>
      </c>
      <c r="F91" s="2" t="s">
        <v>348</v>
      </c>
      <c r="G91" s="2" t="s">
        <v>349</v>
      </c>
      <c r="H91" s="2">
        <v>6050</v>
      </c>
      <c r="I91" s="2" t="s">
        <v>493</v>
      </c>
      <c r="J91" s="2" t="s">
        <v>48</v>
      </c>
      <c r="K91" s="2" t="s">
        <v>49</v>
      </c>
      <c r="L91" s="2" t="s">
        <v>50</v>
      </c>
      <c r="M91" s="2" t="s">
        <v>35</v>
      </c>
      <c r="N91" s="2" t="s">
        <v>494</v>
      </c>
      <c r="O91" s="2">
        <v>2.625</v>
      </c>
      <c r="P91" s="2">
        <v>2.625</v>
      </c>
      <c r="Q91" s="2" t="s">
        <v>122</v>
      </c>
    </row>
    <row r="92" spans="1:17" x14ac:dyDescent="0.35">
      <c r="A92" s="2">
        <v>202603</v>
      </c>
      <c r="B92" s="2">
        <v>46112</v>
      </c>
      <c r="C92" s="2" t="s">
        <v>102</v>
      </c>
      <c r="D92" s="2" t="s">
        <v>99</v>
      </c>
      <c r="E92" s="2">
        <v>1400</v>
      </c>
      <c r="F92" s="2" t="s">
        <v>352</v>
      </c>
      <c r="G92" s="2" t="s">
        <v>353</v>
      </c>
      <c r="H92" s="2">
        <v>3900</v>
      </c>
      <c r="I92" s="2" t="s">
        <v>31</v>
      </c>
      <c r="J92" s="2" t="s">
        <v>13</v>
      </c>
      <c r="K92" s="2" t="s">
        <v>31</v>
      </c>
      <c r="L92" s="2" t="s">
        <v>31</v>
      </c>
      <c r="M92" s="2" t="s">
        <v>15</v>
      </c>
      <c r="N92" s="2" t="s">
        <v>485</v>
      </c>
      <c r="O92" s="2">
        <v>13.362</v>
      </c>
      <c r="P92" s="2">
        <v>-13.362</v>
      </c>
      <c r="Q92" s="2" t="s">
        <v>122</v>
      </c>
    </row>
    <row r="93" spans="1:17" x14ac:dyDescent="0.35">
      <c r="A93" s="2">
        <v>202603</v>
      </c>
      <c r="B93" s="2">
        <v>46112</v>
      </c>
      <c r="C93" s="2" t="s">
        <v>102</v>
      </c>
      <c r="D93" s="2" t="s">
        <v>99</v>
      </c>
      <c r="E93" s="2">
        <v>1400</v>
      </c>
      <c r="F93" s="2" t="s">
        <v>352</v>
      </c>
      <c r="G93" s="2" t="s">
        <v>353</v>
      </c>
      <c r="H93" s="2">
        <v>3400</v>
      </c>
      <c r="I93" s="2" t="s">
        <v>486</v>
      </c>
      <c r="J93" s="2" t="s">
        <v>13</v>
      </c>
      <c r="K93" s="2" t="s">
        <v>22</v>
      </c>
      <c r="L93" s="2" t="s">
        <v>23</v>
      </c>
      <c r="M93" s="2" t="s">
        <v>15</v>
      </c>
      <c r="N93" s="2" t="s">
        <v>487</v>
      </c>
      <c r="O93" s="2">
        <v>1.232</v>
      </c>
      <c r="P93" s="2">
        <v>-1.232</v>
      </c>
      <c r="Q93" s="2" t="s">
        <v>122</v>
      </c>
    </row>
    <row r="94" spans="1:17" x14ac:dyDescent="0.35">
      <c r="A94" s="2">
        <v>202603</v>
      </c>
      <c r="B94" s="2">
        <v>46112</v>
      </c>
      <c r="C94" s="2" t="s">
        <v>102</v>
      </c>
      <c r="D94" s="2" t="s">
        <v>99</v>
      </c>
      <c r="E94" s="2">
        <v>1400</v>
      </c>
      <c r="F94" s="2" t="s">
        <v>352</v>
      </c>
      <c r="G94" s="2" t="s">
        <v>353</v>
      </c>
      <c r="H94" s="2">
        <v>3670</v>
      </c>
      <c r="I94" s="2" t="s">
        <v>488</v>
      </c>
      <c r="J94" s="2" t="s">
        <v>13</v>
      </c>
      <c r="K94" s="2" t="s">
        <v>29</v>
      </c>
      <c r="L94" s="2" t="s">
        <v>30</v>
      </c>
      <c r="M94" s="2" t="s">
        <v>15</v>
      </c>
      <c r="N94" s="2" t="s">
        <v>489</v>
      </c>
      <c r="O94" s="2">
        <v>0.72599999999999998</v>
      </c>
      <c r="P94" s="2">
        <v>-0.72599999999999998</v>
      </c>
      <c r="Q94" s="2" t="s">
        <v>122</v>
      </c>
    </row>
    <row r="95" spans="1:17" x14ac:dyDescent="0.35">
      <c r="A95" s="2">
        <v>202603</v>
      </c>
      <c r="B95" s="2">
        <v>46112</v>
      </c>
      <c r="C95" s="2" t="s">
        <v>102</v>
      </c>
      <c r="D95" s="2" t="s">
        <v>99</v>
      </c>
      <c r="E95" s="2">
        <v>1400</v>
      </c>
      <c r="F95" s="2" t="s">
        <v>352</v>
      </c>
      <c r="G95" s="2" t="s">
        <v>353</v>
      </c>
      <c r="H95" s="2">
        <v>5000</v>
      </c>
      <c r="I95" s="2" t="s">
        <v>490</v>
      </c>
      <c r="J95" s="2" t="s">
        <v>33</v>
      </c>
      <c r="K95" s="2" t="s">
        <v>34</v>
      </c>
      <c r="L95" s="2" t="s">
        <v>36</v>
      </c>
      <c r="M95" s="2" t="s">
        <v>35</v>
      </c>
      <c r="N95" s="2" t="s">
        <v>491</v>
      </c>
      <c r="O95" s="2">
        <v>10.202999999999999</v>
      </c>
      <c r="P95" s="2">
        <v>10.202999999999999</v>
      </c>
      <c r="Q95" s="2" t="s">
        <v>122</v>
      </c>
    </row>
    <row r="96" spans="1:17" x14ac:dyDescent="0.35">
      <c r="A96" s="2">
        <v>202603</v>
      </c>
      <c r="B96" s="2">
        <v>46112</v>
      </c>
      <c r="C96" s="2" t="s">
        <v>102</v>
      </c>
      <c r="D96" s="2" t="s">
        <v>99</v>
      </c>
      <c r="E96" s="2">
        <v>1400</v>
      </c>
      <c r="F96" s="2" t="s">
        <v>352</v>
      </c>
      <c r="G96" s="2" t="s">
        <v>353</v>
      </c>
      <c r="H96" s="2">
        <v>6300</v>
      </c>
      <c r="I96" s="2" t="s">
        <v>54</v>
      </c>
      <c r="J96" s="2" t="s">
        <v>48</v>
      </c>
      <c r="K96" s="2" t="s">
        <v>53</v>
      </c>
      <c r="L96" s="2" t="s">
        <v>54</v>
      </c>
      <c r="M96" s="2" t="s">
        <v>35</v>
      </c>
      <c r="N96" s="2" t="s">
        <v>492</v>
      </c>
      <c r="O96" s="2">
        <v>3.9</v>
      </c>
      <c r="P96" s="2">
        <v>3.9</v>
      </c>
      <c r="Q96" s="2" t="s">
        <v>122</v>
      </c>
    </row>
    <row r="97" spans="1:17" x14ac:dyDescent="0.35">
      <c r="A97" s="2">
        <v>202603</v>
      </c>
      <c r="B97" s="2">
        <v>46112</v>
      </c>
      <c r="C97" s="2" t="s">
        <v>102</v>
      </c>
      <c r="D97" s="2" t="s">
        <v>99</v>
      </c>
      <c r="E97" s="2">
        <v>1400</v>
      </c>
      <c r="F97" s="2" t="s">
        <v>352</v>
      </c>
      <c r="G97" s="2" t="s">
        <v>353</v>
      </c>
      <c r="H97" s="2">
        <v>6050</v>
      </c>
      <c r="I97" s="2" t="s">
        <v>493</v>
      </c>
      <c r="J97" s="2" t="s">
        <v>48</v>
      </c>
      <c r="K97" s="2" t="s">
        <v>49</v>
      </c>
      <c r="L97" s="2" t="s">
        <v>50</v>
      </c>
      <c r="M97" s="2" t="s">
        <v>35</v>
      </c>
      <c r="N97" s="2" t="s">
        <v>494</v>
      </c>
      <c r="O97" s="2">
        <v>1.125</v>
      </c>
      <c r="P97" s="2">
        <v>1.125</v>
      </c>
      <c r="Q97" s="2" t="s">
        <v>122</v>
      </c>
    </row>
    <row r="98" spans="1:17" x14ac:dyDescent="0.35">
      <c r="A98" s="2">
        <v>202603</v>
      </c>
      <c r="B98" s="2">
        <v>46112</v>
      </c>
      <c r="C98" s="2" t="s">
        <v>102</v>
      </c>
      <c r="D98" s="2" t="s">
        <v>99</v>
      </c>
      <c r="E98" s="2">
        <v>1500</v>
      </c>
      <c r="F98" s="2" t="s">
        <v>356</v>
      </c>
      <c r="G98" s="2" t="s">
        <v>357</v>
      </c>
      <c r="H98" s="2">
        <v>3900</v>
      </c>
      <c r="I98" s="2" t="s">
        <v>31</v>
      </c>
      <c r="J98" s="2" t="s">
        <v>13</v>
      </c>
      <c r="K98" s="2" t="s">
        <v>31</v>
      </c>
      <c r="L98" s="2" t="s">
        <v>31</v>
      </c>
      <c r="M98" s="2" t="s">
        <v>15</v>
      </c>
      <c r="N98" s="2" t="s">
        <v>485</v>
      </c>
      <c r="O98" s="2">
        <v>10.28</v>
      </c>
      <c r="P98" s="2">
        <v>-10.28</v>
      </c>
      <c r="Q98" s="2" t="s">
        <v>122</v>
      </c>
    </row>
    <row r="99" spans="1:17" x14ac:dyDescent="0.35">
      <c r="A99" s="2">
        <v>202603</v>
      </c>
      <c r="B99" s="2">
        <v>46112</v>
      </c>
      <c r="C99" s="2" t="s">
        <v>102</v>
      </c>
      <c r="D99" s="2" t="s">
        <v>99</v>
      </c>
      <c r="E99" s="2">
        <v>1500</v>
      </c>
      <c r="F99" s="2" t="s">
        <v>356</v>
      </c>
      <c r="G99" s="2" t="s">
        <v>357</v>
      </c>
      <c r="H99" s="2">
        <v>3400</v>
      </c>
      <c r="I99" s="2" t="s">
        <v>486</v>
      </c>
      <c r="J99" s="2" t="s">
        <v>13</v>
      </c>
      <c r="K99" s="2" t="s">
        <v>22</v>
      </c>
      <c r="L99" s="2" t="s">
        <v>23</v>
      </c>
      <c r="M99" s="2" t="s">
        <v>15</v>
      </c>
      <c r="N99" s="2" t="s">
        <v>487</v>
      </c>
      <c r="O99" s="2">
        <v>0.82099999999999995</v>
      </c>
      <c r="P99" s="2">
        <v>-0.82099999999999995</v>
      </c>
      <c r="Q99" s="2" t="s">
        <v>122</v>
      </c>
    </row>
    <row r="100" spans="1:17" x14ac:dyDescent="0.35">
      <c r="A100" s="2">
        <v>202603</v>
      </c>
      <c r="B100" s="2">
        <v>46112</v>
      </c>
      <c r="C100" s="2" t="s">
        <v>102</v>
      </c>
      <c r="D100" s="2" t="s">
        <v>99</v>
      </c>
      <c r="E100" s="2">
        <v>1500</v>
      </c>
      <c r="F100" s="2" t="s">
        <v>356</v>
      </c>
      <c r="G100" s="2" t="s">
        <v>357</v>
      </c>
      <c r="H100" s="2">
        <v>3670</v>
      </c>
      <c r="I100" s="2" t="s">
        <v>488</v>
      </c>
      <c r="J100" s="2" t="s">
        <v>13</v>
      </c>
      <c r="K100" s="2" t="s">
        <v>29</v>
      </c>
      <c r="L100" s="2" t="s">
        <v>30</v>
      </c>
      <c r="M100" s="2" t="s">
        <v>15</v>
      </c>
      <c r="N100" s="2" t="s">
        <v>489</v>
      </c>
      <c r="O100" s="2">
        <v>0.48099999999999998</v>
      </c>
      <c r="P100" s="2">
        <v>-0.48099999999999998</v>
      </c>
      <c r="Q100" s="2" t="s">
        <v>122</v>
      </c>
    </row>
    <row r="101" spans="1:17" x14ac:dyDescent="0.35">
      <c r="A101" s="2">
        <v>202603</v>
      </c>
      <c r="B101" s="2">
        <v>46112</v>
      </c>
      <c r="C101" s="2" t="s">
        <v>102</v>
      </c>
      <c r="D101" s="2" t="s">
        <v>99</v>
      </c>
      <c r="E101" s="2">
        <v>1500</v>
      </c>
      <c r="F101" s="2" t="s">
        <v>356</v>
      </c>
      <c r="G101" s="2" t="s">
        <v>357</v>
      </c>
      <c r="H101" s="2">
        <v>5000</v>
      </c>
      <c r="I101" s="2" t="s">
        <v>490</v>
      </c>
      <c r="J101" s="2" t="s">
        <v>33</v>
      </c>
      <c r="K101" s="2" t="s">
        <v>34</v>
      </c>
      <c r="L101" s="2" t="s">
        <v>36</v>
      </c>
      <c r="M101" s="2" t="s">
        <v>35</v>
      </c>
      <c r="N101" s="2" t="s">
        <v>491</v>
      </c>
      <c r="O101" s="2">
        <v>7.85</v>
      </c>
      <c r="P101" s="2">
        <v>7.85</v>
      </c>
      <c r="Q101" s="2" t="s">
        <v>122</v>
      </c>
    </row>
    <row r="102" spans="1:17" x14ac:dyDescent="0.35">
      <c r="A102" s="2">
        <v>202603</v>
      </c>
      <c r="B102" s="2">
        <v>46112</v>
      </c>
      <c r="C102" s="2" t="s">
        <v>102</v>
      </c>
      <c r="D102" s="2" t="s">
        <v>99</v>
      </c>
      <c r="E102" s="2">
        <v>1500</v>
      </c>
      <c r="F102" s="2" t="s">
        <v>356</v>
      </c>
      <c r="G102" s="2" t="s">
        <v>357</v>
      </c>
      <c r="H102" s="2">
        <v>6300</v>
      </c>
      <c r="I102" s="2" t="s">
        <v>54</v>
      </c>
      <c r="J102" s="2" t="s">
        <v>48</v>
      </c>
      <c r="K102" s="2" t="s">
        <v>53</v>
      </c>
      <c r="L102" s="2" t="s">
        <v>54</v>
      </c>
      <c r="M102" s="2" t="s">
        <v>35</v>
      </c>
      <c r="N102" s="2" t="s">
        <v>492</v>
      </c>
      <c r="O102" s="2">
        <v>3</v>
      </c>
      <c r="P102" s="2">
        <v>3</v>
      </c>
      <c r="Q102" s="2" t="s">
        <v>122</v>
      </c>
    </row>
    <row r="103" spans="1:17" x14ac:dyDescent="0.35">
      <c r="A103" s="2">
        <v>202603</v>
      </c>
      <c r="B103" s="2">
        <v>46112</v>
      </c>
      <c r="C103" s="2" t="s">
        <v>102</v>
      </c>
      <c r="D103" s="2" t="s">
        <v>99</v>
      </c>
      <c r="E103" s="2">
        <v>1500</v>
      </c>
      <c r="F103" s="2" t="s">
        <v>356</v>
      </c>
      <c r="G103" s="2" t="s">
        <v>357</v>
      </c>
      <c r="H103" s="2">
        <v>6050</v>
      </c>
      <c r="I103" s="2" t="s">
        <v>493</v>
      </c>
      <c r="J103" s="2" t="s">
        <v>48</v>
      </c>
      <c r="K103" s="2" t="s">
        <v>49</v>
      </c>
      <c r="L103" s="2" t="s">
        <v>50</v>
      </c>
      <c r="M103" s="2" t="s">
        <v>35</v>
      </c>
      <c r="N103" s="2" t="s">
        <v>494</v>
      </c>
      <c r="O103" s="2">
        <v>0.875</v>
      </c>
      <c r="P103" s="2">
        <v>0.875</v>
      </c>
      <c r="Q103" s="2" t="s">
        <v>122</v>
      </c>
    </row>
    <row r="104" spans="1:17" x14ac:dyDescent="0.35">
      <c r="A104" s="2">
        <v>202603</v>
      </c>
      <c r="B104" s="2">
        <v>46112</v>
      </c>
      <c r="C104" s="2" t="s">
        <v>102</v>
      </c>
      <c r="D104" s="2" t="s">
        <v>99</v>
      </c>
      <c r="E104" s="2">
        <v>1900</v>
      </c>
      <c r="F104" s="2" t="s">
        <v>360</v>
      </c>
      <c r="G104" s="2" t="s">
        <v>361</v>
      </c>
      <c r="H104" s="2">
        <v>3900</v>
      </c>
      <c r="I104" s="2" t="s">
        <v>31</v>
      </c>
      <c r="J104" s="2" t="s">
        <v>13</v>
      </c>
      <c r="K104" s="2" t="s">
        <v>31</v>
      </c>
      <c r="L104" s="2" t="s">
        <v>31</v>
      </c>
      <c r="M104" s="2" t="s">
        <v>15</v>
      </c>
      <c r="N104" s="2" t="s">
        <v>485</v>
      </c>
      <c r="O104" s="2">
        <v>7.1980000000000004</v>
      </c>
      <c r="P104" s="2">
        <v>-7.1980000000000004</v>
      </c>
      <c r="Q104" s="2" t="s">
        <v>122</v>
      </c>
    </row>
    <row r="105" spans="1:17" x14ac:dyDescent="0.35">
      <c r="A105" s="2">
        <v>202603</v>
      </c>
      <c r="B105" s="2">
        <v>46112</v>
      </c>
      <c r="C105" s="2" t="s">
        <v>102</v>
      </c>
      <c r="D105" s="2" t="s">
        <v>99</v>
      </c>
      <c r="E105" s="2">
        <v>1900</v>
      </c>
      <c r="F105" s="2" t="s">
        <v>360</v>
      </c>
      <c r="G105" s="2" t="s">
        <v>361</v>
      </c>
      <c r="H105" s="2">
        <v>3400</v>
      </c>
      <c r="I105" s="2" t="s">
        <v>486</v>
      </c>
      <c r="J105" s="2" t="s">
        <v>13</v>
      </c>
      <c r="K105" s="2" t="s">
        <v>22</v>
      </c>
      <c r="L105" s="2" t="s">
        <v>23</v>
      </c>
      <c r="M105" s="2" t="s">
        <v>15</v>
      </c>
      <c r="N105" s="2" t="s">
        <v>487</v>
      </c>
      <c r="O105" s="2">
        <v>0.246</v>
      </c>
      <c r="P105" s="2">
        <v>-0.246</v>
      </c>
      <c r="Q105" s="2" t="s">
        <v>122</v>
      </c>
    </row>
    <row r="106" spans="1:17" x14ac:dyDescent="0.35">
      <c r="A106" s="2">
        <v>202603</v>
      </c>
      <c r="B106" s="2">
        <v>46112</v>
      </c>
      <c r="C106" s="2" t="s">
        <v>102</v>
      </c>
      <c r="D106" s="2" t="s">
        <v>99</v>
      </c>
      <c r="E106" s="2">
        <v>1900</v>
      </c>
      <c r="F106" s="2" t="s">
        <v>360</v>
      </c>
      <c r="G106" s="2" t="s">
        <v>361</v>
      </c>
      <c r="H106" s="2">
        <v>3670</v>
      </c>
      <c r="I106" s="2" t="s">
        <v>488</v>
      </c>
      <c r="J106" s="2" t="s">
        <v>13</v>
      </c>
      <c r="K106" s="2" t="s">
        <v>29</v>
      </c>
      <c r="L106" s="2" t="s">
        <v>30</v>
      </c>
      <c r="M106" s="2" t="s">
        <v>15</v>
      </c>
      <c r="N106" s="2" t="s">
        <v>489</v>
      </c>
      <c r="O106" s="2">
        <v>1.55</v>
      </c>
      <c r="P106" s="2">
        <v>-1.55</v>
      </c>
      <c r="Q106" s="2" t="s">
        <v>122</v>
      </c>
    </row>
    <row r="107" spans="1:17" x14ac:dyDescent="0.35">
      <c r="A107" s="2">
        <v>202603</v>
      </c>
      <c r="B107" s="2">
        <v>46112</v>
      </c>
      <c r="C107" s="2" t="s">
        <v>102</v>
      </c>
      <c r="D107" s="2" t="s">
        <v>99</v>
      </c>
      <c r="E107" s="2">
        <v>1900</v>
      </c>
      <c r="F107" s="2" t="s">
        <v>360</v>
      </c>
      <c r="G107" s="2" t="s">
        <v>361</v>
      </c>
      <c r="H107" s="2">
        <v>5000</v>
      </c>
      <c r="I107" s="2" t="s">
        <v>490</v>
      </c>
      <c r="J107" s="2" t="s">
        <v>33</v>
      </c>
      <c r="K107" s="2" t="s">
        <v>34</v>
      </c>
      <c r="L107" s="2" t="s">
        <v>36</v>
      </c>
      <c r="M107" s="2" t="s">
        <v>35</v>
      </c>
      <c r="N107" s="2" t="s">
        <v>491</v>
      </c>
      <c r="O107" s="2">
        <v>6.2779999999999996</v>
      </c>
      <c r="P107" s="2">
        <v>6.2779999999999996</v>
      </c>
      <c r="Q107" s="2" t="s">
        <v>122</v>
      </c>
    </row>
    <row r="108" spans="1:17" x14ac:dyDescent="0.35">
      <c r="A108" s="2">
        <v>202603</v>
      </c>
      <c r="B108" s="2">
        <v>46112</v>
      </c>
      <c r="C108" s="2" t="s">
        <v>102</v>
      </c>
      <c r="D108" s="2" t="s">
        <v>99</v>
      </c>
      <c r="E108" s="2">
        <v>1900</v>
      </c>
      <c r="F108" s="2" t="s">
        <v>360</v>
      </c>
      <c r="G108" s="2" t="s">
        <v>361</v>
      </c>
      <c r="H108" s="2">
        <v>6300</v>
      </c>
      <c r="I108" s="2" t="s">
        <v>54</v>
      </c>
      <c r="J108" s="2" t="s">
        <v>48</v>
      </c>
      <c r="K108" s="2" t="s">
        <v>53</v>
      </c>
      <c r="L108" s="2" t="s">
        <v>54</v>
      </c>
      <c r="M108" s="2" t="s">
        <v>35</v>
      </c>
      <c r="N108" s="2" t="s">
        <v>492</v>
      </c>
      <c r="O108" s="2">
        <v>2.4</v>
      </c>
      <c r="P108" s="2">
        <v>2.4</v>
      </c>
      <c r="Q108" s="2" t="s">
        <v>122</v>
      </c>
    </row>
    <row r="109" spans="1:17" x14ac:dyDescent="0.35">
      <c r="A109" s="2">
        <v>202603</v>
      </c>
      <c r="B109" s="2">
        <v>46112</v>
      </c>
      <c r="C109" s="2" t="s">
        <v>102</v>
      </c>
      <c r="D109" s="2" t="s">
        <v>99</v>
      </c>
      <c r="E109" s="2">
        <v>1900</v>
      </c>
      <c r="F109" s="2" t="s">
        <v>360</v>
      </c>
      <c r="G109" s="2" t="s">
        <v>361</v>
      </c>
      <c r="H109" s="2">
        <v>6050</v>
      </c>
      <c r="I109" s="2" t="s">
        <v>493</v>
      </c>
      <c r="J109" s="2" t="s">
        <v>48</v>
      </c>
      <c r="K109" s="2" t="s">
        <v>49</v>
      </c>
      <c r="L109" s="2" t="s">
        <v>50</v>
      </c>
      <c r="M109" s="2" t="s">
        <v>35</v>
      </c>
      <c r="N109" s="2" t="s">
        <v>494</v>
      </c>
      <c r="O109" s="2">
        <v>1.125</v>
      </c>
      <c r="P109" s="2">
        <v>1.125</v>
      </c>
      <c r="Q109" s="2" t="s">
        <v>122</v>
      </c>
    </row>
    <row r="110" spans="1:17" x14ac:dyDescent="0.35">
      <c r="A110" s="2">
        <v>202604</v>
      </c>
      <c r="B110" s="2">
        <v>46142</v>
      </c>
      <c r="C110" s="2" t="s">
        <v>103</v>
      </c>
      <c r="D110" s="2" t="s">
        <v>104</v>
      </c>
      <c r="E110" s="2">
        <v>1100</v>
      </c>
      <c r="F110" s="2" t="s">
        <v>339</v>
      </c>
      <c r="G110" s="2" t="s">
        <v>340</v>
      </c>
      <c r="H110" s="2">
        <v>3900</v>
      </c>
      <c r="I110" s="2" t="s">
        <v>31</v>
      </c>
      <c r="J110" s="2" t="s">
        <v>13</v>
      </c>
      <c r="K110" s="2" t="s">
        <v>31</v>
      </c>
      <c r="L110" s="2" t="s">
        <v>31</v>
      </c>
      <c r="M110" s="2" t="s">
        <v>15</v>
      </c>
      <c r="N110" s="2" t="s">
        <v>485</v>
      </c>
      <c r="O110" s="2">
        <v>20.56</v>
      </c>
      <c r="P110" s="2">
        <v>-20.56</v>
      </c>
      <c r="Q110" s="2" t="s">
        <v>122</v>
      </c>
    </row>
    <row r="111" spans="1:17" x14ac:dyDescent="0.35">
      <c r="A111" s="2">
        <v>202604</v>
      </c>
      <c r="B111" s="2">
        <v>46142</v>
      </c>
      <c r="C111" s="2" t="s">
        <v>103</v>
      </c>
      <c r="D111" s="2" t="s">
        <v>104</v>
      </c>
      <c r="E111" s="2">
        <v>1100</v>
      </c>
      <c r="F111" s="2" t="s">
        <v>339</v>
      </c>
      <c r="G111" s="2" t="s">
        <v>340</v>
      </c>
      <c r="H111" s="2">
        <v>3400</v>
      </c>
      <c r="I111" s="2" t="s">
        <v>486</v>
      </c>
      <c r="J111" s="2" t="s">
        <v>13</v>
      </c>
      <c r="K111" s="2" t="s">
        <v>22</v>
      </c>
      <c r="L111" s="2" t="s">
        <v>23</v>
      </c>
      <c r="M111" s="2" t="s">
        <v>15</v>
      </c>
      <c r="N111" s="2" t="s">
        <v>487</v>
      </c>
      <c r="O111" s="2">
        <v>1.8779999999999999</v>
      </c>
      <c r="P111" s="2">
        <v>-1.8779999999999999</v>
      </c>
      <c r="Q111" s="2" t="s">
        <v>122</v>
      </c>
    </row>
    <row r="112" spans="1:17" x14ac:dyDescent="0.35">
      <c r="A112" s="2">
        <v>202604</v>
      </c>
      <c r="B112" s="2">
        <v>46142</v>
      </c>
      <c r="C112" s="2" t="s">
        <v>103</v>
      </c>
      <c r="D112" s="2" t="s">
        <v>104</v>
      </c>
      <c r="E112" s="2">
        <v>1100</v>
      </c>
      <c r="F112" s="2" t="s">
        <v>339</v>
      </c>
      <c r="G112" s="2" t="s">
        <v>340</v>
      </c>
      <c r="H112" s="2">
        <v>3670</v>
      </c>
      <c r="I112" s="2" t="s">
        <v>488</v>
      </c>
      <c r="J112" s="2" t="s">
        <v>13</v>
      </c>
      <c r="K112" s="2" t="s">
        <v>29</v>
      </c>
      <c r="L112" s="2" t="s">
        <v>30</v>
      </c>
      <c r="M112" s="2" t="s">
        <v>15</v>
      </c>
      <c r="N112" s="2" t="s">
        <v>489</v>
      </c>
      <c r="O112" s="2">
        <v>0.65700000000000003</v>
      </c>
      <c r="P112" s="2">
        <v>-0.65700000000000003</v>
      </c>
      <c r="Q112" s="2" t="s">
        <v>122</v>
      </c>
    </row>
    <row r="113" spans="1:17" x14ac:dyDescent="0.35">
      <c r="A113" s="2">
        <v>202604</v>
      </c>
      <c r="B113" s="2">
        <v>46142</v>
      </c>
      <c r="C113" s="2" t="s">
        <v>103</v>
      </c>
      <c r="D113" s="2" t="s">
        <v>104</v>
      </c>
      <c r="E113" s="2">
        <v>1100</v>
      </c>
      <c r="F113" s="2" t="s">
        <v>339</v>
      </c>
      <c r="G113" s="2" t="s">
        <v>340</v>
      </c>
      <c r="H113" s="2">
        <v>5000</v>
      </c>
      <c r="I113" s="2" t="s">
        <v>490</v>
      </c>
      <c r="J113" s="2" t="s">
        <v>33</v>
      </c>
      <c r="K113" s="2" t="s">
        <v>34</v>
      </c>
      <c r="L113" s="2" t="s">
        <v>36</v>
      </c>
      <c r="M113" s="2" t="s">
        <v>35</v>
      </c>
      <c r="N113" s="2" t="s">
        <v>491</v>
      </c>
      <c r="O113" s="2">
        <v>14.823</v>
      </c>
      <c r="P113" s="2">
        <v>14.823</v>
      </c>
      <c r="Q113" s="2" t="s">
        <v>122</v>
      </c>
    </row>
    <row r="114" spans="1:17" x14ac:dyDescent="0.35">
      <c r="A114" s="2">
        <v>202604</v>
      </c>
      <c r="B114" s="2">
        <v>46142</v>
      </c>
      <c r="C114" s="2" t="s">
        <v>103</v>
      </c>
      <c r="D114" s="2" t="s">
        <v>104</v>
      </c>
      <c r="E114" s="2">
        <v>1100</v>
      </c>
      <c r="F114" s="2" t="s">
        <v>339</v>
      </c>
      <c r="G114" s="2" t="s">
        <v>340</v>
      </c>
      <c r="H114" s="2">
        <v>6300</v>
      </c>
      <c r="I114" s="2" t="s">
        <v>54</v>
      </c>
      <c r="J114" s="2" t="s">
        <v>48</v>
      </c>
      <c r="K114" s="2" t="s">
        <v>53</v>
      </c>
      <c r="L114" s="2" t="s">
        <v>54</v>
      </c>
      <c r="M114" s="2" t="s">
        <v>35</v>
      </c>
      <c r="N114" s="2" t="s">
        <v>492</v>
      </c>
      <c r="O114" s="2">
        <v>5.415</v>
      </c>
      <c r="P114" s="2">
        <v>5.415</v>
      </c>
      <c r="Q114" s="2" t="s">
        <v>122</v>
      </c>
    </row>
    <row r="115" spans="1:17" x14ac:dyDescent="0.35">
      <c r="A115" s="2">
        <v>202604</v>
      </c>
      <c r="B115" s="2">
        <v>46142</v>
      </c>
      <c r="C115" s="2" t="s">
        <v>103</v>
      </c>
      <c r="D115" s="2" t="s">
        <v>104</v>
      </c>
      <c r="E115" s="2">
        <v>1100</v>
      </c>
      <c r="F115" s="2" t="s">
        <v>339</v>
      </c>
      <c r="G115" s="2" t="s">
        <v>340</v>
      </c>
      <c r="H115" s="2">
        <v>6050</v>
      </c>
      <c r="I115" s="2" t="s">
        <v>493</v>
      </c>
      <c r="J115" s="2" t="s">
        <v>48</v>
      </c>
      <c r="K115" s="2" t="s">
        <v>49</v>
      </c>
      <c r="L115" s="2" t="s">
        <v>50</v>
      </c>
      <c r="M115" s="2" t="s">
        <v>35</v>
      </c>
      <c r="N115" s="2" t="s">
        <v>494</v>
      </c>
      <c r="O115" s="2">
        <v>2.4700000000000002</v>
      </c>
      <c r="P115" s="2">
        <v>2.4700000000000002</v>
      </c>
      <c r="Q115" s="2" t="s">
        <v>122</v>
      </c>
    </row>
    <row r="116" spans="1:17" x14ac:dyDescent="0.35">
      <c r="A116" s="2">
        <v>202604</v>
      </c>
      <c r="B116" s="2">
        <v>46142</v>
      </c>
      <c r="C116" s="2" t="s">
        <v>103</v>
      </c>
      <c r="D116" s="2" t="s">
        <v>104</v>
      </c>
      <c r="E116" s="2">
        <v>1200</v>
      </c>
      <c r="F116" s="2" t="s">
        <v>344</v>
      </c>
      <c r="G116" s="2" t="s">
        <v>345</v>
      </c>
      <c r="H116" s="2">
        <v>3900</v>
      </c>
      <c r="I116" s="2" t="s">
        <v>31</v>
      </c>
      <c r="J116" s="2" t="s">
        <v>13</v>
      </c>
      <c r="K116" s="2" t="s">
        <v>31</v>
      </c>
      <c r="L116" s="2" t="s">
        <v>31</v>
      </c>
      <c r="M116" s="2" t="s">
        <v>15</v>
      </c>
      <c r="N116" s="2" t="s">
        <v>485</v>
      </c>
      <c r="O116" s="2">
        <v>27.757999999999999</v>
      </c>
      <c r="P116" s="2">
        <v>-27.757999999999999</v>
      </c>
      <c r="Q116" s="2" t="s">
        <v>122</v>
      </c>
    </row>
    <row r="117" spans="1:17" x14ac:dyDescent="0.35">
      <c r="A117" s="2">
        <v>202604</v>
      </c>
      <c r="B117" s="2">
        <v>46142</v>
      </c>
      <c r="C117" s="2" t="s">
        <v>103</v>
      </c>
      <c r="D117" s="2" t="s">
        <v>104</v>
      </c>
      <c r="E117" s="2">
        <v>1200</v>
      </c>
      <c r="F117" s="2" t="s">
        <v>344</v>
      </c>
      <c r="G117" s="2" t="s">
        <v>345</v>
      </c>
      <c r="H117" s="2">
        <v>3400</v>
      </c>
      <c r="I117" s="2" t="s">
        <v>486</v>
      </c>
      <c r="J117" s="2" t="s">
        <v>13</v>
      </c>
      <c r="K117" s="2" t="s">
        <v>22</v>
      </c>
      <c r="L117" s="2" t="s">
        <v>23</v>
      </c>
      <c r="M117" s="2" t="s">
        <v>15</v>
      </c>
      <c r="N117" s="2" t="s">
        <v>487</v>
      </c>
      <c r="O117" s="2">
        <v>4.0979999999999999</v>
      </c>
      <c r="P117" s="2">
        <v>-4.0979999999999999</v>
      </c>
      <c r="Q117" s="2" t="s">
        <v>122</v>
      </c>
    </row>
    <row r="118" spans="1:17" x14ac:dyDescent="0.35">
      <c r="A118" s="2">
        <v>202604</v>
      </c>
      <c r="B118" s="2">
        <v>46142</v>
      </c>
      <c r="C118" s="2" t="s">
        <v>103</v>
      </c>
      <c r="D118" s="2" t="s">
        <v>104</v>
      </c>
      <c r="E118" s="2">
        <v>1200</v>
      </c>
      <c r="F118" s="2" t="s">
        <v>344</v>
      </c>
      <c r="G118" s="2" t="s">
        <v>345</v>
      </c>
      <c r="H118" s="2">
        <v>3670</v>
      </c>
      <c r="I118" s="2" t="s">
        <v>488</v>
      </c>
      <c r="J118" s="2" t="s">
        <v>13</v>
      </c>
      <c r="K118" s="2" t="s">
        <v>29</v>
      </c>
      <c r="L118" s="2" t="s">
        <v>30</v>
      </c>
      <c r="M118" s="2" t="s">
        <v>15</v>
      </c>
      <c r="N118" s="2" t="s">
        <v>489</v>
      </c>
      <c r="O118" s="2">
        <v>1.651</v>
      </c>
      <c r="P118" s="2">
        <v>-1.651</v>
      </c>
      <c r="Q118" s="2" t="s">
        <v>122</v>
      </c>
    </row>
    <row r="119" spans="1:17" x14ac:dyDescent="0.35">
      <c r="A119" s="2">
        <v>202604</v>
      </c>
      <c r="B119" s="2">
        <v>46142</v>
      </c>
      <c r="C119" s="2" t="s">
        <v>103</v>
      </c>
      <c r="D119" s="2" t="s">
        <v>104</v>
      </c>
      <c r="E119" s="2">
        <v>1200</v>
      </c>
      <c r="F119" s="2" t="s">
        <v>344</v>
      </c>
      <c r="G119" s="2" t="s">
        <v>345</v>
      </c>
      <c r="H119" s="2">
        <v>5000</v>
      </c>
      <c r="I119" s="2" t="s">
        <v>490</v>
      </c>
      <c r="J119" s="2" t="s">
        <v>33</v>
      </c>
      <c r="K119" s="2" t="s">
        <v>34</v>
      </c>
      <c r="L119" s="2" t="s">
        <v>36</v>
      </c>
      <c r="M119" s="2" t="s">
        <v>35</v>
      </c>
      <c r="N119" s="2" t="s">
        <v>491</v>
      </c>
      <c r="O119" s="2">
        <v>21.062000000000001</v>
      </c>
      <c r="P119" s="2">
        <v>21.062000000000001</v>
      </c>
      <c r="Q119" s="2" t="s">
        <v>122</v>
      </c>
    </row>
    <row r="120" spans="1:17" x14ac:dyDescent="0.35">
      <c r="A120" s="2">
        <v>202604</v>
      </c>
      <c r="B120" s="2">
        <v>46142</v>
      </c>
      <c r="C120" s="2" t="s">
        <v>103</v>
      </c>
      <c r="D120" s="2" t="s">
        <v>104</v>
      </c>
      <c r="E120" s="2">
        <v>1200</v>
      </c>
      <c r="F120" s="2" t="s">
        <v>344</v>
      </c>
      <c r="G120" s="2" t="s">
        <v>345</v>
      </c>
      <c r="H120" s="2">
        <v>6300</v>
      </c>
      <c r="I120" s="2" t="s">
        <v>54</v>
      </c>
      <c r="J120" s="2" t="s">
        <v>48</v>
      </c>
      <c r="K120" s="2" t="s">
        <v>53</v>
      </c>
      <c r="L120" s="2" t="s">
        <v>54</v>
      </c>
      <c r="M120" s="2" t="s">
        <v>35</v>
      </c>
      <c r="N120" s="2" t="s">
        <v>492</v>
      </c>
      <c r="O120" s="2">
        <v>7.6950000000000003</v>
      </c>
      <c r="P120" s="2">
        <v>7.6950000000000003</v>
      </c>
      <c r="Q120" s="2" t="s">
        <v>122</v>
      </c>
    </row>
    <row r="121" spans="1:17" x14ac:dyDescent="0.35">
      <c r="A121" s="2">
        <v>202604</v>
      </c>
      <c r="B121" s="2">
        <v>46142</v>
      </c>
      <c r="C121" s="2" t="s">
        <v>103</v>
      </c>
      <c r="D121" s="2" t="s">
        <v>104</v>
      </c>
      <c r="E121" s="2">
        <v>1200</v>
      </c>
      <c r="F121" s="2" t="s">
        <v>344</v>
      </c>
      <c r="G121" s="2" t="s">
        <v>345</v>
      </c>
      <c r="H121" s="2">
        <v>6050</v>
      </c>
      <c r="I121" s="2" t="s">
        <v>493</v>
      </c>
      <c r="J121" s="2" t="s">
        <v>48</v>
      </c>
      <c r="K121" s="2" t="s">
        <v>49</v>
      </c>
      <c r="L121" s="2" t="s">
        <v>50</v>
      </c>
      <c r="M121" s="2" t="s">
        <v>35</v>
      </c>
      <c r="N121" s="2" t="s">
        <v>494</v>
      </c>
      <c r="O121" s="2">
        <v>4.55</v>
      </c>
      <c r="P121" s="2">
        <v>4.55</v>
      </c>
      <c r="Q121" s="2" t="s">
        <v>122</v>
      </c>
    </row>
    <row r="122" spans="1:17" x14ac:dyDescent="0.35">
      <c r="A122" s="2">
        <v>202604</v>
      </c>
      <c r="B122" s="2">
        <v>46142</v>
      </c>
      <c r="C122" s="2" t="s">
        <v>103</v>
      </c>
      <c r="D122" s="2" t="s">
        <v>104</v>
      </c>
      <c r="E122" s="2">
        <v>1300</v>
      </c>
      <c r="F122" s="2" t="s">
        <v>348</v>
      </c>
      <c r="G122" s="2" t="s">
        <v>349</v>
      </c>
      <c r="H122" s="2">
        <v>3900</v>
      </c>
      <c r="I122" s="2" t="s">
        <v>31</v>
      </c>
      <c r="J122" s="2" t="s">
        <v>13</v>
      </c>
      <c r="K122" s="2" t="s">
        <v>31</v>
      </c>
      <c r="L122" s="2" t="s">
        <v>31</v>
      </c>
      <c r="M122" s="2" t="s">
        <v>15</v>
      </c>
      <c r="N122" s="2" t="s">
        <v>485</v>
      </c>
      <c r="O122" s="2">
        <v>23.641999999999999</v>
      </c>
      <c r="P122" s="2">
        <v>-23.641999999999999</v>
      </c>
      <c r="Q122" s="2" t="s">
        <v>122</v>
      </c>
    </row>
    <row r="123" spans="1:17" x14ac:dyDescent="0.35">
      <c r="A123" s="2">
        <v>202604</v>
      </c>
      <c r="B123" s="2">
        <v>46142</v>
      </c>
      <c r="C123" s="2" t="s">
        <v>103</v>
      </c>
      <c r="D123" s="2" t="s">
        <v>104</v>
      </c>
      <c r="E123" s="2">
        <v>1300</v>
      </c>
      <c r="F123" s="2" t="s">
        <v>348</v>
      </c>
      <c r="G123" s="2" t="s">
        <v>349</v>
      </c>
      <c r="H123" s="2">
        <v>3400</v>
      </c>
      <c r="I123" s="2" t="s">
        <v>486</v>
      </c>
      <c r="J123" s="2" t="s">
        <v>13</v>
      </c>
      <c r="K123" s="2" t="s">
        <v>22</v>
      </c>
      <c r="L123" s="2" t="s">
        <v>23</v>
      </c>
      <c r="M123" s="2" t="s">
        <v>15</v>
      </c>
      <c r="N123" s="2" t="s">
        <v>487</v>
      </c>
      <c r="O123" s="2">
        <v>2.1339999999999999</v>
      </c>
      <c r="P123" s="2">
        <v>-2.1339999999999999</v>
      </c>
      <c r="Q123" s="2" t="s">
        <v>122</v>
      </c>
    </row>
    <row r="124" spans="1:17" x14ac:dyDescent="0.35">
      <c r="A124" s="2">
        <v>202604</v>
      </c>
      <c r="B124" s="2">
        <v>46142</v>
      </c>
      <c r="C124" s="2" t="s">
        <v>103</v>
      </c>
      <c r="D124" s="2" t="s">
        <v>104</v>
      </c>
      <c r="E124" s="2">
        <v>1300</v>
      </c>
      <c r="F124" s="2" t="s">
        <v>348</v>
      </c>
      <c r="G124" s="2" t="s">
        <v>349</v>
      </c>
      <c r="H124" s="2">
        <v>3670</v>
      </c>
      <c r="I124" s="2" t="s">
        <v>488</v>
      </c>
      <c r="J124" s="2" t="s">
        <v>13</v>
      </c>
      <c r="K124" s="2" t="s">
        <v>29</v>
      </c>
      <c r="L124" s="2" t="s">
        <v>30</v>
      </c>
      <c r="M124" s="2" t="s">
        <v>15</v>
      </c>
      <c r="N124" s="2" t="s">
        <v>489</v>
      </c>
      <c r="O124" s="2">
        <v>1.246</v>
      </c>
      <c r="P124" s="2">
        <v>-1.246</v>
      </c>
      <c r="Q124" s="2" t="s">
        <v>122</v>
      </c>
    </row>
    <row r="125" spans="1:17" x14ac:dyDescent="0.35">
      <c r="A125" s="2">
        <v>202604</v>
      </c>
      <c r="B125" s="2">
        <v>46142</v>
      </c>
      <c r="C125" s="2" t="s">
        <v>103</v>
      </c>
      <c r="D125" s="2" t="s">
        <v>104</v>
      </c>
      <c r="E125" s="2">
        <v>1300</v>
      </c>
      <c r="F125" s="2" t="s">
        <v>348</v>
      </c>
      <c r="G125" s="2" t="s">
        <v>349</v>
      </c>
      <c r="H125" s="2">
        <v>5000</v>
      </c>
      <c r="I125" s="2" t="s">
        <v>490</v>
      </c>
      <c r="J125" s="2" t="s">
        <v>33</v>
      </c>
      <c r="K125" s="2" t="s">
        <v>34</v>
      </c>
      <c r="L125" s="2" t="s">
        <v>36</v>
      </c>
      <c r="M125" s="2" t="s">
        <v>35</v>
      </c>
      <c r="N125" s="2" t="s">
        <v>491</v>
      </c>
      <c r="O125" s="2">
        <v>17.937999999999999</v>
      </c>
      <c r="P125" s="2">
        <v>17.937999999999999</v>
      </c>
      <c r="Q125" s="2" t="s">
        <v>122</v>
      </c>
    </row>
    <row r="126" spans="1:17" x14ac:dyDescent="0.35">
      <c r="A126" s="2">
        <v>202604</v>
      </c>
      <c r="B126" s="2">
        <v>46142</v>
      </c>
      <c r="C126" s="2" t="s">
        <v>103</v>
      </c>
      <c r="D126" s="2" t="s">
        <v>104</v>
      </c>
      <c r="E126" s="2">
        <v>1300</v>
      </c>
      <c r="F126" s="2" t="s">
        <v>348</v>
      </c>
      <c r="G126" s="2" t="s">
        <v>349</v>
      </c>
      <c r="H126" s="2">
        <v>6300</v>
      </c>
      <c r="I126" s="2" t="s">
        <v>54</v>
      </c>
      <c r="J126" s="2" t="s">
        <v>48</v>
      </c>
      <c r="K126" s="2" t="s">
        <v>53</v>
      </c>
      <c r="L126" s="2" t="s">
        <v>54</v>
      </c>
      <c r="M126" s="2" t="s">
        <v>35</v>
      </c>
      <c r="N126" s="2" t="s">
        <v>492</v>
      </c>
      <c r="O126" s="2">
        <v>6.5549999999999997</v>
      </c>
      <c r="P126" s="2">
        <v>6.5549999999999997</v>
      </c>
      <c r="Q126" s="2" t="s">
        <v>122</v>
      </c>
    </row>
    <row r="127" spans="1:17" x14ac:dyDescent="0.35">
      <c r="A127" s="2">
        <v>202604</v>
      </c>
      <c r="B127" s="2">
        <v>46142</v>
      </c>
      <c r="C127" s="2" t="s">
        <v>103</v>
      </c>
      <c r="D127" s="2" t="s">
        <v>104</v>
      </c>
      <c r="E127" s="2">
        <v>1300</v>
      </c>
      <c r="F127" s="2" t="s">
        <v>348</v>
      </c>
      <c r="G127" s="2" t="s">
        <v>349</v>
      </c>
      <c r="H127" s="2">
        <v>6050</v>
      </c>
      <c r="I127" s="2" t="s">
        <v>493</v>
      </c>
      <c r="J127" s="2" t="s">
        <v>48</v>
      </c>
      <c r="K127" s="2" t="s">
        <v>49</v>
      </c>
      <c r="L127" s="2" t="s">
        <v>50</v>
      </c>
      <c r="M127" s="2" t="s">
        <v>35</v>
      </c>
      <c r="N127" s="2" t="s">
        <v>494</v>
      </c>
      <c r="O127" s="2">
        <v>2.73</v>
      </c>
      <c r="P127" s="2">
        <v>2.73</v>
      </c>
      <c r="Q127" s="2" t="s">
        <v>122</v>
      </c>
    </row>
    <row r="128" spans="1:17" x14ac:dyDescent="0.35">
      <c r="A128" s="2">
        <v>202604</v>
      </c>
      <c r="B128" s="2">
        <v>46142</v>
      </c>
      <c r="C128" s="2" t="s">
        <v>103</v>
      </c>
      <c r="D128" s="2" t="s">
        <v>104</v>
      </c>
      <c r="E128" s="2">
        <v>1400</v>
      </c>
      <c r="F128" s="2" t="s">
        <v>352</v>
      </c>
      <c r="G128" s="2" t="s">
        <v>353</v>
      </c>
      <c r="H128" s="2">
        <v>3900</v>
      </c>
      <c r="I128" s="2" t="s">
        <v>31</v>
      </c>
      <c r="J128" s="2" t="s">
        <v>13</v>
      </c>
      <c r="K128" s="2" t="s">
        <v>31</v>
      </c>
      <c r="L128" s="2" t="s">
        <v>31</v>
      </c>
      <c r="M128" s="2" t="s">
        <v>15</v>
      </c>
      <c r="N128" s="2" t="s">
        <v>485</v>
      </c>
      <c r="O128" s="2">
        <v>13.362</v>
      </c>
      <c r="P128" s="2">
        <v>-13.362</v>
      </c>
      <c r="Q128" s="2" t="s">
        <v>122</v>
      </c>
    </row>
    <row r="129" spans="1:17" x14ac:dyDescent="0.35">
      <c r="A129" s="2">
        <v>202604</v>
      </c>
      <c r="B129" s="2">
        <v>46142</v>
      </c>
      <c r="C129" s="2" t="s">
        <v>103</v>
      </c>
      <c r="D129" s="2" t="s">
        <v>104</v>
      </c>
      <c r="E129" s="2">
        <v>1400</v>
      </c>
      <c r="F129" s="2" t="s">
        <v>352</v>
      </c>
      <c r="G129" s="2" t="s">
        <v>353</v>
      </c>
      <c r="H129" s="2">
        <v>3400</v>
      </c>
      <c r="I129" s="2" t="s">
        <v>486</v>
      </c>
      <c r="J129" s="2" t="s">
        <v>13</v>
      </c>
      <c r="K129" s="2" t="s">
        <v>22</v>
      </c>
      <c r="L129" s="2" t="s">
        <v>23</v>
      </c>
      <c r="M129" s="2" t="s">
        <v>15</v>
      </c>
      <c r="N129" s="2" t="s">
        <v>487</v>
      </c>
      <c r="O129" s="2">
        <v>1.28</v>
      </c>
      <c r="P129" s="2">
        <v>-1.28</v>
      </c>
      <c r="Q129" s="2" t="s">
        <v>122</v>
      </c>
    </row>
    <row r="130" spans="1:17" x14ac:dyDescent="0.35">
      <c r="A130" s="2">
        <v>202604</v>
      </c>
      <c r="B130" s="2">
        <v>46142</v>
      </c>
      <c r="C130" s="2" t="s">
        <v>103</v>
      </c>
      <c r="D130" s="2" t="s">
        <v>104</v>
      </c>
      <c r="E130" s="2">
        <v>1400</v>
      </c>
      <c r="F130" s="2" t="s">
        <v>352</v>
      </c>
      <c r="G130" s="2" t="s">
        <v>353</v>
      </c>
      <c r="H130" s="2">
        <v>3670</v>
      </c>
      <c r="I130" s="2" t="s">
        <v>488</v>
      </c>
      <c r="J130" s="2" t="s">
        <v>13</v>
      </c>
      <c r="K130" s="2" t="s">
        <v>29</v>
      </c>
      <c r="L130" s="2" t="s">
        <v>30</v>
      </c>
      <c r="M130" s="2" t="s">
        <v>15</v>
      </c>
      <c r="N130" s="2" t="s">
        <v>489</v>
      </c>
      <c r="O130" s="2">
        <v>0.749</v>
      </c>
      <c r="P130" s="2">
        <v>-0.749</v>
      </c>
      <c r="Q130" s="2" t="s">
        <v>122</v>
      </c>
    </row>
    <row r="131" spans="1:17" x14ac:dyDescent="0.35">
      <c r="A131" s="2">
        <v>202604</v>
      </c>
      <c r="B131" s="2">
        <v>46142</v>
      </c>
      <c r="C131" s="2" t="s">
        <v>103</v>
      </c>
      <c r="D131" s="2" t="s">
        <v>104</v>
      </c>
      <c r="E131" s="2">
        <v>1400</v>
      </c>
      <c r="F131" s="2" t="s">
        <v>352</v>
      </c>
      <c r="G131" s="2" t="s">
        <v>353</v>
      </c>
      <c r="H131" s="2">
        <v>5000</v>
      </c>
      <c r="I131" s="2" t="s">
        <v>490</v>
      </c>
      <c r="J131" s="2" t="s">
        <v>33</v>
      </c>
      <c r="K131" s="2" t="s">
        <v>34</v>
      </c>
      <c r="L131" s="2" t="s">
        <v>36</v>
      </c>
      <c r="M131" s="2" t="s">
        <v>35</v>
      </c>
      <c r="N131" s="2" t="s">
        <v>491</v>
      </c>
      <c r="O131" s="2">
        <v>10.138</v>
      </c>
      <c r="P131" s="2">
        <v>10.138</v>
      </c>
      <c r="Q131" s="2" t="s">
        <v>122</v>
      </c>
    </row>
    <row r="132" spans="1:17" x14ac:dyDescent="0.35">
      <c r="A132" s="2">
        <v>202604</v>
      </c>
      <c r="B132" s="2">
        <v>46142</v>
      </c>
      <c r="C132" s="2" t="s">
        <v>103</v>
      </c>
      <c r="D132" s="2" t="s">
        <v>104</v>
      </c>
      <c r="E132" s="2">
        <v>1400</v>
      </c>
      <c r="F132" s="2" t="s">
        <v>352</v>
      </c>
      <c r="G132" s="2" t="s">
        <v>353</v>
      </c>
      <c r="H132" s="2">
        <v>6300</v>
      </c>
      <c r="I132" s="2" t="s">
        <v>54</v>
      </c>
      <c r="J132" s="2" t="s">
        <v>48</v>
      </c>
      <c r="K132" s="2" t="s">
        <v>53</v>
      </c>
      <c r="L132" s="2" t="s">
        <v>54</v>
      </c>
      <c r="M132" s="2" t="s">
        <v>35</v>
      </c>
      <c r="N132" s="2" t="s">
        <v>492</v>
      </c>
      <c r="O132" s="2">
        <v>3.7050000000000001</v>
      </c>
      <c r="P132" s="2">
        <v>3.7050000000000001</v>
      </c>
      <c r="Q132" s="2" t="s">
        <v>122</v>
      </c>
    </row>
    <row r="133" spans="1:17" x14ac:dyDescent="0.35">
      <c r="A133" s="2">
        <v>202604</v>
      </c>
      <c r="B133" s="2">
        <v>46142</v>
      </c>
      <c r="C133" s="2" t="s">
        <v>103</v>
      </c>
      <c r="D133" s="2" t="s">
        <v>104</v>
      </c>
      <c r="E133" s="2">
        <v>1400</v>
      </c>
      <c r="F133" s="2" t="s">
        <v>352</v>
      </c>
      <c r="G133" s="2" t="s">
        <v>353</v>
      </c>
      <c r="H133" s="2">
        <v>6050</v>
      </c>
      <c r="I133" s="2" t="s">
        <v>493</v>
      </c>
      <c r="J133" s="2" t="s">
        <v>48</v>
      </c>
      <c r="K133" s="2" t="s">
        <v>49</v>
      </c>
      <c r="L133" s="2" t="s">
        <v>50</v>
      </c>
      <c r="M133" s="2" t="s">
        <v>35</v>
      </c>
      <c r="N133" s="2" t="s">
        <v>494</v>
      </c>
      <c r="O133" s="2">
        <v>1.17</v>
      </c>
      <c r="P133" s="2">
        <v>1.17</v>
      </c>
      <c r="Q133" s="2" t="s">
        <v>122</v>
      </c>
    </row>
    <row r="134" spans="1:17" x14ac:dyDescent="0.35">
      <c r="A134" s="2">
        <v>202604</v>
      </c>
      <c r="B134" s="2">
        <v>46142</v>
      </c>
      <c r="C134" s="2" t="s">
        <v>103</v>
      </c>
      <c r="D134" s="2" t="s">
        <v>104</v>
      </c>
      <c r="E134" s="2">
        <v>1500</v>
      </c>
      <c r="F134" s="2" t="s">
        <v>356</v>
      </c>
      <c r="G134" s="2" t="s">
        <v>357</v>
      </c>
      <c r="H134" s="2">
        <v>3900</v>
      </c>
      <c r="I134" s="2" t="s">
        <v>31</v>
      </c>
      <c r="J134" s="2" t="s">
        <v>13</v>
      </c>
      <c r="K134" s="2" t="s">
        <v>31</v>
      </c>
      <c r="L134" s="2" t="s">
        <v>31</v>
      </c>
      <c r="M134" s="2" t="s">
        <v>15</v>
      </c>
      <c r="N134" s="2" t="s">
        <v>485</v>
      </c>
      <c r="O134" s="2">
        <v>10.28</v>
      </c>
      <c r="P134" s="2">
        <v>-10.28</v>
      </c>
      <c r="Q134" s="2" t="s">
        <v>122</v>
      </c>
    </row>
    <row r="135" spans="1:17" x14ac:dyDescent="0.35">
      <c r="A135" s="2">
        <v>202604</v>
      </c>
      <c r="B135" s="2">
        <v>46142</v>
      </c>
      <c r="C135" s="2" t="s">
        <v>103</v>
      </c>
      <c r="D135" s="2" t="s">
        <v>104</v>
      </c>
      <c r="E135" s="2">
        <v>1500</v>
      </c>
      <c r="F135" s="2" t="s">
        <v>356</v>
      </c>
      <c r="G135" s="2" t="s">
        <v>357</v>
      </c>
      <c r="H135" s="2">
        <v>3400</v>
      </c>
      <c r="I135" s="2" t="s">
        <v>486</v>
      </c>
      <c r="J135" s="2" t="s">
        <v>13</v>
      </c>
      <c r="K135" s="2" t="s">
        <v>22</v>
      </c>
      <c r="L135" s="2" t="s">
        <v>23</v>
      </c>
      <c r="M135" s="2" t="s">
        <v>15</v>
      </c>
      <c r="N135" s="2" t="s">
        <v>487</v>
      </c>
      <c r="O135" s="2">
        <v>0.85399999999999998</v>
      </c>
      <c r="P135" s="2">
        <v>-0.85399999999999998</v>
      </c>
      <c r="Q135" s="2" t="s">
        <v>122</v>
      </c>
    </row>
    <row r="136" spans="1:17" x14ac:dyDescent="0.35">
      <c r="A136" s="2">
        <v>202604</v>
      </c>
      <c r="B136" s="2">
        <v>46142</v>
      </c>
      <c r="C136" s="2" t="s">
        <v>103</v>
      </c>
      <c r="D136" s="2" t="s">
        <v>104</v>
      </c>
      <c r="E136" s="2">
        <v>1500</v>
      </c>
      <c r="F136" s="2" t="s">
        <v>356</v>
      </c>
      <c r="G136" s="2" t="s">
        <v>357</v>
      </c>
      <c r="H136" s="2">
        <v>3670</v>
      </c>
      <c r="I136" s="2" t="s">
        <v>488</v>
      </c>
      <c r="J136" s="2" t="s">
        <v>13</v>
      </c>
      <c r="K136" s="2" t="s">
        <v>29</v>
      </c>
      <c r="L136" s="2" t="s">
        <v>30</v>
      </c>
      <c r="M136" s="2" t="s">
        <v>15</v>
      </c>
      <c r="N136" s="2" t="s">
        <v>489</v>
      </c>
      <c r="O136" s="2">
        <v>0.497</v>
      </c>
      <c r="P136" s="2">
        <v>-0.497</v>
      </c>
      <c r="Q136" s="2" t="s">
        <v>122</v>
      </c>
    </row>
    <row r="137" spans="1:17" x14ac:dyDescent="0.35">
      <c r="A137" s="2">
        <v>202604</v>
      </c>
      <c r="B137" s="2">
        <v>46142</v>
      </c>
      <c r="C137" s="2" t="s">
        <v>103</v>
      </c>
      <c r="D137" s="2" t="s">
        <v>104</v>
      </c>
      <c r="E137" s="2">
        <v>1500</v>
      </c>
      <c r="F137" s="2" t="s">
        <v>356</v>
      </c>
      <c r="G137" s="2" t="s">
        <v>357</v>
      </c>
      <c r="H137" s="2">
        <v>5000</v>
      </c>
      <c r="I137" s="2" t="s">
        <v>490</v>
      </c>
      <c r="J137" s="2" t="s">
        <v>33</v>
      </c>
      <c r="K137" s="2" t="s">
        <v>34</v>
      </c>
      <c r="L137" s="2" t="s">
        <v>36</v>
      </c>
      <c r="M137" s="2" t="s">
        <v>35</v>
      </c>
      <c r="N137" s="2" t="s">
        <v>491</v>
      </c>
      <c r="O137" s="2">
        <v>7.8</v>
      </c>
      <c r="P137" s="2">
        <v>7.8</v>
      </c>
      <c r="Q137" s="2" t="s">
        <v>122</v>
      </c>
    </row>
    <row r="138" spans="1:17" x14ac:dyDescent="0.35">
      <c r="A138" s="2">
        <v>202604</v>
      </c>
      <c r="B138" s="2">
        <v>46142</v>
      </c>
      <c r="C138" s="2" t="s">
        <v>103</v>
      </c>
      <c r="D138" s="2" t="s">
        <v>104</v>
      </c>
      <c r="E138" s="2">
        <v>1500</v>
      </c>
      <c r="F138" s="2" t="s">
        <v>356</v>
      </c>
      <c r="G138" s="2" t="s">
        <v>357</v>
      </c>
      <c r="H138" s="2">
        <v>6300</v>
      </c>
      <c r="I138" s="2" t="s">
        <v>54</v>
      </c>
      <c r="J138" s="2" t="s">
        <v>48</v>
      </c>
      <c r="K138" s="2" t="s">
        <v>53</v>
      </c>
      <c r="L138" s="2" t="s">
        <v>54</v>
      </c>
      <c r="M138" s="2" t="s">
        <v>35</v>
      </c>
      <c r="N138" s="2" t="s">
        <v>492</v>
      </c>
      <c r="O138" s="2">
        <v>2.85</v>
      </c>
      <c r="P138" s="2">
        <v>2.85</v>
      </c>
      <c r="Q138" s="2" t="s">
        <v>122</v>
      </c>
    </row>
    <row r="139" spans="1:17" x14ac:dyDescent="0.35">
      <c r="A139" s="2">
        <v>202604</v>
      </c>
      <c r="B139" s="2">
        <v>46142</v>
      </c>
      <c r="C139" s="2" t="s">
        <v>103</v>
      </c>
      <c r="D139" s="2" t="s">
        <v>104</v>
      </c>
      <c r="E139" s="2">
        <v>1500</v>
      </c>
      <c r="F139" s="2" t="s">
        <v>356</v>
      </c>
      <c r="G139" s="2" t="s">
        <v>357</v>
      </c>
      <c r="H139" s="2">
        <v>6050</v>
      </c>
      <c r="I139" s="2" t="s">
        <v>493</v>
      </c>
      <c r="J139" s="2" t="s">
        <v>48</v>
      </c>
      <c r="K139" s="2" t="s">
        <v>49</v>
      </c>
      <c r="L139" s="2" t="s">
        <v>50</v>
      </c>
      <c r="M139" s="2" t="s">
        <v>35</v>
      </c>
      <c r="N139" s="2" t="s">
        <v>494</v>
      </c>
      <c r="O139" s="2">
        <v>0.91</v>
      </c>
      <c r="P139" s="2">
        <v>0.91</v>
      </c>
      <c r="Q139" s="2" t="s">
        <v>122</v>
      </c>
    </row>
    <row r="140" spans="1:17" x14ac:dyDescent="0.35">
      <c r="A140" s="2">
        <v>202604</v>
      </c>
      <c r="B140" s="2">
        <v>46142</v>
      </c>
      <c r="C140" s="2" t="s">
        <v>103</v>
      </c>
      <c r="D140" s="2" t="s">
        <v>104</v>
      </c>
      <c r="E140" s="2">
        <v>1900</v>
      </c>
      <c r="F140" s="2" t="s">
        <v>360</v>
      </c>
      <c r="G140" s="2" t="s">
        <v>361</v>
      </c>
      <c r="H140" s="2">
        <v>3900</v>
      </c>
      <c r="I140" s="2" t="s">
        <v>31</v>
      </c>
      <c r="J140" s="2" t="s">
        <v>13</v>
      </c>
      <c r="K140" s="2" t="s">
        <v>31</v>
      </c>
      <c r="L140" s="2" t="s">
        <v>31</v>
      </c>
      <c r="M140" s="2" t="s">
        <v>15</v>
      </c>
      <c r="N140" s="2" t="s">
        <v>485</v>
      </c>
      <c r="O140" s="2">
        <v>7.1980000000000004</v>
      </c>
      <c r="P140" s="2">
        <v>-7.1980000000000004</v>
      </c>
      <c r="Q140" s="2" t="s">
        <v>122</v>
      </c>
    </row>
    <row r="141" spans="1:17" x14ac:dyDescent="0.35">
      <c r="A141" s="2">
        <v>202604</v>
      </c>
      <c r="B141" s="2">
        <v>46142</v>
      </c>
      <c r="C141" s="2" t="s">
        <v>103</v>
      </c>
      <c r="D141" s="2" t="s">
        <v>104</v>
      </c>
      <c r="E141" s="2">
        <v>1900</v>
      </c>
      <c r="F141" s="2" t="s">
        <v>360</v>
      </c>
      <c r="G141" s="2" t="s">
        <v>361</v>
      </c>
      <c r="H141" s="2">
        <v>3400</v>
      </c>
      <c r="I141" s="2" t="s">
        <v>486</v>
      </c>
      <c r="J141" s="2" t="s">
        <v>13</v>
      </c>
      <c r="K141" s="2" t="s">
        <v>22</v>
      </c>
      <c r="L141" s="2" t="s">
        <v>23</v>
      </c>
      <c r="M141" s="2" t="s">
        <v>15</v>
      </c>
      <c r="N141" s="2" t="s">
        <v>487</v>
      </c>
      <c r="O141" s="2">
        <v>0.25600000000000001</v>
      </c>
      <c r="P141" s="2">
        <v>-0.25600000000000001</v>
      </c>
      <c r="Q141" s="2" t="s">
        <v>122</v>
      </c>
    </row>
    <row r="142" spans="1:17" x14ac:dyDescent="0.35">
      <c r="A142" s="2">
        <v>202604</v>
      </c>
      <c r="B142" s="2">
        <v>46142</v>
      </c>
      <c r="C142" s="2" t="s">
        <v>103</v>
      </c>
      <c r="D142" s="2" t="s">
        <v>104</v>
      </c>
      <c r="E142" s="2">
        <v>1900</v>
      </c>
      <c r="F142" s="2" t="s">
        <v>360</v>
      </c>
      <c r="G142" s="2" t="s">
        <v>361</v>
      </c>
      <c r="H142" s="2">
        <v>3670</v>
      </c>
      <c r="I142" s="2" t="s">
        <v>488</v>
      </c>
      <c r="J142" s="2" t="s">
        <v>13</v>
      </c>
      <c r="K142" s="2" t="s">
        <v>29</v>
      </c>
      <c r="L142" s="2" t="s">
        <v>30</v>
      </c>
      <c r="M142" s="2" t="s">
        <v>15</v>
      </c>
      <c r="N142" s="2" t="s">
        <v>489</v>
      </c>
      <c r="O142" s="2">
        <v>1.6</v>
      </c>
      <c r="P142" s="2">
        <v>-1.6</v>
      </c>
      <c r="Q142" s="2" t="s">
        <v>122</v>
      </c>
    </row>
    <row r="143" spans="1:17" x14ac:dyDescent="0.35">
      <c r="A143" s="2">
        <v>202604</v>
      </c>
      <c r="B143" s="2">
        <v>46142</v>
      </c>
      <c r="C143" s="2" t="s">
        <v>103</v>
      </c>
      <c r="D143" s="2" t="s">
        <v>104</v>
      </c>
      <c r="E143" s="2">
        <v>1900</v>
      </c>
      <c r="F143" s="2" t="s">
        <v>360</v>
      </c>
      <c r="G143" s="2" t="s">
        <v>361</v>
      </c>
      <c r="H143" s="2">
        <v>5000</v>
      </c>
      <c r="I143" s="2" t="s">
        <v>490</v>
      </c>
      <c r="J143" s="2" t="s">
        <v>33</v>
      </c>
      <c r="K143" s="2" t="s">
        <v>34</v>
      </c>
      <c r="L143" s="2" t="s">
        <v>36</v>
      </c>
      <c r="M143" s="2" t="s">
        <v>35</v>
      </c>
      <c r="N143" s="2" t="s">
        <v>491</v>
      </c>
      <c r="O143" s="2">
        <v>6.2380000000000004</v>
      </c>
      <c r="P143" s="2">
        <v>6.2380000000000004</v>
      </c>
      <c r="Q143" s="2" t="s">
        <v>122</v>
      </c>
    </row>
    <row r="144" spans="1:17" x14ac:dyDescent="0.35">
      <c r="A144" s="2">
        <v>202604</v>
      </c>
      <c r="B144" s="2">
        <v>46142</v>
      </c>
      <c r="C144" s="2" t="s">
        <v>103</v>
      </c>
      <c r="D144" s="2" t="s">
        <v>104</v>
      </c>
      <c r="E144" s="2">
        <v>1900</v>
      </c>
      <c r="F144" s="2" t="s">
        <v>360</v>
      </c>
      <c r="G144" s="2" t="s">
        <v>361</v>
      </c>
      <c r="H144" s="2">
        <v>6300</v>
      </c>
      <c r="I144" s="2" t="s">
        <v>54</v>
      </c>
      <c r="J144" s="2" t="s">
        <v>48</v>
      </c>
      <c r="K144" s="2" t="s">
        <v>53</v>
      </c>
      <c r="L144" s="2" t="s">
        <v>54</v>
      </c>
      <c r="M144" s="2" t="s">
        <v>35</v>
      </c>
      <c r="N144" s="2" t="s">
        <v>492</v>
      </c>
      <c r="O144" s="2">
        <v>2.2799999999999998</v>
      </c>
      <c r="P144" s="2">
        <v>2.2799999999999998</v>
      </c>
      <c r="Q144" s="2" t="s">
        <v>122</v>
      </c>
    </row>
    <row r="145" spans="1:17" x14ac:dyDescent="0.35">
      <c r="A145" s="2">
        <v>202604</v>
      </c>
      <c r="B145" s="2">
        <v>46142</v>
      </c>
      <c r="C145" s="2" t="s">
        <v>103</v>
      </c>
      <c r="D145" s="2" t="s">
        <v>104</v>
      </c>
      <c r="E145" s="2">
        <v>1900</v>
      </c>
      <c r="F145" s="2" t="s">
        <v>360</v>
      </c>
      <c r="G145" s="2" t="s">
        <v>361</v>
      </c>
      <c r="H145" s="2">
        <v>6050</v>
      </c>
      <c r="I145" s="2" t="s">
        <v>493</v>
      </c>
      <c r="J145" s="2" t="s">
        <v>48</v>
      </c>
      <c r="K145" s="2" t="s">
        <v>49</v>
      </c>
      <c r="L145" s="2" t="s">
        <v>50</v>
      </c>
      <c r="M145" s="2" t="s">
        <v>35</v>
      </c>
      <c r="N145" s="2" t="s">
        <v>494</v>
      </c>
      <c r="O145" s="2">
        <v>1.17</v>
      </c>
      <c r="P145" s="2">
        <v>1.17</v>
      </c>
      <c r="Q145" s="2" t="s">
        <v>122</v>
      </c>
    </row>
    <row r="146" spans="1:17" x14ac:dyDescent="0.35">
      <c r="A146" s="2">
        <v>202605</v>
      </c>
      <c r="B146" s="2">
        <v>46173</v>
      </c>
      <c r="C146" s="2" t="s">
        <v>105</v>
      </c>
      <c r="D146" s="2" t="s">
        <v>104</v>
      </c>
      <c r="E146" s="2">
        <v>1100</v>
      </c>
      <c r="F146" s="2" t="s">
        <v>339</v>
      </c>
      <c r="G146" s="2" t="s">
        <v>340</v>
      </c>
      <c r="H146" s="2">
        <v>3900</v>
      </c>
      <c r="I146" s="2" t="s">
        <v>31</v>
      </c>
      <c r="J146" s="2" t="s">
        <v>13</v>
      </c>
      <c r="K146" s="2" t="s">
        <v>31</v>
      </c>
      <c r="L146" s="2" t="s">
        <v>31</v>
      </c>
      <c r="M146" s="2" t="s">
        <v>15</v>
      </c>
      <c r="N146" s="2" t="s">
        <v>485</v>
      </c>
      <c r="O146" s="2">
        <v>20.58</v>
      </c>
      <c r="P146" s="2">
        <v>-20.58</v>
      </c>
      <c r="Q146" s="2" t="s">
        <v>122</v>
      </c>
    </row>
    <row r="147" spans="1:17" x14ac:dyDescent="0.35">
      <c r="A147" s="2">
        <v>202605</v>
      </c>
      <c r="B147" s="2">
        <v>46173</v>
      </c>
      <c r="C147" s="2" t="s">
        <v>105</v>
      </c>
      <c r="D147" s="2" t="s">
        <v>104</v>
      </c>
      <c r="E147" s="2">
        <v>1100</v>
      </c>
      <c r="F147" s="2" t="s">
        <v>339</v>
      </c>
      <c r="G147" s="2" t="s">
        <v>340</v>
      </c>
      <c r="H147" s="2">
        <v>3400</v>
      </c>
      <c r="I147" s="2" t="s">
        <v>486</v>
      </c>
      <c r="J147" s="2" t="s">
        <v>13</v>
      </c>
      <c r="K147" s="2" t="s">
        <v>22</v>
      </c>
      <c r="L147" s="2" t="s">
        <v>23</v>
      </c>
      <c r="M147" s="2" t="s">
        <v>15</v>
      </c>
      <c r="N147" s="2" t="s">
        <v>487</v>
      </c>
      <c r="O147" s="2">
        <v>2.0030000000000001</v>
      </c>
      <c r="P147" s="2">
        <v>-2.0030000000000001</v>
      </c>
      <c r="Q147" s="2" t="s">
        <v>122</v>
      </c>
    </row>
    <row r="148" spans="1:17" x14ac:dyDescent="0.35">
      <c r="A148" s="2">
        <v>202605</v>
      </c>
      <c r="B148" s="2">
        <v>46173</v>
      </c>
      <c r="C148" s="2" t="s">
        <v>105</v>
      </c>
      <c r="D148" s="2" t="s">
        <v>104</v>
      </c>
      <c r="E148" s="2">
        <v>1100</v>
      </c>
      <c r="F148" s="2" t="s">
        <v>339</v>
      </c>
      <c r="G148" s="2" t="s">
        <v>340</v>
      </c>
      <c r="H148" s="2">
        <v>3670</v>
      </c>
      <c r="I148" s="2" t="s">
        <v>488</v>
      </c>
      <c r="J148" s="2" t="s">
        <v>13</v>
      </c>
      <c r="K148" s="2" t="s">
        <v>29</v>
      </c>
      <c r="L148" s="2" t="s">
        <v>30</v>
      </c>
      <c r="M148" s="2" t="s">
        <v>15</v>
      </c>
      <c r="N148" s="2" t="s">
        <v>489</v>
      </c>
      <c r="O148" s="2">
        <v>0.66700000000000004</v>
      </c>
      <c r="P148" s="2">
        <v>-0.66700000000000004</v>
      </c>
      <c r="Q148" s="2" t="s">
        <v>122</v>
      </c>
    </row>
    <row r="149" spans="1:17" x14ac:dyDescent="0.35">
      <c r="A149" s="2">
        <v>202605</v>
      </c>
      <c r="B149" s="2">
        <v>46173</v>
      </c>
      <c r="C149" s="2" t="s">
        <v>105</v>
      </c>
      <c r="D149" s="2" t="s">
        <v>104</v>
      </c>
      <c r="E149" s="2">
        <v>1100</v>
      </c>
      <c r="F149" s="2" t="s">
        <v>339</v>
      </c>
      <c r="G149" s="2" t="s">
        <v>340</v>
      </c>
      <c r="H149" s="2">
        <v>5000</v>
      </c>
      <c r="I149" s="2" t="s">
        <v>490</v>
      </c>
      <c r="J149" s="2" t="s">
        <v>33</v>
      </c>
      <c r="K149" s="2" t="s">
        <v>34</v>
      </c>
      <c r="L149" s="2" t="s">
        <v>36</v>
      </c>
      <c r="M149" s="2" t="s">
        <v>35</v>
      </c>
      <c r="N149" s="2" t="s">
        <v>491</v>
      </c>
      <c r="O149" s="2">
        <v>15.108000000000001</v>
      </c>
      <c r="P149" s="2">
        <v>15.108000000000001</v>
      </c>
      <c r="Q149" s="2" t="s">
        <v>122</v>
      </c>
    </row>
    <row r="150" spans="1:17" x14ac:dyDescent="0.35">
      <c r="A150" s="2">
        <v>202605</v>
      </c>
      <c r="B150" s="2">
        <v>46173</v>
      </c>
      <c r="C150" s="2" t="s">
        <v>105</v>
      </c>
      <c r="D150" s="2" t="s">
        <v>104</v>
      </c>
      <c r="E150" s="2">
        <v>1100</v>
      </c>
      <c r="F150" s="2" t="s">
        <v>339</v>
      </c>
      <c r="G150" s="2" t="s">
        <v>340</v>
      </c>
      <c r="H150" s="2">
        <v>6300</v>
      </c>
      <c r="I150" s="2" t="s">
        <v>54</v>
      </c>
      <c r="J150" s="2" t="s">
        <v>48</v>
      </c>
      <c r="K150" s="2" t="s">
        <v>53</v>
      </c>
      <c r="L150" s="2" t="s">
        <v>54</v>
      </c>
      <c r="M150" s="2" t="s">
        <v>35</v>
      </c>
      <c r="N150" s="2" t="s">
        <v>492</v>
      </c>
      <c r="O150" s="2">
        <v>5.7949999999999999</v>
      </c>
      <c r="P150" s="2">
        <v>5.7949999999999999</v>
      </c>
      <c r="Q150" s="2" t="s">
        <v>122</v>
      </c>
    </row>
    <row r="151" spans="1:17" x14ac:dyDescent="0.35">
      <c r="A151" s="2">
        <v>202605</v>
      </c>
      <c r="B151" s="2">
        <v>46173</v>
      </c>
      <c r="C151" s="2" t="s">
        <v>105</v>
      </c>
      <c r="D151" s="2" t="s">
        <v>104</v>
      </c>
      <c r="E151" s="2">
        <v>1100</v>
      </c>
      <c r="F151" s="2" t="s">
        <v>339</v>
      </c>
      <c r="G151" s="2" t="s">
        <v>340</v>
      </c>
      <c r="H151" s="2">
        <v>6050</v>
      </c>
      <c r="I151" s="2" t="s">
        <v>493</v>
      </c>
      <c r="J151" s="2" t="s">
        <v>48</v>
      </c>
      <c r="K151" s="2" t="s">
        <v>49</v>
      </c>
      <c r="L151" s="2" t="s">
        <v>50</v>
      </c>
      <c r="M151" s="2" t="s">
        <v>35</v>
      </c>
      <c r="N151" s="2" t="s">
        <v>494</v>
      </c>
      <c r="O151" s="2">
        <v>2.66</v>
      </c>
      <c r="P151" s="2">
        <v>2.66</v>
      </c>
      <c r="Q151" s="2" t="s">
        <v>122</v>
      </c>
    </row>
    <row r="152" spans="1:17" x14ac:dyDescent="0.35">
      <c r="A152" s="2">
        <v>202605</v>
      </c>
      <c r="B152" s="2">
        <v>46173</v>
      </c>
      <c r="C152" s="2" t="s">
        <v>105</v>
      </c>
      <c r="D152" s="2" t="s">
        <v>104</v>
      </c>
      <c r="E152" s="2">
        <v>1200</v>
      </c>
      <c r="F152" s="2" t="s">
        <v>344</v>
      </c>
      <c r="G152" s="2" t="s">
        <v>345</v>
      </c>
      <c r="H152" s="2">
        <v>3900</v>
      </c>
      <c r="I152" s="2" t="s">
        <v>31</v>
      </c>
      <c r="J152" s="2" t="s">
        <v>13</v>
      </c>
      <c r="K152" s="2" t="s">
        <v>31</v>
      </c>
      <c r="L152" s="2" t="s">
        <v>31</v>
      </c>
      <c r="M152" s="2" t="s">
        <v>15</v>
      </c>
      <c r="N152" s="2" t="s">
        <v>485</v>
      </c>
      <c r="O152" s="2">
        <v>27.785</v>
      </c>
      <c r="P152" s="2">
        <v>-27.785</v>
      </c>
      <c r="Q152" s="2" t="s">
        <v>122</v>
      </c>
    </row>
    <row r="153" spans="1:17" x14ac:dyDescent="0.35">
      <c r="A153" s="2">
        <v>202605</v>
      </c>
      <c r="B153" s="2">
        <v>46173</v>
      </c>
      <c r="C153" s="2" t="s">
        <v>105</v>
      </c>
      <c r="D153" s="2" t="s">
        <v>104</v>
      </c>
      <c r="E153" s="2">
        <v>1200</v>
      </c>
      <c r="F153" s="2" t="s">
        <v>344</v>
      </c>
      <c r="G153" s="2" t="s">
        <v>345</v>
      </c>
      <c r="H153" s="2">
        <v>3400</v>
      </c>
      <c r="I153" s="2" t="s">
        <v>486</v>
      </c>
      <c r="J153" s="2" t="s">
        <v>13</v>
      </c>
      <c r="K153" s="2" t="s">
        <v>22</v>
      </c>
      <c r="L153" s="2" t="s">
        <v>23</v>
      </c>
      <c r="M153" s="2" t="s">
        <v>15</v>
      </c>
      <c r="N153" s="2" t="s">
        <v>487</v>
      </c>
      <c r="O153" s="2">
        <v>4.3710000000000004</v>
      </c>
      <c r="P153" s="2">
        <v>-4.3710000000000004</v>
      </c>
      <c r="Q153" s="2" t="s">
        <v>122</v>
      </c>
    </row>
    <row r="154" spans="1:17" x14ac:dyDescent="0.35">
      <c r="A154" s="2">
        <v>202605</v>
      </c>
      <c r="B154" s="2">
        <v>46173</v>
      </c>
      <c r="C154" s="2" t="s">
        <v>105</v>
      </c>
      <c r="D154" s="2" t="s">
        <v>104</v>
      </c>
      <c r="E154" s="2">
        <v>1200</v>
      </c>
      <c r="F154" s="2" t="s">
        <v>344</v>
      </c>
      <c r="G154" s="2" t="s">
        <v>345</v>
      </c>
      <c r="H154" s="2">
        <v>3670</v>
      </c>
      <c r="I154" s="2" t="s">
        <v>488</v>
      </c>
      <c r="J154" s="2" t="s">
        <v>13</v>
      </c>
      <c r="K154" s="2" t="s">
        <v>29</v>
      </c>
      <c r="L154" s="2" t="s">
        <v>30</v>
      </c>
      <c r="M154" s="2" t="s">
        <v>15</v>
      </c>
      <c r="N154" s="2" t="s">
        <v>489</v>
      </c>
      <c r="O154" s="2">
        <v>1.6759999999999999</v>
      </c>
      <c r="P154" s="2">
        <v>-1.6759999999999999</v>
      </c>
      <c r="Q154" s="2" t="s">
        <v>122</v>
      </c>
    </row>
    <row r="155" spans="1:17" x14ac:dyDescent="0.35">
      <c r="A155" s="2">
        <v>202605</v>
      </c>
      <c r="B155" s="2">
        <v>46173</v>
      </c>
      <c r="C155" s="2" t="s">
        <v>105</v>
      </c>
      <c r="D155" s="2" t="s">
        <v>104</v>
      </c>
      <c r="E155" s="2">
        <v>1200</v>
      </c>
      <c r="F155" s="2" t="s">
        <v>344</v>
      </c>
      <c r="G155" s="2" t="s">
        <v>345</v>
      </c>
      <c r="H155" s="2">
        <v>5000</v>
      </c>
      <c r="I155" s="2" t="s">
        <v>490</v>
      </c>
      <c r="J155" s="2" t="s">
        <v>33</v>
      </c>
      <c r="K155" s="2" t="s">
        <v>34</v>
      </c>
      <c r="L155" s="2" t="s">
        <v>36</v>
      </c>
      <c r="M155" s="2" t="s">
        <v>35</v>
      </c>
      <c r="N155" s="2" t="s">
        <v>491</v>
      </c>
      <c r="O155" s="2">
        <v>21.466999999999999</v>
      </c>
      <c r="P155" s="2">
        <v>21.466999999999999</v>
      </c>
      <c r="Q155" s="2" t="s">
        <v>122</v>
      </c>
    </row>
    <row r="156" spans="1:17" x14ac:dyDescent="0.35">
      <c r="A156" s="2">
        <v>202605</v>
      </c>
      <c r="B156" s="2">
        <v>46173</v>
      </c>
      <c r="C156" s="2" t="s">
        <v>105</v>
      </c>
      <c r="D156" s="2" t="s">
        <v>104</v>
      </c>
      <c r="E156" s="2">
        <v>1200</v>
      </c>
      <c r="F156" s="2" t="s">
        <v>344</v>
      </c>
      <c r="G156" s="2" t="s">
        <v>345</v>
      </c>
      <c r="H156" s="2">
        <v>6300</v>
      </c>
      <c r="I156" s="2" t="s">
        <v>54</v>
      </c>
      <c r="J156" s="2" t="s">
        <v>48</v>
      </c>
      <c r="K156" s="2" t="s">
        <v>53</v>
      </c>
      <c r="L156" s="2" t="s">
        <v>54</v>
      </c>
      <c r="M156" s="2" t="s">
        <v>35</v>
      </c>
      <c r="N156" s="2" t="s">
        <v>492</v>
      </c>
      <c r="O156" s="2">
        <v>8.2349999999999994</v>
      </c>
      <c r="P156" s="2">
        <v>8.2349999999999994</v>
      </c>
      <c r="Q156" s="2" t="s">
        <v>122</v>
      </c>
    </row>
    <row r="157" spans="1:17" x14ac:dyDescent="0.35">
      <c r="A157" s="2">
        <v>202605</v>
      </c>
      <c r="B157" s="2">
        <v>46173</v>
      </c>
      <c r="C157" s="2" t="s">
        <v>105</v>
      </c>
      <c r="D157" s="2" t="s">
        <v>104</v>
      </c>
      <c r="E157" s="2">
        <v>1200</v>
      </c>
      <c r="F157" s="2" t="s">
        <v>344</v>
      </c>
      <c r="G157" s="2" t="s">
        <v>345</v>
      </c>
      <c r="H157" s="2">
        <v>6050</v>
      </c>
      <c r="I157" s="2" t="s">
        <v>493</v>
      </c>
      <c r="J157" s="2" t="s">
        <v>48</v>
      </c>
      <c r="K157" s="2" t="s">
        <v>49</v>
      </c>
      <c r="L157" s="2" t="s">
        <v>50</v>
      </c>
      <c r="M157" s="2" t="s">
        <v>35</v>
      </c>
      <c r="N157" s="2" t="s">
        <v>494</v>
      </c>
      <c r="O157" s="2">
        <v>4.9000000000000004</v>
      </c>
      <c r="P157" s="2">
        <v>4.9000000000000004</v>
      </c>
      <c r="Q157" s="2" t="s">
        <v>122</v>
      </c>
    </row>
    <row r="158" spans="1:17" x14ac:dyDescent="0.35">
      <c r="A158" s="2">
        <v>202605</v>
      </c>
      <c r="B158" s="2">
        <v>46173</v>
      </c>
      <c r="C158" s="2" t="s">
        <v>105</v>
      </c>
      <c r="D158" s="2" t="s">
        <v>104</v>
      </c>
      <c r="E158" s="2">
        <v>1300</v>
      </c>
      <c r="F158" s="2" t="s">
        <v>348</v>
      </c>
      <c r="G158" s="2" t="s">
        <v>349</v>
      </c>
      <c r="H158" s="2">
        <v>3900</v>
      </c>
      <c r="I158" s="2" t="s">
        <v>31</v>
      </c>
      <c r="J158" s="2" t="s">
        <v>13</v>
      </c>
      <c r="K158" s="2" t="s">
        <v>31</v>
      </c>
      <c r="L158" s="2" t="s">
        <v>31</v>
      </c>
      <c r="M158" s="2" t="s">
        <v>15</v>
      </c>
      <c r="N158" s="2" t="s">
        <v>485</v>
      </c>
      <c r="O158" s="2">
        <v>23.664999999999999</v>
      </c>
      <c r="P158" s="2">
        <v>-23.664999999999999</v>
      </c>
      <c r="Q158" s="2" t="s">
        <v>122</v>
      </c>
    </row>
    <row r="159" spans="1:17" x14ac:dyDescent="0.35">
      <c r="A159" s="2">
        <v>202605</v>
      </c>
      <c r="B159" s="2">
        <v>46173</v>
      </c>
      <c r="C159" s="2" t="s">
        <v>105</v>
      </c>
      <c r="D159" s="2" t="s">
        <v>104</v>
      </c>
      <c r="E159" s="2">
        <v>1300</v>
      </c>
      <c r="F159" s="2" t="s">
        <v>348</v>
      </c>
      <c r="G159" s="2" t="s">
        <v>349</v>
      </c>
      <c r="H159" s="2">
        <v>3400</v>
      </c>
      <c r="I159" s="2" t="s">
        <v>486</v>
      </c>
      <c r="J159" s="2" t="s">
        <v>13</v>
      </c>
      <c r="K159" s="2" t="s">
        <v>22</v>
      </c>
      <c r="L159" s="2" t="s">
        <v>23</v>
      </c>
      <c r="M159" s="2" t="s">
        <v>15</v>
      </c>
      <c r="N159" s="2" t="s">
        <v>487</v>
      </c>
      <c r="O159" s="2">
        <v>2.2759999999999998</v>
      </c>
      <c r="P159" s="2">
        <v>-2.2759999999999998</v>
      </c>
      <c r="Q159" s="2" t="s">
        <v>122</v>
      </c>
    </row>
    <row r="160" spans="1:17" x14ac:dyDescent="0.35">
      <c r="A160" s="2">
        <v>202605</v>
      </c>
      <c r="B160" s="2">
        <v>46173</v>
      </c>
      <c r="C160" s="2" t="s">
        <v>105</v>
      </c>
      <c r="D160" s="2" t="s">
        <v>104</v>
      </c>
      <c r="E160" s="2">
        <v>1300</v>
      </c>
      <c r="F160" s="2" t="s">
        <v>348</v>
      </c>
      <c r="G160" s="2" t="s">
        <v>349</v>
      </c>
      <c r="H160" s="2">
        <v>3670</v>
      </c>
      <c r="I160" s="2" t="s">
        <v>488</v>
      </c>
      <c r="J160" s="2" t="s">
        <v>13</v>
      </c>
      <c r="K160" s="2" t="s">
        <v>29</v>
      </c>
      <c r="L160" s="2" t="s">
        <v>30</v>
      </c>
      <c r="M160" s="2" t="s">
        <v>15</v>
      </c>
      <c r="N160" s="2" t="s">
        <v>489</v>
      </c>
      <c r="O160" s="2">
        <v>1.266</v>
      </c>
      <c r="P160" s="2">
        <v>-1.266</v>
      </c>
      <c r="Q160" s="2" t="s">
        <v>122</v>
      </c>
    </row>
    <row r="161" spans="1:17" x14ac:dyDescent="0.35">
      <c r="A161" s="2">
        <v>202605</v>
      </c>
      <c r="B161" s="2">
        <v>46173</v>
      </c>
      <c r="C161" s="2" t="s">
        <v>105</v>
      </c>
      <c r="D161" s="2" t="s">
        <v>104</v>
      </c>
      <c r="E161" s="2">
        <v>1300</v>
      </c>
      <c r="F161" s="2" t="s">
        <v>348</v>
      </c>
      <c r="G161" s="2" t="s">
        <v>349</v>
      </c>
      <c r="H161" s="2">
        <v>5000</v>
      </c>
      <c r="I161" s="2" t="s">
        <v>490</v>
      </c>
      <c r="J161" s="2" t="s">
        <v>33</v>
      </c>
      <c r="K161" s="2" t="s">
        <v>34</v>
      </c>
      <c r="L161" s="2" t="s">
        <v>36</v>
      </c>
      <c r="M161" s="2" t="s">
        <v>35</v>
      </c>
      <c r="N161" s="2" t="s">
        <v>491</v>
      </c>
      <c r="O161" s="2">
        <v>18.283000000000001</v>
      </c>
      <c r="P161" s="2">
        <v>18.283000000000001</v>
      </c>
      <c r="Q161" s="2" t="s">
        <v>122</v>
      </c>
    </row>
    <row r="162" spans="1:17" x14ac:dyDescent="0.35">
      <c r="A162" s="2">
        <v>202605</v>
      </c>
      <c r="B162" s="2">
        <v>46173</v>
      </c>
      <c r="C162" s="2" t="s">
        <v>105</v>
      </c>
      <c r="D162" s="2" t="s">
        <v>104</v>
      </c>
      <c r="E162" s="2">
        <v>1300</v>
      </c>
      <c r="F162" s="2" t="s">
        <v>348</v>
      </c>
      <c r="G162" s="2" t="s">
        <v>349</v>
      </c>
      <c r="H162" s="2">
        <v>6300</v>
      </c>
      <c r="I162" s="2" t="s">
        <v>54</v>
      </c>
      <c r="J162" s="2" t="s">
        <v>48</v>
      </c>
      <c r="K162" s="2" t="s">
        <v>53</v>
      </c>
      <c r="L162" s="2" t="s">
        <v>54</v>
      </c>
      <c r="M162" s="2" t="s">
        <v>35</v>
      </c>
      <c r="N162" s="2" t="s">
        <v>492</v>
      </c>
      <c r="O162" s="2">
        <v>7.0149999999999997</v>
      </c>
      <c r="P162" s="2">
        <v>7.0149999999999997</v>
      </c>
      <c r="Q162" s="2" t="s">
        <v>122</v>
      </c>
    </row>
    <row r="163" spans="1:17" x14ac:dyDescent="0.35">
      <c r="A163" s="2">
        <v>202605</v>
      </c>
      <c r="B163" s="2">
        <v>46173</v>
      </c>
      <c r="C163" s="2" t="s">
        <v>105</v>
      </c>
      <c r="D163" s="2" t="s">
        <v>104</v>
      </c>
      <c r="E163" s="2">
        <v>1300</v>
      </c>
      <c r="F163" s="2" t="s">
        <v>348</v>
      </c>
      <c r="G163" s="2" t="s">
        <v>349</v>
      </c>
      <c r="H163" s="2">
        <v>6050</v>
      </c>
      <c r="I163" s="2" t="s">
        <v>493</v>
      </c>
      <c r="J163" s="2" t="s">
        <v>48</v>
      </c>
      <c r="K163" s="2" t="s">
        <v>49</v>
      </c>
      <c r="L163" s="2" t="s">
        <v>50</v>
      </c>
      <c r="M163" s="2" t="s">
        <v>35</v>
      </c>
      <c r="N163" s="2" t="s">
        <v>494</v>
      </c>
      <c r="O163" s="2">
        <v>2.94</v>
      </c>
      <c r="P163" s="2">
        <v>2.94</v>
      </c>
      <c r="Q163" s="2" t="s">
        <v>122</v>
      </c>
    </row>
    <row r="164" spans="1:17" x14ac:dyDescent="0.35">
      <c r="A164" s="2">
        <v>202605</v>
      </c>
      <c r="B164" s="2">
        <v>46173</v>
      </c>
      <c r="C164" s="2" t="s">
        <v>105</v>
      </c>
      <c r="D164" s="2" t="s">
        <v>104</v>
      </c>
      <c r="E164" s="2">
        <v>1400</v>
      </c>
      <c r="F164" s="2" t="s">
        <v>352</v>
      </c>
      <c r="G164" s="2" t="s">
        <v>353</v>
      </c>
      <c r="H164" s="2">
        <v>3900</v>
      </c>
      <c r="I164" s="2" t="s">
        <v>31</v>
      </c>
      <c r="J164" s="2" t="s">
        <v>13</v>
      </c>
      <c r="K164" s="2" t="s">
        <v>31</v>
      </c>
      <c r="L164" s="2" t="s">
        <v>31</v>
      </c>
      <c r="M164" s="2" t="s">
        <v>15</v>
      </c>
      <c r="N164" s="2" t="s">
        <v>485</v>
      </c>
      <c r="O164" s="2">
        <v>13.375</v>
      </c>
      <c r="P164" s="2">
        <v>-13.375</v>
      </c>
      <c r="Q164" s="2" t="s">
        <v>122</v>
      </c>
    </row>
    <row r="165" spans="1:17" x14ac:dyDescent="0.35">
      <c r="A165" s="2">
        <v>202605</v>
      </c>
      <c r="B165" s="2">
        <v>46173</v>
      </c>
      <c r="C165" s="2" t="s">
        <v>105</v>
      </c>
      <c r="D165" s="2" t="s">
        <v>104</v>
      </c>
      <c r="E165" s="2">
        <v>1400</v>
      </c>
      <c r="F165" s="2" t="s">
        <v>352</v>
      </c>
      <c r="G165" s="2" t="s">
        <v>353</v>
      </c>
      <c r="H165" s="2">
        <v>3400</v>
      </c>
      <c r="I165" s="2" t="s">
        <v>486</v>
      </c>
      <c r="J165" s="2" t="s">
        <v>13</v>
      </c>
      <c r="K165" s="2" t="s">
        <v>22</v>
      </c>
      <c r="L165" s="2" t="s">
        <v>23</v>
      </c>
      <c r="M165" s="2" t="s">
        <v>15</v>
      </c>
      <c r="N165" s="2" t="s">
        <v>487</v>
      </c>
      <c r="O165" s="2">
        <v>1.3660000000000001</v>
      </c>
      <c r="P165" s="2">
        <v>-1.3660000000000001</v>
      </c>
      <c r="Q165" s="2" t="s">
        <v>122</v>
      </c>
    </row>
    <row r="166" spans="1:17" x14ac:dyDescent="0.35">
      <c r="A166" s="2">
        <v>202605</v>
      </c>
      <c r="B166" s="2">
        <v>46173</v>
      </c>
      <c r="C166" s="2" t="s">
        <v>105</v>
      </c>
      <c r="D166" s="2" t="s">
        <v>104</v>
      </c>
      <c r="E166" s="2">
        <v>1400</v>
      </c>
      <c r="F166" s="2" t="s">
        <v>352</v>
      </c>
      <c r="G166" s="2" t="s">
        <v>353</v>
      </c>
      <c r="H166" s="2">
        <v>3670</v>
      </c>
      <c r="I166" s="2" t="s">
        <v>488</v>
      </c>
      <c r="J166" s="2" t="s">
        <v>13</v>
      </c>
      <c r="K166" s="2" t="s">
        <v>29</v>
      </c>
      <c r="L166" s="2" t="s">
        <v>30</v>
      </c>
      <c r="M166" s="2" t="s">
        <v>15</v>
      </c>
      <c r="N166" s="2" t="s">
        <v>489</v>
      </c>
      <c r="O166" s="2">
        <v>0.76100000000000001</v>
      </c>
      <c r="P166" s="2">
        <v>-0.76100000000000001</v>
      </c>
      <c r="Q166" s="2" t="s">
        <v>122</v>
      </c>
    </row>
    <row r="167" spans="1:17" x14ac:dyDescent="0.35">
      <c r="A167" s="2">
        <v>202605</v>
      </c>
      <c r="B167" s="2">
        <v>46173</v>
      </c>
      <c r="C167" s="2" t="s">
        <v>105</v>
      </c>
      <c r="D167" s="2" t="s">
        <v>104</v>
      </c>
      <c r="E167" s="2">
        <v>1400</v>
      </c>
      <c r="F167" s="2" t="s">
        <v>352</v>
      </c>
      <c r="G167" s="2" t="s">
        <v>353</v>
      </c>
      <c r="H167" s="2">
        <v>5000</v>
      </c>
      <c r="I167" s="2" t="s">
        <v>490</v>
      </c>
      <c r="J167" s="2" t="s">
        <v>33</v>
      </c>
      <c r="K167" s="2" t="s">
        <v>34</v>
      </c>
      <c r="L167" s="2" t="s">
        <v>36</v>
      </c>
      <c r="M167" s="2" t="s">
        <v>35</v>
      </c>
      <c r="N167" s="2" t="s">
        <v>491</v>
      </c>
      <c r="O167" s="2">
        <v>10.333</v>
      </c>
      <c r="P167" s="2">
        <v>10.333</v>
      </c>
      <c r="Q167" s="2" t="s">
        <v>122</v>
      </c>
    </row>
    <row r="168" spans="1:17" x14ac:dyDescent="0.35">
      <c r="A168" s="2">
        <v>202605</v>
      </c>
      <c r="B168" s="2">
        <v>46173</v>
      </c>
      <c r="C168" s="2" t="s">
        <v>105</v>
      </c>
      <c r="D168" s="2" t="s">
        <v>104</v>
      </c>
      <c r="E168" s="2">
        <v>1400</v>
      </c>
      <c r="F168" s="2" t="s">
        <v>352</v>
      </c>
      <c r="G168" s="2" t="s">
        <v>353</v>
      </c>
      <c r="H168" s="2">
        <v>6300</v>
      </c>
      <c r="I168" s="2" t="s">
        <v>54</v>
      </c>
      <c r="J168" s="2" t="s">
        <v>48</v>
      </c>
      <c r="K168" s="2" t="s">
        <v>53</v>
      </c>
      <c r="L168" s="2" t="s">
        <v>54</v>
      </c>
      <c r="M168" s="2" t="s">
        <v>35</v>
      </c>
      <c r="N168" s="2" t="s">
        <v>492</v>
      </c>
      <c r="O168" s="2">
        <v>3.9649999999999999</v>
      </c>
      <c r="P168" s="2">
        <v>3.9649999999999999</v>
      </c>
      <c r="Q168" s="2" t="s">
        <v>122</v>
      </c>
    </row>
    <row r="169" spans="1:17" x14ac:dyDescent="0.35">
      <c r="A169" s="2">
        <v>202605</v>
      </c>
      <c r="B169" s="2">
        <v>46173</v>
      </c>
      <c r="C169" s="2" t="s">
        <v>105</v>
      </c>
      <c r="D169" s="2" t="s">
        <v>104</v>
      </c>
      <c r="E169" s="2">
        <v>1400</v>
      </c>
      <c r="F169" s="2" t="s">
        <v>352</v>
      </c>
      <c r="G169" s="2" t="s">
        <v>353</v>
      </c>
      <c r="H169" s="2">
        <v>6050</v>
      </c>
      <c r="I169" s="2" t="s">
        <v>493</v>
      </c>
      <c r="J169" s="2" t="s">
        <v>48</v>
      </c>
      <c r="K169" s="2" t="s">
        <v>49</v>
      </c>
      <c r="L169" s="2" t="s">
        <v>50</v>
      </c>
      <c r="M169" s="2" t="s">
        <v>35</v>
      </c>
      <c r="N169" s="2" t="s">
        <v>494</v>
      </c>
      <c r="O169" s="2">
        <v>1.26</v>
      </c>
      <c r="P169" s="2">
        <v>1.26</v>
      </c>
      <c r="Q169" s="2" t="s">
        <v>122</v>
      </c>
    </row>
    <row r="170" spans="1:17" x14ac:dyDescent="0.35">
      <c r="A170" s="2">
        <v>202605</v>
      </c>
      <c r="B170" s="2">
        <v>46173</v>
      </c>
      <c r="C170" s="2" t="s">
        <v>105</v>
      </c>
      <c r="D170" s="2" t="s">
        <v>104</v>
      </c>
      <c r="E170" s="2">
        <v>1500</v>
      </c>
      <c r="F170" s="2" t="s">
        <v>356</v>
      </c>
      <c r="G170" s="2" t="s">
        <v>357</v>
      </c>
      <c r="H170" s="2">
        <v>3900</v>
      </c>
      <c r="I170" s="2" t="s">
        <v>31</v>
      </c>
      <c r="J170" s="2" t="s">
        <v>13</v>
      </c>
      <c r="K170" s="2" t="s">
        <v>31</v>
      </c>
      <c r="L170" s="2" t="s">
        <v>31</v>
      </c>
      <c r="M170" s="2" t="s">
        <v>15</v>
      </c>
      <c r="N170" s="2" t="s">
        <v>485</v>
      </c>
      <c r="O170" s="2">
        <v>10.29</v>
      </c>
      <c r="P170" s="2">
        <v>-10.29</v>
      </c>
      <c r="Q170" s="2" t="s">
        <v>122</v>
      </c>
    </row>
    <row r="171" spans="1:17" x14ac:dyDescent="0.35">
      <c r="A171" s="2">
        <v>202605</v>
      </c>
      <c r="B171" s="2">
        <v>46173</v>
      </c>
      <c r="C171" s="2" t="s">
        <v>105</v>
      </c>
      <c r="D171" s="2" t="s">
        <v>104</v>
      </c>
      <c r="E171" s="2">
        <v>1500</v>
      </c>
      <c r="F171" s="2" t="s">
        <v>356</v>
      </c>
      <c r="G171" s="2" t="s">
        <v>357</v>
      </c>
      <c r="H171" s="2">
        <v>3400</v>
      </c>
      <c r="I171" s="2" t="s">
        <v>486</v>
      </c>
      <c r="J171" s="2" t="s">
        <v>13</v>
      </c>
      <c r="K171" s="2" t="s">
        <v>22</v>
      </c>
      <c r="L171" s="2" t="s">
        <v>23</v>
      </c>
      <c r="M171" s="2" t="s">
        <v>15</v>
      </c>
      <c r="N171" s="2" t="s">
        <v>487</v>
      </c>
      <c r="O171" s="2">
        <v>0.91100000000000003</v>
      </c>
      <c r="P171" s="2">
        <v>-0.91100000000000003</v>
      </c>
      <c r="Q171" s="2" t="s">
        <v>122</v>
      </c>
    </row>
    <row r="172" spans="1:17" x14ac:dyDescent="0.35">
      <c r="A172" s="2">
        <v>202605</v>
      </c>
      <c r="B172" s="2">
        <v>46173</v>
      </c>
      <c r="C172" s="2" t="s">
        <v>105</v>
      </c>
      <c r="D172" s="2" t="s">
        <v>104</v>
      </c>
      <c r="E172" s="2">
        <v>1500</v>
      </c>
      <c r="F172" s="2" t="s">
        <v>356</v>
      </c>
      <c r="G172" s="2" t="s">
        <v>357</v>
      </c>
      <c r="H172" s="2">
        <v>3670</v>
      </c>
      <c r="I172" s="2" t="s">
        <v>488</v>
      </c>
      <c r="J172" s="2" t="s">
        <v>13</v>
      </c>
      <c r="K172" s="2" t="s">
        <v>29</v>
      </c>
      <c r="L172" s="2" t="s">
        <v>30</v>
      </c>
      <c r="M172" s="2" t="s">
        <v>15</v>
      </c>
      <c r="N172" s="2" t="s">
        <v>489</v>
      </c>
      <c r="O172" s="2">
        <v>0.505</v>
      </c>
      <c r="P172" s="2">
        <v>-0.505</v>
      </c>
      <c r="Q172" s="2" t="s">
        <v>122</v>
      </c>
    </row>
    <row r="173" spans="1:17" x14ac:dyDescent="0.35">
      <c r="A173" s="2">
        <v>202605</v>
      </c>
      <c r="B173" s="2">
        <v>46173</v>
      </c>
      <c r="C173" s="2" t="s">
        <v>105</v>
      </c>
      <c r="D173" s="2" t="s">
        <v>104</v>
      </c>
      <c r="E173" s="2">
        <v>1500</v>
      </c>
      <c r="F173" s="2" t="s">
        <v>356</v>
      </c>
      <c r="G173" s="2" t="s">
        <v>357</v>
      </c>
      <c r="H173" s="2">
        <v>5000</v>
      </c>
      <c r="I173" s="2" t="s">
        <v>490</v>
      </c>
      <c r="J173" s="2" t="s">
        <v>33</v>
      </c>
      <c r="K173" s="2" t="s">
        <v>34</v>
      </c>
      <c r="L173" s="2" t="s">
        <v>36</v>
      </c>
      <c r="M173" s="2" t="s">
        <v>35</v>
      </c>
      <c r="N173" s="2" t="s">
        <v>491</v>
      </c>
      <c r="O173" s="2">
        <v>7.95</v>
      </c>
      <c r="P173" s="2">
        <v>7.95</v>
      </c>
      <c r="Q173" s="2" t="s">
        <v>122</v>
      </c>
    </row>
    <row r="174" spans="1:17" x14ac:dyDescent="0.35">
      <c r="A174" s="2">
        <v>202605</v>
      </c>
      <c r="B174" s="2">
        <v>46173</v>
      </c>
      <c r="C174" s="2" t="s">
        <v>105</v>
      </c>
      <c r="D174" s="2" t="s">
        <v>104</v>
      </c>
      <c r="E174" s="2">
        <v>1500</v>
      </c>
      <c r="F174" s="2" t="s">
        <v>356</v>
      </c>
      <c r="G174" s="2" t="s">
        <v>357</v>
      </c>
      <c r="H174" s="2">
        <v>6300</v>
      </c>
      <c r="I174" s="2" t="s">
        <v>54</v>
      </c>
      <c r="J174" s="2" t="s">
        <v>48</v>
      </c>
      <c r="K174" s="2" t="s">
        <v>53</v>
      </c>
      <c r="L174" s="2" t="s">
        <v>54</v>
      </c>
      <c r="M174" s="2" t="s">
        <v>35</v>
      </c>
      <c r="N174" s="2" t="s">
        <v>492</v>
      </c>
      <c r="O174" s="2">
        <v>3.05</v>
      </c>
      <c r="P174" s="2">
        <v>3.05</v>
      </c>
      <c r="Q174" s="2" t="s">
        <v>122</v>
      </c>
    </row>
    <row r="175" spans="1:17" x14ac:dyDescent="0.35">
      <c r="A175" s="2">
        <v>202605</v>
      </c>
      <c r="B175" s="2">
        <v>46173</v>
      </c>
      <c r="C175" s="2" t="s">
        <v>105</v>
      </c>
      <c r="D175" s="2" t="s">
        <v>104</v>
      </c>
      <c r="E175" s="2">
        <v>1500</v>
      </c>
      <c r="F175" s="2" t="s">
        <v>356</v>
      </c>
      <c r="G175" s="2" t="s">
        <v>357</v>
      </c>
      <c r="H175" s="2">
        <v>6050</v>
      </c>
      <c r="I175" s="2" t="s">
        <v>493</v>
      </c>
      <c r="J175" s="2" t="s">
        <v>48</v>
      </c>
      <c r="K175" s="2" t="s">
        <v>49</v>
      </c>
      <c r="L175" s="2" t="s">
        <v>50</v>
      </c>
      <c r="M175" s="2" t="s">
        <v>35</v>
      </c>
      <c r="N175" s="2" t="s">
        <v>494</v>
      </c>
      <c r="O175" s="2">
        <v>0.98</v>
      </c>
      <c r="P175" s="2">
        <v>0.98</v>
      </c>
      <c r="Q175" s="2" t="s">
        <v>122</v>
      </c>
    </row>
    <row r="176" spans="1:17" x14ac:dyDescent="0.35">
      <c r="A176" s="2">
        <v>202605</v>
      </c>
      <c r="B176" s="2">
        <v>46173</v>
      </c>
      <c r="C176" s="2" t="s">
        <v>105</v>
      </c>
      <c r="D176" s="2" t="s">
        <v>104</v>
      </c>
      <c r="E176" s="2">
        <v>1900</v>
      </c>
      <c r="F176" s="2" t="s">
        <v>360</v>
      </c>
      <c r="G176" s="2" t="s">
        <v>361</v>
      </c>
      <c r="H176" s="2">
        <v>3900</v>
      </c>
      <c r="I176" s="2" t="s">
        <v>31</v>
      </c>
      <c r="J176" s="2" t="s">
        <v>13</v>
      </c>
      <c r="K176" s="2" t="s">
        <v>31</v>
      </c>
      <c r="L176" s="2" t="s">
        <v>31</v>
      </c>
      <c r="M176" s="2" t="s">
        <v>15</v>
      </c>
      <c r="N176" s="2" t="s">
        <v>485</v>
      </c>
      <c r="O176" s="2">
        <v>7.2050000000000001</v>
      </c>
      <c r="P176" s="2">
        <v>-7.2050000000000001</v>
      </c>
      <c r="Q176" s="2" t="s">
        <v>122</v>
      </c>
    </row>
    <row r="177" spans="1:17" x14ac:dyDescent="0.35">
      <c r="A177" s="2">
        <v>202605</v>
      </c>
      <c r="B177" s="2">
        <v>46173</v>
      </c>
      <c r="C177" s="2" t="s">
        <v>105</v>
      </c>
      <c r="D177" s="2" t="s">
        <v>104</v>
      </c>
      <c r="E177" s="2">
        <v>1900</v>
      </c>
      <c r="F177" s="2" t="s">
        <v>360</v>
      </c>
      <c r="G177" s="2" t="s">
        <v>361</v>
      </c>
      <c r="H177" s="2">
        <v>3400</v>
      </c>
      <c r="I177" s="2" t="s">
        <v>486</v>
      </c>
      <c r="J177" s="2" t="s">
        <v>13</v>
      </c>
      <c r="K177" s="2" t="s">
        <v>22</v>
      </c>
      <c r="L177" s="2" t="s">
        <v>23</v>
      </c>
      <c r="M177" s="2" t="s">
        <v>15</v>
      </c>
      <c r="N177" s="2" t="s">
        <v>487</v>
      </c>
      <c r="O177" s="2">
        <v>0.27300000000000002</v>
      </c>
      <c r="P177" s="2">
        <v>-0.27300000000000002</v>
      </c>
      <c r="Q177" s="2" t="s">
        <v>122</v>
      </c>
    </row>
    <row r="178" spans="1:17" x14ac:dyDescent="0.35">
      <c r="A178" s="2">
        <v>202605</v>
      </c>
      <c r="B178" s="2">
        <v>46173</v>
      </c>
      <c r="C178" s="2" t="s">
        <v>105</v>
      </c>
      <c r="D178" s="2" t="s">
        <v>104</v>
      </c>
      <c r="E178" s="2">
        <v>1900</v>
      </c>
      <c r="F178" s="2" t="s">
        <v>360</v>
      </c>
      <c r="G178" s="2" t="s">
        <v>361</v>
      </c>
      <c r="H178" s="2">
        <v>3670</v>
      </c>
      <c r="I178" s="2" t="s">
        <v>488</v>
      </c>
      <c r="J178" s="2" t="s">
        <v>13</v>
      </c>
      <c r="K178" s="2" t="s">
        <v>29</v>
      </c>
      <c r="L178" s="2" t="s">
        <v>30</v>
      </c>
      <c r="M178" s="2" t="s">
        <v>15</v>
      </c>
      <c r="N178" s="2" t="s">
        <v>489</v>
      </c>
      <c r="O178" s="2">
        <v>1.625</v>
      </c>
      <c r="P178" s="2">
        <v>-1.625</v>
      </c>
      <c r="Q178" s="2" t="s">
        <v>122</v>
      </c>
    </row>
    <row r="179" spans="1:17" x14ac:dyDescent="0.35">
      <c r="A179" s="2">
        <v>202605</v>
      </c>
      <c r="B179" s="2">
        <v>46173</v>
      </c>
      <c r="C179" s="2" t="s">
        <v>105</v>
      </c>
      <c r="D179" s="2" t="s">
        <v>104</v>
      </c>
      <c r="E179" s="2">
        <v>1900</v>
      </c>
      <c r="F179" s="2" t="s">
        <v>360</v>
      </c>
      <c r="G179" s="2" t="s">
        <v>361</v>
      </c>
      <c r="H179" s="2">
        <v>5000</v>
      </c>
      <c r="I179" s="2" t="s">
        <v>490</v>
      </c>
      <c r="J179" s="2" t="s">
        <v>33</v>
      </c>
      <c r="K179" s="2" t="s">
        <v>34</v>
      </c>
      <c r="L179" s="2" t="s">
        <v>36</v>
      </c>
      <c r="M179" s="2" t="s">
        <v>35</v>
      </c>
      <c r="N179" s="2" t="s">
        <v>491</v>
      </c>
      <c r="O179" s="2">
        <v>6.3579999999999997</v>
      </c>
      <c r="P179" s="2">
        <v>6.3579999999999997</v>
      </c>
      <c r="Q179" s="2" t="s">
        <v>122</v>
      </c>
    </row>
    <row r="180" spans="1:17" x14ac:dyDescent="0.35">
      <c r="A180" s="2">
        <v>202605</v>
      </c>
      <c r="B180" s="2">
        <v>46173</v>
      </c>
      <c r="C180" s="2" t="s">
        <v>105</v>
      </c>
      <c r="D180" s="2" t="s">
        <v>104</v>
      </c>
      <c r="E180" s="2">
        <v>1900</v>
      </c>
      <c r="F180" s="2" t="s">
        <v>360</v>
      </c>
      <c r="G180" s="2" t="s">
        <v>361</v>
      </c>
      <c r="H180" s="2">
        <v>6300</v>
      </c>
      <c r="I180" s="2" t="s">
        <v>54</v>
      </c>
      <c r="J180" s="2" t="s">
        <v>48</v>
      </c>
      <c r="K180" s="2" t="s">
        <v>53</v>
      </c>
      <c r="L180" s="2" t="s">
        <v>54</v>
      </c>
      <c r="M180" s="2" t="s">
        <v>35</v>
      </c>
      <c r="N180" s="2" t="s">
        <v>492</v>
      </c>
      <c r="O180" s="2">
        <v>2.44</v>
      </c>
      <c r="P180" s="2">
        <v>2.44</v>
      </c>
      <c r="Q180" s="2" t="s">
        <v>122</v>
      </c>
    </row>
    <row r="181" spans="1:17" x14ac:dyDescent="0.35">
      <c r="A181" s="2">
        <v>202605</v>
      </c>
      <c r="B181" s="2">
        <v>46173</v>
      </c>
      <c r="C181" s="2" t="s">
        <v>105</v>
      </c>
      <c r="D181" s="2" t="s">
        <v>104</v>
      </c>
      <c r="E181" s="2">
        <v>1900</v>
      </c>
      <c r="F181" s="2" t="s">
        <v>360</v>
      </c>
      <c r="G181" s="2" t="s">
        <v>361</v>
      </c>
      <c r="H181" s="2">
        <v>6050</v>
      </c>
      <c r="I181" s="2" t="s">
        <v>493</v>
      </c>
      <c r="J181" s="2" t="s">
        <v>48</v>
      </c>
      <c r="K181" s="2" t="s">
        <v>49</v>
      </c>
      <c r="L181" s="2" t="s">
        <v>50</v>
      </c>
      <c r="M181" s="2" t="s">
        <v>35</v>
      </c>
      <c r="N181" s="2" t="s">
        <v>494</v>
      </c>
      <c r="O181" s="2">
        <v>1.26</v>
      </c>
      <c r="P181" s="2">
        <v>1.26</v>
      </c>
      <c r="Q181" s="2" t="s">
        <v>122</v>
      </c>
    </row>
    <row r="182" spans="1:17" x14ac:dyDescent="0.35">
      <c r="A182" s="2">
        <v>202606</v>
      </c>
      <c r="B182" s="2">
        <v>46203</v>
      </c>
      <c r="C182" s="2" t="s">
        <v>106</v>
      </c>
      <c r="D182" s="2" t="s">
        <v>104</v>
      </c>
      <c r="E182" s="2">
        <v>1100</v>
      </c>
      <c r="F182" s="2" t="s">
        <v>339</v>
      </c>
      <c r="G182" s="2" t="s">
        <v>340</v>
      </c>
      <c r="H182" s="2">
        <v>3900</v>
      </c>
      <c r="I182" s="2" t="s">
        <v>31</v>
      </c>
      <c r="J182" s="2" t="s">
        <v>13</v>
      </c>
      <c r="K182" s="2" t="s">
        <v>31</v>
      </c>
      <c r="L182" s="2" t="s">
        <v>31</v>
      </c>
      <c r="M182" s="2" t="s">
        <v>15</v>
      </c>
      <c r="N182" s="2" t="s">
        <v>485</v>
      </c>
      <c r="O182" s="2">
        <v>20.58</v>
      </c>
      <c r="P182" s="2">
        <v>-20.58</v>
      </c>
      <c r="Q182" s="2" t="s">
        <v>122</v>
      </c>
    </row>
    <row r="183" spans="1:17" x14ac:dyDescent="0.35">
      <c r="A183" s="2">
        <v>202606</v>
      </c>
      <c r="B183" s="2">
        <v>46203</v>
      </c>
      <c r="C183" s="2" t="s">
        <v>106</v>
      </c>
      <c r="D183" s="2" t="s">
        <v>104</v>
      </c>
      <c r="E183" s="2">
        <v>1100</v>
      </c>
      <c r="F183" s="2" t="s">
        <v>339</v>
      </c>
      <c r="G183" s="2" t="s">
        <v>340</v>
      </c>
      <c r="H183" s="2">
        <v>3400</v>
      </c>
      <c r="I183" s="2" t="s">
        <v>486</v>
      </c>
      <c r="J183" s="2" t="s">
        <v>13</v>
      </c>
      <c r="K183" s="2" t="s">
        <v>22</v>
      </c>
      <c r="L183" s="2" t="s">
        <v>23</v>
      </c>
      <c r="M183" s="2" t="s">
        <v>15</v>
      </c>
      <c r="N183" s="2" t="s">
        <v>487</v>
      </c>
      <c r="O183" s="2">
        <v>2.0569999999999999</v>
      </c>
      <c r="P183" s="2">
        <v>-2.0569999999999999</v>
      </c>
      <c r="Q183" s="2" t="s">
        <v>122</v>
      </c>
    </row>
    <row r="184" spans="1:17" x14ac:dyDescent="0.35">
      <c r="A184" s="2">
        <v>202606</v>
      </c>
      <c r="B184" s="2">
        <v>46203</v>
      </c>
      <c r="C184" s="2" t="s">
        <v>106</v>
      </c>
      <c r="D184" s="2" t="s">
        <v>104</v>
      </c>
      <c r="E184" s="2">
        <v>1100</v>
      </c>
      <c r="F184" s="2" t="s">
        <v>339</v>
      </c>
      <c r="G184" s="2" t="s">
        <v>340</v>
      </c>
      <c r="H184" s="2">
        <v>3670</v>
      </c>
      <c r="I184" s="2" t="s">
        <v>488</v>
      </c>
      <c r="J184" s="2" t="s">
        <v>13</v>
      </c>
      <c r="K184" s="2" t="s">
        <v>29</v>
      </c>
      <c r="L184" s="2" t="s">
        <v>30</v>
      </c>
      <c r="M184" s="2" t="s">
        <v>15</v>
      </c>
      <c r="N184" s="2" t="s">
        <v>489</v>
      </c>
      <c r="O184" s="2">
        <v>0.69799999999999995</v>
      </c>
      <c r="P184" s="2">
        <v>-0.69799999999999995</v>
      </c>
      <c r="Q184" s="2" t="s">
        <v>122</v>
      </c>
    </row>
    <row r="185" spans="1:17" x14ac:dyDescent="0.35">
      <c r="A185" s="2">
        <v>202606</v>
      </c>
      <c r="B185" s="2">
        <v>46203</v>
      </c>
      <c r="C185" s="2" t="s">
        <v>106</v>
      </c>
      <c r="D185" s="2" t="s">
        <v>104</v>
      </c>
      <c r="E185" s="2">
        <v>1100</v>
      </c>
      <c r="F185" s="2" t="s">
        <v>339</v>
      </c>
      <c r="G185" s="2" t="s">
        <v>340</v>
      </c>
      <c r="H185" s="2">
        <v>5000</v>
      </c>
      <c r="I185" s="2" t="s">
        <v>490</v>
      </c>
      <c r="J185" s="2" t="s">
        <v>33</v>
      </c>
      <c r="K185" s="2" t="s">
        <v>34</v>
      </c>
      <c r="L185" s="2" t="s">
        <v>36</v>
      </c>
      <c r="M185" s="2" t="s">
        <v>35</v>
      </c>
      <c r="N185" s="2" t="s">
        <v>491</v>
      </c>
      <c r="O185" s="2">
        <v>22.045000000000002</v>
      </c>
      <c r="P185" s="2">
        <v>22.045000000000002</v>
      </c>
      <c r="Q185" s="2" t="s">
        <v>122</v>
      </c>
    </row>
    <row r="186" spans="1:17" x14ac:dyDescent="0.35">
      <c r="A186" s="2">
        <v>202606</v>
      </c>
      <c r="B186" s="2">
        <v>46203</v>
      </c>
      <c r="C186" s="2" t="s">
        <v>106</v>
      </c>
      <c r="D186" s="2" t="s">
        <v>104</v>
      </c>
      <c r="E186" s="2">
        <v>1100</v>
      </c>
      <c r="F186" s="2" t="s">
        <v>339</v>
      </c>
      <c r="G186" s="2" t="s">
        <v>340</v>
      </c>
      <c r="H186" s="2">
        <v>6300</v>
      </c>
      <c r="I186" s="2" t="s">
        <v>54</v>
      </c>
      <c r="J186" s="2" t="s">
        <v>48</v>
      </c>
      <c r="K186" s="2" t="s">
        <v>53</v>
      </c>
      <c r="L186" s="2" t="s">
        <v>54</v>
      </c>
      <c r="M186" s="2" t="s">
        <v>35</v>
      </c>
      <c r="N186" s="2" t="s">
        <v>492</v>
      </c>
      <c r="O186" s="2">
        <v>6.27</v>
      </c>
      <c r="P186" s="2">
        <v>6.27</v>
      </c>
      <c r="Q186" s="2" t="s">
        <v>122</v>
      </c>
    </row>
    <row r="187" spans="1:17" x14ac:dyDescent="0.35">
      <c r="A187" s="2">
        <v>202606</v>
      </c>
      <c r="B187" s="2">
        <v>46203</v>
      </c>
      <c r="C187" s="2" t="s">
        <v>106</v>
      </c>
      <c r="D187" s="2" t="s">
        <v>104</v>
      </c>
      <c r="E187" s="2">
        <v>1100</v>
      </c>
      <c r="F187" s="2" t="s">
        <v>339</v>
      </c>
      <c r="G187" s="2" t="s">
        <v>340</v>
      </c>
      <c r="H187" s="2">
        <v>6050</v>
      </c>
      <c r="I187" s="2" t="s">
        <v>493</v>
      </c>
      <c r="J187" s="2" t="s">
        <v>48</v>
      </c>
      <c r="K187" s="2" t="s">
        <v>49</v>
      </c>
      <c r="L187" s="2" t="s">
        <v>50</v>
      </c>
      <c r="M187" s="2" t="s">
        <v>35</v>
      </c>
      <c r="N187" s="2" t="s">
        <v>494</v>
      </c>
      <c r="O187" s="2">
        <v>3.04</v>
      </c>
      <c r="P187" s="2">
        <v>3.04</v>
      </c>
      <c r="Q187" s="2" t="s">
        <v>122</v>
      </c>
    </row>
    <row r="188" spans="1:17" x14ac:dyDescent="0.35">
      <c r="A188" s="2">
        <v>202606</v>
      </c>
      <c r="B188" s="2">
        <v>46203</v>
      </c>
      <c r="C188" s="2" t="s">
        <v>106</v>
      </c>
      <c r="D188" s="2" t="s">
        <v>104</v>
      </c>
      <c r="E188" s="2">
        <v>1200</v>
      </c>
      <c r="F188" s="2" t="s">
        <v>344</v>
      </c>
      <c r="G188" s="2" t="s">
        <v>345</v>
      </c>
      <c r="H188" s="2">
        <v>3900</v>
      </c>
      <c r="I188" s="2" t="s">
        <v>31</v>
      </c>
      <c r="J188" s="2" t="s">
        <v>13</v>
      </c>
      <c r="K188" s="2" t="s">
        <v>31</v>
      </c>
      <c r="L188" s="2" t="s">
        <v>31</v>
      </c>
      <c r="M188" s="2" t="s">
        <v>15</v>
      </c>
      <c r="N188" s="2" t="s">
        <v>485</v>
      </c>
      <c r="O188" s="2">
        <v>27.785</v>
      </c>
      <c r="P188" s="2">
        <v>-27.785</v>
      </c>
      <c r="Q188" s="2" t="s">
        <v>122</v>
      </c>
    </row>
    <row r="189" spans="1:17" x14ac:dyDescent="0.35">
      <c r="A189" s="2">
        <v>202606</v>
      </c>
      <c r="B189" s="2">
        <v>46203</v>
      </c>
      <c r="C189" s="2" t="s">
        <v>106</v>
      </c>
      <c r="D189" s="2" t="s">
        <v>104</v>
      </c>
      <c r="E189" s="2">
        <v>1200</v>
      </c>
      <c r="F189" s="2" t="s">
        <v>344</v>
      </c>
      <c r="G189" s="2" t="s">
        <v>345</v>
      </c>
      <c r="H189" s="2">
        <v>3400</v>
      </c>
      <c r="I189" s="2" t="s">
        <v>486</v>
      </c>
      <c r="J189" s="2" t="s">
        <v>13</v>
      </c>
      <c r="K189" s="2" t="s">
        <v>22</v>
      </c>
      <c r="L189" s="2" t="s">
        <v>23</v>
      </c>
      <c r="M189" s="2" t="s">
        <v>15</v>
      </c>
      <c r="N189" s="2" t="s">
        <v>487</v>
      </c>
      <c r="O189" s="2">
        <v>4.4880000000000004</v>
      </c>
      <c r="P189" s="2">
        <v>-4.4880000000000004</v>
      </c>
      <c r="Q189" s="2" t="s">
        <v>122</v>
      </c>
    </row>
    <row r="190" spans="1:17" x14ac:dyDescent="0.35">
      <c r="A190" s="2">
        <v>202606</v>
      </c>
      <c r="B190" s="2">
        <v>46203</v>
      </c>
      <c r="C190" s="2" t="s">
        <v>106</v>
      </c>
      <c r="D190" s="2" t="s">
        <v>104</v>
      </c>
      <c r="E190" s="2">
        <v>1200</v>
      </c>
      <c r="F190" s="2" t="s">
        <v>344</v>
      </c>
      <c r="G190" s="2" t="s">
        <v>345</v>
      </c>
      <c r="H190" s="2">
        <v>3670</v>
      </c>
      <c r="I190" s="2" t="s">
        <v>488</v>
      </c>
      <c r="J190" s="2" t="s">
        <v>13</v>
      </c>
      <c r="K190" s="2" t="s">
        <v>29</v>
      </c>
      <c r="L190" s="2" t="s">
        <v>30</v>
      </c>
      <c r="M190" s="2" t="s">
        <v>15</v>
      </c>
      <c r="N190" s="2" t="s">
        <v>489</v>
      </c>
      <c r="O190" s="2">
        <v>1.754</v>
      </c>
      <c r="P190" s="2">
        <v>-1.754</v>
      </c>
      <c r="Q190" s="2" t="s">
        <v>122</v>
      </c>
    </row>
    <row r="191" spans="1:17" x14ac:dyDescent="0.35">
      <c r="A191" s="2">
        <v>202606</v>
      </c>
      <c r="B191" s="2">
        <v>46203</v>
      </c>
      <c r="C191" s="2" t="s">
        <v>106</v>
      </c>
      <c r="D191" s="2" t="s">
        <v>104</v>
      </c>
      <c r="E191" s="2">
        <v>1200</v>
      </c>
      <c r="F191" s="2" t="s">
        <v>344</v>
      </c>
      <c r="G191" s="2" t="s">
        <v>345</v>
      </c>
      <c r="H191" s="2">
        <v>5000</v>
      </c>
      <c r="I191" s="2" t="s">
        <v>490</v>
      </c>
      <c r="J191" s="2" t="s">
        <v>33</v>
      </c>
      <c r="K191" s="2" t="s">
        <v>34</v>
      </c>
      <c r="L191" s="2" t="s">
        <v>36</v>
      </c>
      <c r="M191" s="2" t="s">
        <v>35</v>
      </c>
      <c r="N191" s="2" t="s">
        <v>491</v>
      </c>
      <c r="O191" s="2">
        <v>31.321999999999999</v>
      </c>
      <c r="P191" s="2">
        <v>31.321999999999999</v>
      </c>
      <c r="Q191" s="2" t="s">
        <v>122</v>
      </c>
    </row>
    <row r="192" spans="1:17" x14ac:dyDescent="0.35">
      <c r="A192" s="2">
        <v>202606</v>
      </c>
      <c r="B192" s="2">
        <v>46203</v>
      </c>
      <c r="C192" s="2" t="s">
        <v>106</v>
      </c>
      <c r="D192" s="2" t="s">
        <v>104</v>
      </c>
      <c r="E192" s="2">
        <v>1200</v>
      </c>
      <c r="F192" s="2" t="s">
        <v>344</v>
      </c>
      <c r="G192" s="2" t="s">
        <v>345</v>
      </c>
      <c r="H192" s="2">
        <v>6300</v>
      </c>
      <c r="I192" s="2" t="s">
        <v>54</v>
      </c>
      <c r="J192" s="2" t="s">
        <v>48</v>
      </c>
      <c r="K192" s="2" t="s">
        <v>53</v>
      </c>
      <c r="L192" s="2" t="s">
        <v>54</v>
      </c>
      <c r="M192" s="2" t="s">
        <v>35</v>
      </c>
      <c r="N192" s="2" t="s">
        <v>492</v>
      </c>
      <c r="O192" s="2">
        <v>8.91</v>
      </c>
      <c r="P192" s="2">
        <v>8.91</v>
      </c>
      <c r="Q192" s="2" t="s">
        <v>122</v>
      </c>
    </row>
    <row r="193" spans="1:17" x14ac:dyDescent="0.35">
      <c r="A193" s="2">
        <v>202606</v>
      </c>
      <c r="B193" s="2">
        <v>46203</v>
      </c>
      <c r="C193" s="2" t="s">
        <v>106</v>
      </c>
      <c r="D193" s="2" t="s">
        <v>104</v>
      </c>
      <c r="E193" s="2">
        <v>1200</v>
      </c>
      <c r="F193" s="2" t="s">
        <v>344</v>
      </c>
      <c r="G193" s="2" t="s">
        <v>345</v>
      </c>
      <c r="H193" s="2">
        <v>6050</v>
      </c>
      <c r="I193" s="2" t="s">
        <v>493</v>
      </c>
      <c r="J193" s="2" t="s">
        <v>48</v>
      </c>
      <c r="K193" s="2" t="s">
        <v>49</v>
      </c>
      <c r="L193" s="2" t="s">
        <v>50</v>
      </c>
      <c r="M193" s="2" t="s">
        <v>35</v>
      </c>
      <c r="N193" s="2" t="s">
        <v>494</v>
      </c>
      <c r="O193" s="2">
        <v>5.6</v>
      </c>
      <c r="P193" s="2">
        <v>5.6</v>
      </c>
      <c r="Q193" s="2" t="s">
        <v>122</v>
      </c>
    </row>
    <row r="194" spans="1:17" x14ac:dyDescent="0.35">
      <c r="A194" s="2">
        <v>202606</v>
      </c>
      <c r="B194" s="2">
        <v>46203</v>
      </c>
      <c r="C194" s="2" t="s">
        <v>106</v>
      </c>
      <c r="D194" s="2" t="s">
        <v>104</v>
      </c>
      <c r="E194" s="2">
        <v>1300</v>
      </c>
      <c r="F194" s="2" t="s">
        <v>348</v>
      </c>
      <c r="G194" s="2" t="s">
        <v>349</v>
      </c>
      <c r="H194" s="2">
        <v>3900</v>
      </c>
      <c r="I194" s="2" t="s">
        <v>31</v>
      </c>
      <c r="J194" s="2" t="s">
        <v>13</v>
      </c>
      <c r="K194" s="2" t="s">
        <v>31</v>
      </c>
      <c r="L194" s="2" t="s">
        <v>31</v>
      </c>
      <c r="M194" s="2" t="s">
        <v>15</v>
      </c>
      <c r="N194" s="2" t="s">
        <v>485</v>
      </c>
      <c r="O194" s="2">
        <v>23.664999999999999</v>
      </c>
      <c r="P194" s="2">
        <v>-23.664999999999999</v>
      </c>
      <c r="Q194" s="2" t="s">
        <v>122</v>
      </c>
    </row>
    <row r="195" spans="1:17" x14ac:dyDescent="0.35">
      <c r="A195" s="2">
        <v>202606</v>
      </c>
      <c r="B195" s="2">
        <v>46203</v>
      </c>
      <c r="C195" s="2" t="s">
        <v>106</v>
      </c>
      <c r="D195" s="2" t="s">
        <v>104</v>
      </c>
      <c r="E195" s="2">
        <v>1300</v>
      </c>
      <c r="F195" s="2" t="s">
        <v>348</v>
      </c>
      <c r="G195" s="2" t="s">
        <v>349</v>
      </c>
      <c r="H195" s="2">
        <v>3400</v>
      </c>
      <c r="I195" s="2" t="s">
        <v>486</v>
      </c>
      <c r="J195" s="2" t="s">
        <v>13</v>
      </c>
      <c r="K195" s="2" t="s">
        <v>22</v>
      </c>
      <c r="L195" s="2" t="s">
        <v>23</v>
      </c>
      <c r="M195" s="2" t="s">
        <v>15</v>
      </c>
      <c r="N195" s="2" t="s">
        <v>487</v>
      </c>
      <c r="O195" s="2">
        <v>2.3370000000000002</v>
      </c>
      <c r="P195" s="2">
        <v>-2.3370000000000002</v>
      </c>
      <c r="Q195" s="2" t="s">
        <v>122</v>
      </c>
    </row>
    <row r="196" spans="1:17" x14ac:dyDescent="0.35">
      <c r="A196" s="2">
        <v>202606</v>
      </c>
      <c r="B196" s="2">
        <v>46203</v>
      </c>
      <c r="C196" s="2" t="s">
        <v>106</v>
      </c>
      <c r="D196" s="2" t="s">
        <v>104</v>
      </c>
      <c r="E196" s="2">
        <v>1300</v>
      </c>
      <c r="F196" s="2" t="s">
        <v>348</v>
      </c>
      <c r="G196" s="2" t="s">
        <v>349</v>
      </c>
      <c r="H196" s="2">
        <v>3670</v>
      </c>
      <c r="I196" s="2" t="s">
        <v>488</v>
      </c>
      <c r="J196" s="2" t="s">
        <v>13</v>
      </c>
      <c r="K196" s="2" t="s">
        <v>29</v>
      </c>
      <c r="L196" s="2" t="s">
        <v>30</v>
      </c>
      <c r="M196" s="2" t="s">
        <v>15</v>
      </c>
      <c r="N196" s="2" t="s">
        <v>489</v>
      </c>
      <c r="O196" s="2">
        <v>1.3240000000000001</v>
      </c>
      <c r="P196" s="2">
        <v>-1.3240000000000001</v>
      </c>
      <c r="Q196" s="2" t="s">
        <v>122</v>
      </c>
    </row>
    <row r="197" spans="1:17" x14ac:dyDescent="0.35">
      <c r="A197" s="2">
        <v>202606</v>
      </c>
      <c r="B197" s="2">
        <v>46203</v>
      </c>
      <c r="C197" s="2" t="s">
        <v>106</v>
      </c>
      <c r="D197" s="2" t="s">
        <v>104</v>
      </c>
      <c r="E197" s="2">
        <v>1300</v>
      </c>
      <c r="F197" s="2" t="s">
        <v>348</v>
      </c>
      <c r="G197" s="2" t="s">
        <v>349</v>
      </c>
      <c r="H197" s="2">
        <v>5000</v>
      </c>
      <c r="I197" s="2" t="s">
        <v>490</v>
      </c>
      <c r="J197" s="2" t="s">
        <v>33</v>
      </c>
      <c r="K197" s="2" t="s">
        <v>34</v>
      </c>
      <c r="L197" s="2" t="s">
        <v>36</v>
      </c>
      <c r="M197" s="2" t="s">
        <v>35</v>
      </c>
      <c r="N197" s="2" t="s">
        <v>491</v>
      </c>
      <c r="O197" s="2">
        <v>26.678000000000001</v>
      </c>
      <c r="P197" s="2">
        <v>26.678000000000001</v>
      </c>
      <c r="Q197" s="2" t="s">
        <v>122</v>
      </c>
    </row>
    <row r="198" spans="1:17" x14ac:dyDescent="0.35">
      <c r="A198" s="2">
        <v>202606</v>
      </c>
      <c r="B198" s="2">
        <v>46203</v>
      </c>
      <c r="C198" s="2" t="s">
        <v>106</v>
      </c>
      <c r="D198" s="2" t="s">
        <v>104</v>
      </c>
      <c r="E198" s="2">
        <v>1300</v>
      </c>
      <c r="F198" s="2" t="s">
        <v>348</v>
      </c>
      <c r="G198" s="2" t="s">
        <v>349</v>
      </c>
      <c r="H198" s="2">
        <v>6300</v>
      </c>
      <c r="I198" s="2" t="s">
        <v>54</v>
      </c>
      <c r="J198" s="2" t="s">
        <v>48</v>
      </c>
      <c r="K198" s="2" t="s">
        <v>53</v>
      </c>
      <c r="L198" s="2" t="s">
        <v>54</v>
      </c>
      <c r="M198" s="2" t="s">
        <v>35</v>
      </c>
      <c r="N198" s="2" t="s">
        <v>492</v>
      </c>
      <c r="O198" s="2">
        <v>7.59</v>
      </c>
      <c r="P198" s="2">
        <v>7.59</v>
      </c>
      <c r="Q198" s="2" t="s">
        <v>122</v>
      </c>
    </row>
    <row r="199" spans="1:17" x14ac:dyDescent="0.35">
      <c r="A199" s="2">
        <v>202606</v>
      </c>
      <c r="B199" s="2">
        <v>46203</v>
      </c>
      <c r="C199" s="2" t="s">
        <v>106</v>
      </c>
      <c r="D199" s="2" t="s">
        <v>104</v>
      </c>
      <c r="E199" s="2">
        <v>1300</v>
      </c>
      <c r="F199" s="2" t="s">
        <v>348</v>
      </c>
      <c r="G199" s="2" t="s">
        <v>349</v>
      </c>
      <c r="H199" s="2">
        <v>6050</v>
      </c>
      <c r="I199" s="2" t="s">
        <v>493</v>
      </c>
      <c r="J199" s="2" t="s">
        <v>48</v>
      </c>
      <c r="K199" s="2" t="s">
        <v>49</v>
      </c>
      <c r="L199" s="2" t="s">
        <v>50</v>
      </c>
      <c r="M199" s="2" t="s">
        <v>35</v>
      </c>
      <c r="N199" s="2" t="s">
        <v>494</v>
      </c>
      <c r="O199" s="2">
        <v>3.36</v>
      </c>
      <c r="P199" s="2">
        <v>3.36</v>
      </c>
      <c r="Q199" s="2" t="s">
        <v>122</v>
      </c>
    </row>
    <row r="200" spans="1:17" x14ac:dyDescent="0.35">
      <c r="A200" s="2">
        <v>202606</v>
      </c>
      <c r="B200" s="2">
        <v>46203</v>
      </c>
      <c r="C200" s="2" t="s">
        <v>106</v>
      </c>
      <c r="D200" s="2" t="s">
        <v>104</v>
      </c>
      <c r="E200" s="2">
        <v>1400</v>
      </c>
      <c r="F200" s="2" t="s">
        <v>352</v>
      </c>
      <c r="G200" s="2" t="s">
        <v>353</v>
      </c>
      <c r="H200" s="2">
        <v>3900</v>
      </c>
      <c r="I200" s="2" t="s">
        <v>31</v>
      </c>
      <c r="J200" s="2" t="s">
        <v>13</v>
      </c>
      <c r="K200" s="2" t="s">
        <v>31</v>
      </c>
      <c r="L200" s="2" t="s">
        <v>31</v>
      </c>
      <c r="M200" s="2" t="s">
        <v>15</v>
      </c>
      <c r="N200" s="2" t="s">
        <v>485</v>
      </c>
      <c r="O200" s="2">
        <v>13.375</v>
      </c>
      <c r="P200" s="2">
        <v>-13.375</v>
      </c>
      <c r="Q200" s="2" t="s">
        <v>122</v>
      </c>
    </row>
    <row r="201" spans="1:17" x14ac:dyDescent="0.35">
      <c r="A201" s="2">
        <v>202606</v>
      </c>
      <c r="B201" s="2">
        <v>46203</v>
      </c>
      <c r="C201" s="2" t="s">
        <v>106</v>
      </c>
      <c r="D201" s="2" t="s">
        <v>104</v>
      </c>
      <c r="E201" s="2">
        <v>1400</v>
      </c>
      <c r="F201" s="2" t="s">
        <v>352</v>
      </c>
      <c r="G201" s="2" t="s">
        <v>353</v>
      </c>
      <c r="H201" s="2">
        <v>3400</v>
      </c>
      <c r="I201" s="2" t="s">
        <v>486</v>
      </c>
      <c r="J201" s="2" t="s">
        <v>13</v>
      </c>
      <c r="K201" s="2" t="s">
        <v>22</v>
      </c>
      <c r="L201" s="2" t="s">
        <v>23</v>
      </c>
      <c r="M201" s="2" t="s">
        <v>15</v>
      </c>
      <c r="N201" s="2" t="s">
        <v>487</v>
      </c>
      <c r="O201" s="2">
        <v>1.4019999999999999</v>
      </c>
      <c r="P201" s="2">
        <v>-1.4019999999999999</v>
      </c>
      <c r="Q201" s="2" t="s">
        <v>122</v>
      </c>
    </row>
    <row r="202" spans="1:17" x14ac:dyDescent="0.35">
      <c r="A202" s="2">
        <v>202606</v>
      </c>
      <c r="B202" s="2">
        <v>46203</v>
      </c>
      <c r="C202" s="2" t="s">
        <v>106</v>
      </c>
      <c r="D202" s="2" t="s">
        <v>104</v>
      </c>
      <c r="E202" s="2">
        <v>1400</v>
      </c>
      <c r="F202" s="2" t="s">
        <v>352</v>
      </c>
      <c r="G202" s="2" t="s">
        <v>353</v>
      </c>
      <c r="H202" s="2">
        <v>3670</v>
      </c>
      <c r="I202" s="2" t="s">
        <v>488</v>
      </c>
      <c r="J202" s="2" t="s">
        <v>13</v>
      </c>
      <c r="K202" s="2" t="s">
        <v>29</v>
      </c>
      <c r="L202" s="2" t="s">
        <v>30</v>
      </c>
      <c r="M202" s="2" t="s">
        <v>15</v>
      </c>
      <c r="N202" s="2" t="s">
        <v>489</v>
      </c>
      <c r="O202" s="2">
        <v>0.79600000000000004</v>
      </c>
      <c r="P202" s="2">
        <v>-0.79600000000000004</v>
      </c>
      <c r="Q202" s="2" t="s">
        <v>122</v>
      </c>
    </row>
    <row r="203" spans="1:17" x14ac:dyDescent="0.35">
      <c r="A203" s="2">
        <v>202606</v>
      </c>
      <c r="B203" s="2">
        <v>46203</v>
      </c>
      <c r="C203" s="2" t="s">
        <v>106</v>
      </c>
      <c r="D203" s="2" t="s">
        <v>104</v>
      </c>
      <c r="E203" s="2">
        <v>1400</v>
      </c>
      <c r="F203" s="2" t="s">
        <v>352</v>
      </c>
      <c r="G203" s="2" t="s">
        <v>353</v>
      </c>
      <c r="H203" s="2">
        <v>5000</v>
      </c>
      <c r="I203" s="2" t="s">
        <v>490</v>
      </c>
      <c r="J203" s="2" t="s">
        <v>33</v>
      </c>
      <c r="K203" s="2" t="s">
        <v>34</v>
      </c>
      <c r="L203" s="2" t="s">
        <v>36</v>
      </c>
      <c r="M203" s="2" t="s">
        <v>35</v>
      </c>
      <c r="N203" s="2" t="s">
        <v>491</v>
      </c>
      <c r="O203" s="2">
        <v>15.077999999999999</v>
      </c>
      <c r="P203" s="2">
        <v>15.077999999999999</v>
      </c>
      <c r="Q203" s="2" t="s">
        <v>122</v>
      </c>
    </row>
    <row r="204" spans="1:17" x14ac:dyDescent="0.35">
      <c r="A204" s="2">
        <v>202606</v>
      </c>
      <c r="B204" s="2">
        <v>46203</v>
      </c>
      <c r="C204" s="2" t="s">
        <v>106</v>
      </c>
      <c r="D204" s="2" t="s">
        <v>104</v>
      </c>
      <c r="E204" s="2">
        <v>1400</v>
      </c>
      <c r="F204" s="2" t="s">
        <v>352</v>
      </c>
      <c r="G204" s="2" t="s">
        <v>353</v>
      </c>
      <c r="H204" s="2">
        <v>6300</v>
      </c>
      <c r="I204" s="2" t="s">
        <v>54</v>
      </c>
      <c r="J204" s="2" t="s">
        <v>48</v>
      </c>
      <c r="K204" s="2" t="s">
        <v>53</v>
      </c>
      <c r="L204" s="2" t="s">
        <v>54</v>
      </c>
      <c r="M204" s="2" t="s">
        <v>35</v>
      </c>
      <c r="N204" s="2" t="s">
        <v>492</v>
      </c>
      <c r="O204" s="2">
        <v>4.29</v>
      </c>
      <c r="P204" s="2">
        <v>4.29</v>
      </c>
      <c r="Q204" s="2" t="s">
        <v>122</v>
      </c>
    </row>
    <row r="205" spans="1:17" x14ac:dyDescent="0.35">
      <c r="A205" s="2">
        <v>202606</v>
      </c>
      <c r="B205" s="2">
        <v>46203</v>
      </c>
      <c r="C205" s="2" t="s">
        <v>106</v>
      </c>
      <c r="D205" s="2" t="s">
        <v>104</v>
      </c>
      <c r="E205" s="2">
        <v>1400</v>
      </c>
      <c r="F205" s="2" t="s">
        <v>352</v>
      </c>
      <c r="G205" s="2" t="s">
        <v>353</v>
      </c>
      <c r="H205" s="2">
        <v>6050</v>
      </c>
      <c r="I205" s="2" t="s">
        <v>493</v>
      </c>
      <c r="J205" s="2" t="s">
        <v>48</v>
      </c>
      <c r="K205" s="2" t="s">
        <v>49</v>
      </c>
      <c r="L205" s="2" t="s">
        <v>50</v>
      </c>
      <c r="M205" s="2" t="s">
        <v>35</v>
      </c>
      <c r="N205" s="2" t="s">
        <v>494</v>
      </c>
      <c r="O205" s="2">
        <v>1.44</v>
      </c>
      <c r="P205" s="2">
        <v>1.44</v>
      </c>
      <c r="Q205" s="2" t="s">
        <v>122</v>
      </c>
    </row>
    <row r="206" spans="1:17" x14ac:dyDescent="0.35">
      <c r="A206" s="2">
        <v>202606</v>
      </c>
      <c r="B206" s="2">
        <v>46203</v>
      </c>
      <c r="C206" s="2" t="s">
        <v>106</v>
      </c>
      <c r="D206" s="2" t="s">
        <v>104</v>
      </c>
      <c r="E206" s="2">
        <v>1500</v>
      </c>
      <c r="F206" s="2" t="s">
        <v>356</v>
      </c>
      <c r="G206" s="2" t="s">
        <v>357</v>
      </c>
      <c r="H206" s="2">
        <v>3900</v>
      </c>
      <c r="I206" s="2" t="s">
        <v>31</v>
      </c>
      <c r="J206" s="2" t="s">
        <v>13</v>
      </c>
      <c r="K206" s="2" t="s">
        <v>31</v>
      </c>
      <c r="L206" s="2" t="s">
        <v>31</v>
      </c>
      <c r="M206" s="2" t="s">
        <v>15</v>
      </c>
      <c r="N206" s="2" t="s">
        <v>485</v>
      </c>
      <c r="O206" s="2">
        <v>10.29</v>
      </c>
      <c r="P206" s="2">
        <v>-10.29</v>
      </c>
      <c r="Q206" s="2" t="s">
        <v>122</v>
      </c>
    </row>
    <row r="207" spans="1:17" x14ac:dyDescent="0.35">
      <c r="A207" s="2">
        <v>202606</v>
      </c>
      <c r="B207" s="2">
        <v>46203</v>
      </c>
      <c r="C207" s="2" t="s">
        <v>106</v>
      </c>
      <c r="D207" s="2" t="s">
        <v>104</v>
      </c>
      <c r="E207" s="2">
        <v>1500</v>
      </c>
      <c r="F207" s="2" t="s">
        <v>356</v>
      </c>
      <c r="G207" s="2" t="s">
        <v>357</v>
      </c>
      <c r="H207" s="2">
        <v>3400</v>
      </c>
      <c r="I207" s="2" t="s">
        <v>486</v>
      </c>
      <c r="J207" s="2" t="s">
        <v>13</v>
      </c>
      <c r="K207" s="2" t="s">
        <v>22</v>
      </c>
      <c r="L207" s="2" t="s">
        <v>23</v>
      </c>
      <c r="M207" s="2" t="s">
        <v>15</v>
      </c>
      <c r="N207" s="2" t="s">
        <v>487</v>
      </c>
      <c r="O207" s="2">
        <v>0.93500000000000005</v>
      </c>
      <c r="P207" s="2">
        <v>-0.93500000000000005</v>
      </c>
      <c r="Q207" s="2" t="s">
        <v>122</v>
      </c>
    </row>
    <row r="208" spans="1:17" x14ac:dyDescent="0.35">
      <c r="A208" s="2">
        <v>202606</v>
      </c>
      <c r="B208" s="2">
        <v>46203</v>
      </c>
      <c r="C208" s="2" t="s">
        <v>106</v>
      </c>
      <c r="D208" s="2" t="s">
        <v>104</v>
      </c>
      <c r="E208" s="2">
        <v>1500</v>
      </c>
      <c r="F208" s="2" t="s">
        <v>356</v>
      </c>
      <c r="G208" s="2" t="s">
        <v>357</v>
      </c>
      <c r="H208" s="2">
        <v>3670</v>
      </c>
      <c r="I208" s="2" t="s">
        <v>488</v>
      </c>
      <c r="J208" s="2" t="s">
        <v>13</v>
      </c>
      <c r="K208" s="2" t="s">
        <v>29</v>
      </c>
      <c r="L208" s="2" t="s">
        <v>30</v>
      </c>
      <c r="M208" s="2" t="s">
        <v>15</v>
      </c>
      <c r="N208" s="2" t="s">
        <v>489</v>
      </c>
      <c r="O208" s="2">
        <v>0.52800000000000002</v>
      </c>
      <c r="P208" s="2">
        <v>-0.52800000000000002</v>
      </c>
      <c r="Q208" s="2" t="s">
        <v>122</v>
      </c>
    </row>
    <row r="209" spans="1:17" x14ac:dyDescent="0.35">
      <c r="A209" s="2">
        <v>202606</v>
      </c>
      <c r="B209" s="2">
        <v>46203</v>
      </c>
      <c r="C209" s="2" t="s">
        <v>106</v>
      </c>
      <c r="D209" s="2" t="s">
        <v>104</v>
      </c>
      <c r="E209" s="2">
        <v>1500</v>
      </c>
      <c r="F209" s="2" t="s">
        <v>356</v>
      </c>
      <c r="G209" s="2" t="s">
        <v>357</v>
      </c>
      <c r="H209" s="2">
        <v>5000</v>
      </c>
      <c r="I209" s="2" t="s">
        <v>490</v>
      </c>
      <c r="J209" s="2" t="s">
        <v>33</v>
      </c>
      <c r="K209" s="2" t="s">
        <v>34</v>
      </c>
      <c r="L209" s="2" t="s">
        <v>36</v>
      </c>
      <c r="M209" s="2" t="s">
        <v>35</v>
      </c>
      <c r="N209" s="2" t="s">
        <v>491</v>
      </c>
      <c r="O209" s="2">
        <v>11.6</v>
      </c>
      <c r="P209" s="2">
        <v>11.6</v>
      </c>
      <c r="Q209" s="2" t="s">
        <v>122</v>
      </c>
    </row>
    <row r="210" spans="1:17" x14ac:dyDescent="0.35">
      <c r="A210" s="2">
        <v>202606</v>
      </c>
      <c r="B210" s="2">
        <v>46203</v>
      </c>
      <c r="C210" s="2" t="s">
        <v>106</v>
      </c>
      <c r="D210" s="2" t="s">
        <v>104</v>
      </c>
      <c r="E210" s="2">
        <v>1500</v>
      </c>
      <c r="F210" s="2" t="s">
        <v>356</v>
      </c>
      <c r="G210" s="2" t="s">
        <v>357</v>
      </c>
      <c r="H210" s="2">
        <v>6300</v>
      </c>
      <c r="I210" s="2" t="s">
        <v>54</v>
      </c>
      <c r="J210" s="2" t="s">
        <v>48</v>
      </c>
      <c r="K210" s="2" t="s">
        <v>53</v>
      </c>
      <c r="L210" s="2" t="s">
        <v>54</v>
      </c>
      <c r="M210" s="2" t="s">
        <v>35</v>
      </c>
      <c r="N210" s="2" t="s">
        <v>492</v>
      </c>
      <c r="O210" s="2">
        <v>3.3</v>
      </c>
      <c r="P210" s="2">
        <v>3.3</v>
      </c>
      <c r="Q210" s="2" t="s">
        <v>122</v>
      </c>
    </row>
    <row r="211" spans="1:17" x14ac:dyDescent="0.35">
      <c r="A211" s="2">
        <v>202606</v>
      </c>
      <c r="B211" s="2">
        <v>46203</v>
      </c>
      <c r="C211" s="2" t="s">
        <v>106</v>
      </c>
      <c r="D211" s="2" t="s">
        <v>104</v>
      </c>
      <c r="E211" s="2">
        <v>1500</v>
      </c>
      <c r="F211" s="2" t="s">
        <v>356</v>
      </c>
      <c r="G211" s="2" t="s">
        <v>357</v>
      </c>
      <c r="H211" s="2">
        <v>6050</v>
      </c>
      <c r="I211" s="2" t="s">
        <v>493</v>
      </c>
      <c r="J211" s="2" t="s">
        <v>48</v>
      </c>
      <c r="K211" s="2" t="s">
        <v>49</v>
      </c>
      <c r="L211" s="2" t="s">
        <v>50</v>
      </c>
      <c r="M211" s="2" t="s">
        <v>35</v>
      </c>
      <c r="N211" s="2" t="s">
        <v>494</v>
      </c>
      <c r="O211" s="2">
        <v>1.1200000000000001</v>
      </c>
      <c r="P211" s="2">
        <v>1.1200000000000001</v>
      </c>
      <c r="Q211" s="2" t="s">
        <v>122</v>
      </c>
    </row>
    <row r="212" spans="1:17" x14ac:dyDescent="0.35">
      <c r="A212" s="2">
        <v>202606</v>
      </c>
      <c r="B212" s="2">
        <v>46203</v>
      </c>
      <c r="C212" s="2" t="s">
        <v>106</v>
      </c>
      <c r="D212" s="2" t="s">
        <v>104</v>
      </c>
      <c r="E212" s="2">
        <v>1900</v>
      </c>
      <c r="F212" s="2" t="s">
        <v>360</v>
      </c>
      <c r="G212" s="2" t="s">
        <v>361</v>
      </c>
      <c r="H212" s="2">
        <v>3900</v>
      </c>
      <c r="I212" s="2" t="s">
        <v>31</v>
      </c>
      <c r="J212" s="2" t="s">
        <v>13</v>
      </c>
      <c r="K212" s="2" t="s">
        <v>31</v>
      </c>
      <c r="L212" s="2" t="s">
        <v>31</v>
      </c>
      <c r="M212" s="2" t="s">
        <v>15</v>
      </c>
      <c r="N212" s="2" t="s">
        <v>485</v>
      </c>
      <c r="O212" s="2">
        <v>7.2050000000000001</v>
      </c>
      <c r="P212" s="2">
        <v>-7.2050000000000001</v>
      </c>
      <c r="Q212" s="2" t="s">
        <v>122</v>
      </c>
    </row>
    <row r="213" spans="1:17" x14ac:dyDescent="0.35">
      <c r="A213" s="2">
        <v>202606</v>
      </c>
      <c r="B213" s="2">
        <v>46203</v>
      </c>
      <c r="C213" s="2" t="s">
        <v>106</v>
      </c>
      <c r="D213" s="2" t="s">
        <v>104</v>
      </c>
      <c r="E213" s="2">
        <v>1900</v>
      </c>
      <c r="F213" s="2" t="s">
        <v>360</v>
      </c>
      <c r="G213" s="2" t="s">
        <v>361</v>
      </c>
      <c r="H213" s="2">
        <v>3400</v>
      </c>
      <c r="I213" s="2" t="s">
        <v>486</v>
      </c>
      <c r="J213" s="2" t="s">
        <v>13</v>
      </c>
      <c r="K213" s="2" t="s">
        <v>22</v>
      </c>
      <c r="L213" s="2" t="s">
        <v>23</v>
      </c>
      <c r="M213" s="2" t="s">
        <v>15</v>
      </c>
      <c r="N213" s="2" t="s">
        <v>487</v>
      </c>
      <c r="O213" s="2">
        <v>0.28000000000000003</v>
      </c>
      <c r="P213" s="2">
        <v>-0.28000000000000003</v>
      </c>
      <c r="Q213" s="2" t="s">
        <v>122</v>
      </c>
    </row>
    <row r="214" spans="1:17" x14ac:dyDescent="0.35">
      <c r="A214" s="2">
        <v>202606</v>
      </c>
      <c r="B214" s="2">
        <v>46203</v>
      </c>
      <c r="C214" s="2" t="s">
        <v>106</v>
      </c>
      <c r="D214" s="2" t="s">
        <v>104</v>
      </c>
      <c r="E214" s="2">
        <v>1900</v>
      </c>
      <c r="F214" s="2" t="s">
        <v>360</v>
      </c>
      <c r="G214" s="2" t="s">
        <v>361</v>
      </c>
      <c r="H214" s="2">
        <v>3670</v>
      </c>
      <c r="I214" s="2" t="s">
        <v>488</v>
      </c>
      <c r="J214" s="2" t="s">
        <v>13</v>
      </c>
      <c r="K214" s="2" t="s">
        <v>29</v>
      </c>
      <c r="L214" s="2" t="s">
        <v>30</v>
      </c>
      <c r="M214" s="2" t="s">
        <v>15</v>
      </c>
      <c r="N214" s="2" t="s">
        <v>489</v>
      </c>
      <c r="O214" s="2">
        <v>1.7</v>
      </c>
      <c r="P214" s="2">
        <v>-1.7</v>
      </c>
      <c r="Q214" s="2" t="s">
        <v>122</v>
      </c>
    </row>
    <row r="215" spans="1:17" x14ac:dyDescent="0.35">
      <c r="A215" s="2">
        <v>202606</v>
      </c>
      <c r="B215" s="2">
        <v>46203</v>
      </c>
      <c r="C215" s="2" t="s">
        <v>106</v>
      </c>
      <c r="D215" s="2" t="s">
        <v>104</v>
      </c>
      <c r="E215" s="2">
        <v>1900</v>
      </c>
      <c r="F215" s="2" t="s">
        <v>360</v>
      </c>
      <c r="G215" s="2" t="s">
        <v>361</v>
      </c>
      <c r="H215" s="2">
        <v>5000</v>
      </c>
      <c r="I215" s="2" t="s">
        <v>490</v>
      </c>
      <c r="J215" s="2" t="s">
        <v>33</v>
      </c>
      <c r="K215" s="2" t="s">
        <v>34</v>
      </c>
      <c r="L215" s="2" t="s">
        <v>36</v>
      </c>
      <c r="M215" s="2" t="s">
        <v>35</v>
      </c>
      <c r="N215" s="2" t="s">
        <v>491</v>
      </c>
      <c r="O215" s="2">
        <v>9.2780000000000005</v>
      </c>
      <c r="P215" s="2">
        <v>9.2780000000000005</v>
      </c>
      <c r="Q215" s="2" t="s">
        <v>122</v>
      </c>
    </row>
    <row r="216" spans="1:17" x14ac:dyDescent="0.35">
      <c r="A216" s="2">
        <v>202606</v>
      </c>
      <c r="B216" s="2">
        <v>46203</v>
      </c>
      <c r="C216" s="2" t="s">
        <v>106</v>
      </c>
      <c r="D216" s="2" t="s">
        <v>104</v>
      </c>
      <c r="E216" s="2">
        <v>1900</v>
      </c>
      <c r="F216" s="2" t="s">
        <v>360</v>
      </c>
      <c r="G216" s="2" t="s">
        <v>361</v>
      </c>
      <c r="H216" s="2">
        <v>6300</v>
      </c>
      <c r="I216" s="2" t="s">
        <v>54</v>
      </c>
      <c r="J216" s="2" t="s">
        <v>48</v>
      </c>
      <c r="K216" s="2" t="s">
        <v>53</v>
      </c>
      <c r="L216" s="2" t="s">
        <v>54</v>
      </c>
      <c r="M216" s="2" t="s">
        <v>35</v>
      </c>
      <c r="N216" s="2" t="s">
        <v>492</v>
      </c>
      <c r="O216" s="2">
        <v>2.64</v>
      </c>
      <c r="P216" s="2">
        <v>2.64</v>
      </c>
      <c r="Q216" s="2" t="s">
        <v>122</v>
      </c>
    </row>
    <row r="217" spans="1:17" x14ac:dyDescent="0.35">
      <c r="A217" s="2">
        <v>202606</v>
      </c>
      <c r="B217" s="2">
        <v>46203</v>
      </c>
      <c r="C217" s="2" t="s">
        <v>106</v>
      </c>
      <c r="D217" s="2" t="s">
        <v>104</v>
      </c>
      <c r="E217" s="2">
        <v>1900</v>
      </c>
      <c r="F217" s="2" t="s">
        <v>360</v>
      </c>
      <c r="G217" s="2" t="s">
        <v>361</v>
      </c>
      <c r="H217" s="2">
        <v>6050</v>
      </c>
      <c r="I217" s="2" t="s">
        <v>493</v>
      </c>
      <c r="J217" s="2" t="s">
        <v>48</v>
      </c>
      <c r="K217" s="2" t="s">
        <v>49</v>
      </c>
      <c r="L217" s="2" t="s">
        <v>50</v>
      </c>
      <c r="M217" s="2" t="s">
        <v>35</v>
      </c>
      <c r="N217" s="2" t="s">
        <v>494</v>
      </c>
      <c r="O217" s="2">
        <v>1.44</v>
      </c>
      <c r="P217" s="2">
        <v>1.44</v>
      </c>
      <c r="Q217" s="2" t="s">
        <v>122</v>
      </c>
    </row>
    <row r="218" spans="1:17" x14ac:dyDescent="0.35">
      <c r="A218" s="2">
        <v>202607</v>
      </c>
      <c r="B218" s="2">
        <v>46234</v>
      </c>
      <c r="C218" s="2" t="s">
        <v>107</v>
      </c>
      <c r="D218" s="2" t="s">
        <v>108</v>
      </c>
      <c r="E218" s="2">
        <v>1100</v>
      </c>
      <c r="F218" s="2" t="s">
        <v>339</v>
      </c>
      <c r="G218" s="2" t="s">
        <v>340</v>
      </c>
      <c r="H218" s="2">
        <v>3900</v>
      </c>
      <c r="I218" s="2" t="s">
        <v>31</v>
      </c>
      <c r="J218" s="2" t="s">
        <v>13</v>
      </c>
      <c r="K218" s="2" t="s">
        <v>31</v>
      </c>
      <c r="L218" s="2" t="s">
        <v>31</v>
      </c>
      <c r="M218" s="2" t="s">
        <v>15</v>
      </c>
      <c r="N218" s="2" t="s">
        <v>485</v>
      </c>
      <c r="O218" s="2">
        <v>20.56</v>
      </c>
      <c r="P218" s="2">
        <v>-20.56</v>
      </c>
      <c r="Q218" s="2" t="s">
        <v>122</v>
      </c>
    </row>
    <row r="219" spans="1:17" x14ac:dyDescent="0.35">
      <c r="A219" s="2">
        <v>202607</v>
      </c>
      <c r="B219" s="2">
        <v>46234</v>
      </c>
      <c r="C219" s="2" t="s">
        <v>107</v>
      </c>
      <c r="D219" s="2" t="s">
        <v>108</v>
      </c>
      <c r="E219" s="2">
        <v>1100</v>
      </c>
      <c r="F219" s="2" t="s">
        <v>339</v>
      </c>
      <c r="G219" s="2" t="s">
        <v>340</v>
      </c>
      <c r="H219" s="2">
        <v>3400</v>
      </c>
      <c r="I219" s="2" t="s">
        <v>486</v>
      </c>
      <c r="J219" s="2" t="s">
        <v>13</v>
      </c>
      <c r="K219" s="2" t="s">
        <v>22</v>
      </c>
      <c r="L219" s="2" t="s">
        <v>23</v>
      </c>
      <c r="M219" s="2" t="s">
        <v>15</v>
      </c>
      <c r="N219" s="2" t="s">
        <v>487</v>
      </c>
      <c r="O219" s="2">
        <v>1.109</v>
      </c>
      <c r="P219" s="2">
        <v>-1.109</v>
      </c>
      <c r="Q219" s="2" t="s">
        <v>122</v>
      </c>
    </row>
    <row r="220" spans="1:17" x14ac:dyDescent="0.35">
      <c r="A220" s="2">
        <v>202607</v>
      </c>
      <c r="B220" s="2">
        <v>46234</v>
      </c>
      <c r="C220" s="2" t="s">
        <v>107</v>
      </c>
      <c r="D220" s="2" t="s">
        <v>108</v>
      </c>
      <c r="E220" s="2">
        <v>1100</v>
      </c>
      <c r="F220" s="2" t="s">
        <v>339</v>
      </c>
      <c r="G220" s="2" t="s">
        <v>340</v>
      </c>
      <c r="H220" s="2">
        <v>3670</v>
      </c>
      <c r="I220" s="2" t="s">
        <v>488</v>
      </c>
      <c r="J220" s="2" t="s">
        <v>13</v>
      </c>
      <c r="K220" s="2" t="s">
        <v>29</v>
      </c>
      <c r="L220" s="2" t="s">
        <v>30</v>
      </c>
      <c r="M220" s="2" t="s">
        <v>15</v>
      </c>
      <c r="N220" s="2" t="s">
        <v>489</v>
      </c>
      <c r="O220" s="2">
        <v>0.43099999999999999</v>
      </c>
      <c r="P220" s="2">
        <v>-0.43099999999999999</v>
      </c>
      <c r="Q220" s="2" t="s">
        <v>122</v>
      </c>
    </row>
    <row r="221" spans="1:17" x14ac:dyDescent="0.35">
      <c r="A221" s="2">
        <v>202607</v>
      </c>
      <c r="B221" s="2">
        <v>46234</v>
      </c>
      <c r="C221" s="2" t="s">
        <v>107</v>
      </c>
      <c r="D221" s="2" t="s">
        <v>108</v>
      </c>
      <c r="E221" s="2">
        <v>1100</v>
      </c>
      <c r="F221" s="2" t="s">
        <v>339</v>
      </c>
      <c r="G221" s="2" t="s">
        <v>340</v>
      </c>
      <c r="H221" s="2">
        <v>5000</v>
      </c>
      <c r="I221" s="2" t="s">
        <v>490</v>
      </c>
      <c r="J221" s="2" t="s">
        <v>33</v>
      </c>
      <c r="K221" s="2" t="s">
        <v>34</v>
      </c>
      <c r="L221" s="2" t="s">
        <v>36</v>
      </c>
      <c r="M221" s="2" t="s">
        <v>35</v>
      </c>
      <c r="N221" s="2" t="s">
        <v>491</v>
      </c>
      <c r="O221" s="2">
        <v>11.497999999999999</v>
      </c>
      <c r="P221" s="2">
        <v>11.497999999999999</v>
      </c>
      <c r="Q221" s="2" t="s">
        <v>122</v>
      </c>
    </row>
    <row r="222" spans="1:17" x14ac:dyDescent="0.35">
      <c r="A222" s="2">
        <v>202607</v>
      </c>
      <c r="B222" s="2">
        <v>46234</v>
      </c>
      <c r="C222" s="2" t="s">
        <v>107</v>
      </c>
      <c r="D222" s="2" t="s">
        <v>108</v>
      </c>
      <c r="E222" s="2">
        <v>1100</v>
      </c>
      <c r="F222" s="2" t="s">
        <v>339</v>
      </c>
      <c r="G222" s="2" t="s">
        <v>340</v>
      </c>
      <c r="H222" s="2">
        <v>6300</v>
      </c>
      <c r="I222" s="2" t="s">
        <v>54</v>
      </c>
      <c r="J222" s="2" t="s">
        <v>48</v>
      </c>
      <c r="K222" s="2" t="s">
        <v>53</v>
      </c>
      <c r="L222" s="2" t="s">
        <v>54</v>
      </c>
      <c r="M222" s="2" t="s">
        <v>35</v>
      </c>
      <c r="N222" s="2" t="s">
        <v>492</v>
      </c>
      <c r="O222" s="2">
        <v>3.8</v>
      </c>
      <c r="P222" s="2">
        <v>3.8</v>
      </c>
      <c r="Q222" s="2" t="s">
        <v>122</v>
      </c>
    </row>
    <row r="223" spans="1:17" x14ac:dyDescent="0.35">
      <c r="A223" s="2">
        <v>202607</v>
      </c>
      <c r="B223" s="2">
        <v>46234</v>
      </c>
      <c r="C223" s="2" t="s">
        <v>107</v>
      </c>
      <c r="D223" s="2" t="s">
        <v>108</v>
      </c>
      <c r="E223" s="2">
        <v>1100</v>
      </c>
      <c r="F223" s="2" t="s">
        <v>339</v>
      </c>
      <c r="G223" s="2" t="s">
        <v>340</v>
      </c>
      <c r="H223" s="2">
        <v>6050</v>
      </c>
      <c r="I223" s="2" t="s">
        <v>493</v>
      </c>
      <c r="J223" s="2" t="s">
        <v>48</v>
      </c>
      <c r="K223" s="2" t="s">
        <v>49</v>
      </c>
      <c r="L223" s="2" t="s">
        <v>50</v>
      </c>
      <c r="M223" s="2" t="s">
        <v>35</v>
      </c>
      <c r="N223" s="2" t="s">
        <v>494</v>
      </c>
      <c r="O223" s="2">
        <v>1.71</v>
      </c>
      <c r="P223" s="2">
        <v>1.71</v>
      </c>
      <c r="Q223" s="2" t="s">
        <v>122</v>
      </c>
    </row>
    <row r="224" spans="1:17" x14ac:dyDescent="0.35">
      <c r="A224" s="2">
        <v>202607</v>
      </c>
      <c r="B224" s="2">
        <v>46234</v>
      </c>
      <c r="C224" s="2" t="s">
        <v>107</v>
      </c>
      <c r="D224" s="2" t="s">
        <v>108</v>
      </c>
      <c r="E224" s="2">
        <v>1200</v>
      </c>
      <c r="F224" s="2" t="s">
        <v>344</v>
      </c>
      <c r="G224" s="2" t="s">
        <v>345</v>
      </c>
      <c r="H224" s="2">
        <v>3900</v>
      </c>
      <c r="I224" s="2" t="s">
        <v>31</v>
      </c>
      <c r="J224" s="2" t="s">
        <v>13</v>
      </c>
      <c r="K224" s="2" t="s">
        <v>31</v>
      </c>
      <c r="L224" s="2" t="s">
        <v>31</v>
      </c>
      <c r="M224" s="2" t="s">
        <v>15</v>
      </c>
      <c r="N224" s="2" t="s">
        <v>485</v>
      </c>
      <c r="O224" s="2">
        <v>27.757999999999999</v>
      </c>
      <c r="P224" s="2">
        <v>-27.757999999999999</v>
      </c>
      <c r="Q224" s="2" t="s">
        <v>122</v>
      </c>
    </row>
    <row r="225" spans="1:17" x14ac:dyDescent="0.35">
      <c r="A225" s="2">
        <v>202607</v>
      </c>
      <c r="B225" s="2">
        <v>46234</v>
      </c>
      <c r="C225" s="2" t="s">
        <v>107</v>
      </c>
      <c r="D225" s="2" t="s">
        <v>108</v>
      </c>
      <c r="E225" s="2">
        <v>1200</v>
      </c>
      <c r="F225" s="2" t="s">
        <v>344</v>
      </c>
      <c r="G225" s="2" t="s">
        <v>345</v>
      </c>
      <c r="H225" s="2">
        <v>3400</v>
      </c>
      <c r="I225" s="2" t="s">
        <v>486</v>
      </c>
      <c r="J225" s="2" t="s">
        <v>13</v>
      </c>
      <c r="K225" s="2" t="s">
        <v>22</v>
      </c>
      <c r="L225" s="2" t="s">
        <v>23</v>
      </c>
      <c r="M225" s="2" t="s">
        <v>15</v>
      </c>
      <c r="N225" s="2" t="s">
        <v>487</v>
      </c>
      <c r="O225" s="2">
        <v>2.42</v>
      </c>
      <c r="P225" s="2">
        <v>-2.42</v>
      </c>
      <c r="Q225" s="2" t="s">
        <v>122</v>
      </c>
    </row>
    <row r="226" spans="1:17" x14ac:dyDescent="0.35">
      <c r="A226" s="2">
        <v>202607</v>
      </c>
      <c r="B226" s="2">
        <v>46234</v>
      </c>
      <c r="C226" s="2" t="s">
        <v>107</v>
      </c>
      <c r="D226" s="2" t="s">
        <v>108</v>
      </c>
      <c r="E226" s="2">
        <v>1200</v>
      </c>
      <c r="F226" s="2" t="s">
        <v>344</v>
      </c>
      <c r="G226" s="2" t="s">
        <v>345</v>
      </c>
      <c r="H226" s="2">
        <v>3670</v>
      </c>
      <c r="I226" s="2" t="s">
        <v>488</v>
      </c>
      <c r="J226" s="2" t="s">
        <v>13</v>
      </c>
      <c r="K226" s="2" t="s">
        <v>29</v>
      </c>
      <c r="L226" s="2" t="s">
        <v>30</v>
      </c>
      <c r="M226" s="2" t="s">
        <v>15</v>
      </c>
      <c r="N226" s="2" t="s">
        <v>489</v>
      </c>
      <c r="O226" s="2">
        <v>1.083</v>
      </c>
      <c r="P226" s="2">
        <v>-1.083</v>
      </c>
      <c r="Q226" s="2" t="s">
        <v>122</v>
      </c>
    </row>
    <row r="227" spans="1:17" x14ac:dyDescent="0.35">
      <c r="A227" s="2">
        <v>202607</v>
      </c>
      <c r="B227" s="2">
        <v>46234</v>
      </c>
      <c r="C227" s="2" t="s">
        <v>107</v>
      </c>
      <c r="D227" s="2" t="s">
        <v>108</v>
      </c>
      <c r="E227" s="2">
        <v>1200</v>
      </c>
      <c r="F227" s="2" t="s">
        <v>344</v>
      </c>
      <c r="G227" s="2" t="s">
        <v>345</v>
      </c>
      <c r="H227" s="2">
        <v>5000</v>
      </c>
      <c r="I227" s="2" t="s">
        <v>490</v>
      </c>
      <c r="J227" s="2" t="s">
        <v>33</v>
      </c>
      <c r="K227" s="2" t="s">
        <v>34</v>
      </c>
      <c r="L227" s="2" t="s">
        <v>36</v>
      </c>
      <c r="M227" s="2" t="s">
        <v>35</v>
      </c>
      <c r="N227" s="2" t="s">
        <v>491</v>
      </c>
      <c r="O227" s="2">
        <v>16.335999999999999</v>
      </c>
      <c r="P227" s="2">
        <v>16.335999999999999</v>
      </c>
      <c r="Q227" s="2" t="s">
        <v>122</v>
      </c>
    </row>
    <row r="228" spans="1:17" x14ac:dyDescent="0.35">
      <c r="A228" s="2">
        <v>202607</v>
      </c>
      <c r="B228" s="2">
        <v>46234</v>
      </c>
      <c r="C228" s="2" t="s">
        <v>107</v>
      </c>
      <c r="D228" s="2" t="s">
        <v>108</v>
      </c>
      <c r="E228" s="2">
        <v>1200</v>
      </c>
      <c r="F228" s="2" t="s">
        <v>344</v>
      </c>
      <c r="G228" s="2" t="s">
        <v>345</v>
      </c>
      <c r="H228" s="2">
        <v>6300</v>
      </c>
      <c r="I228" s="2" t="s">
        <v>54</v>
      </c>
      <c r="J228" s="2" t="s">
        <v>48</v>
      </c>
      <c r="K228" s="2" t="s">
        <v>53</v>
      </c>
      <c r="L228" s="2" t="s">
        <v>54</v>
      </c>
      <c r="M228" s="2" t="s">
        <v>35</v>
      </c>
      <c r="N228" s="2" t="s">
        <v>492</v>
      </c>
      <c r="O228" s="2">
        <v>5.4</v>
      </c>
      <c r="P228" s="2">
        <v>5.4</v>
      </c>
      <c r="Q228" s="2" t="s">
        <v>122</v>
      </c>
    </row>
    <row r="229" spans="1:17" x14ac:dyDescent="0.35">
      <c r="A229" s="2">
        <v>202607</v>
      </c>
      <c r="B229" s="2">
        <v>46234</v>
      </c>
      <c r="C229" s="2" t="s">
        <v>107</v>
      </c>
      <c r="D229" s="2" t="s">
        <v>108</v>
      </c>
      <c r="E229" s="2">
        <v>1200</v>
      </c>
      <c r="F229" s="2" t="s">
        <v>344</v>
      </c>
      <c r="G229" s="2" t="s">
        <v>345</v>
      </c>
      <c r="H229" s="2">
        <v>6050</v>
      </c>
      <c r="I229" s="2" t="s">
        <v>493</v>
      </c>
      <c r="J229" s="2" t="s">
        <v>48</v>
      </c>
      <c r="K229" s="2" t="s">
        <v>49</v>
      </c>
      <c r="L229" s="2" t="s">
        <v>50</v>
      </c>
      <c r="M229" s="2" t="s">
        <v>35</v>
      </c>
      <c r="N229" s="2" t="s">
        <v>494</v>
      </c>
      <c r="O229" s="2">
        <v>3.15</v>
      </c>
      <c r="P229" s="2">
        <v>3.15</v>
      </c>
      <c r="Q229" s="2" t="s">
        <v>122</v>
      </c>
    </row>
    <row r="230" spans="1:17" x14ac:dyDescent="0.35">
      <c r="A230" s="2">
        <v>202607</v>
      </c>
      <c r="B230" s="2">
        <v>46234</v>
      </c>
      <c r="C230" s="2" t="s">
        <v>107</v>
      </c>
      <c r="D230" s="2" t="s">
        <v>108</v>
      </c>
      <c r="E230" s="2">
        <v>1300</v>
      </c>
      <c r="F230" s="2" t="s">
        <v>348</v>
      </c>
      <c r="G230" s="2" t="s">
        <v>349</v>
      </c>
      <c r="H230" s="2">
        <v>3900</v>
      </c>
      <c r="I230" s="2" t="s">
        <v>31</v>
      </c>
      <c r="J230" s="2" t="s">
        <v>13</v>
      </c>
      <c r="K230" s="2" t="s">
        <v>31</v>
      </c>
      <c r="L230" s="2" t="s">
        <v>31</v>
      </c>
      <c r="M230" s="2" t="s">
        <v>15</v>
      </c>
      <c r="N230" s="2" t="s">
        <v>485</v>
      </c>
      <c r="O230" s="2">
        <v>23.641999999999999</v>
      </c>
      <c r="P230" s="2">
        <v>-23.641999999999999</v>
      </c>
      <c r="Q230" s="2" t="s">
        <v>122</v>
      </c>
    </row>
    <row r="231" spans="1:17" x14ac:dyDescent="0.35">
      <c r="A231" s="2">
        <v>202607</v>
      </c>
      <c r="B231" s="2">
        <v>46234</v>
      </c>
      <c r="C231" s="2" t="s">
        <v>107</v>
      </c>
      <c r="D231" s="2" t="s">
        <v>108</v>
      </c>
      <c r="E231" s="2">
        <v>1300</v>
      </c>
      <c r="F231" s="2" t="s">
        <v>348</v>
      </c>
      <c r="G231" s="2" t="s">
        <v>349</v>
      </c>
      <c r="H231" s="2">
        <v>3400</v>
      </c>
      <c r="I231" s="2" t="s">
        <v>486</v>
      </c>
      <c r="J231" s="2" t="s">
        <v>13</v>
      </c>
      <c r="K231" s="2" t="s">
        <v>22</v>
      </c>
      <c r="L231" s="2" t="s">
        <v>23</v>
      </c>
      <c r="M231" s="2" t="s">
        <v>15</v>
      </c>
      <c r="N231" s="2" t="s">
        <v>487</v>
      </c>
      <c r="O231" s="2">
        <v>1.26</v>
      </c>
      <c r="P231" s="2">
        <v>-1.26</v>
      </c>
      <c r="Q231" s="2" t="s">
        <v>122</v>
      </c>
    </row>
    <row r="232" spans="1:17" x14ac:dyDescent="0.35">
      <c r="A232" s="2">
        <v>202607</v>
      </c>
      <c r="B232" s="2">
        <v>46234</v>
      </c>
      <c r="C232" s="2" t="s">
        <v>107</v>
      </c>
      <c r="D232" s="2" t="s">
        <v>108</v>
      </c>
      <c r="E232" s="2">
        <v>1300</v>
      </c>
      <c r="F232" s="2" t="s">
        <v>348</v>
      </c>
      <c r="G232" s="2" t="s">
        <v>349</v>
      </c>
      <c r="H232" s="2">
        <v>3670</v>
      </c>
      <c r="I232" s="2" t="s">
        <v>488</v>
      </c>
      <c r="J232" s="2" t="s">
        <v>13</v>
      </c>
      <c r="K232" s="2" t="s">
        <v>29</v>
      </c>
      <c r="L232" s="2" t="s">
        <v>30</v>
      </c>
      <c r="M232" s="2" t="s">
        <v>15</v>
      </c>
      <c r="N232" s="2" t="s">
        <v>489</v>
      </c>
      <c r="O232" s="2">
        <v>0.81799999999999995</v>
      </c>
      <c r="P232" s="2">
        <v>-0.81799999999999995</v>
      </c>
      <c r="Q232" s="2" t="s">
        <v>122</v>
      </c>
    </row>
    <row r="233" spans="1:17" x14ac:dyDescent="0.35">
      <c r="A233" s="2">
        <v>202607</v>
      </c>
      <c r="B233" s="2">
        <v>46234</v>
      </c>
      <c r="C233" s="2" t="s">
        <v>107</v>
      </c>
      <c r="D233" s="2" t="s">
        <v>108</v>
      </c>
      <c r="E233" s="2">
        <v>1300</v>
      </c>
      <c r="F233" s="2" t="s">
        <v>348</v>
      </c>
      <c r="G233" s="2" t="s">
        <v>349</v>
      </c>
      <c r="H233" s="2">
        <v>5000</v>
      </c>
      <c r="I233" s="2" t="s">
        <v>490</v>
      </c>
      <c r="J233" s="2" t="s">
        <v>33</v>
      </c>
      <c r="K233" s="2" t="s">
        <v>34</v>
      </c>
      <c r="L233" s="2" t="s">
        <v>36</v>
      </c>
      <c r="M233" s="2" t="s">
        <v>35</v>
      </c>
      <c r="N233" s="2" t="s">
        <v>491</v>
      </c>
      <c r="O233" s="2">
        <v>13.914</v>
      </c>
      <c r="P233" s="2">
        <v>13.914</v>
      </c>
      <c r="Q233" s="2" t="s">
        <v>122</v>
      </c>
    </row>
    <row r="234" spans="1:17" x14ac:dyDescent="0.35">
      <c r="A234" s="2">
        <v>202607</v>
      </c>
      <c r="B234" s="2">
        <v>46234</v>
      </c>
      <c r="C234" s="2" t="s">
        <v>107</v>
      </c>
      <c r="D234" s="2" t="s">
        <v>108</v>
      </c>
      <c r="E234" s="2">
        <v>1300</v>
      </c>
      <c r="F234" s="2" t="s">
        <v>348</v>
      </c>
      <c r="G234" s="2" t="s">
        <v>349</v>
      </c>
      <c r="H234" s="2">
        <v>6300</v>
      </c>
      <c r="I234" s="2" t="s">
        <v>54</v>
      </c>
      <c r="J234" s="2" t="s">
        <v>48</v>
      </c>
      <c r="K234" s="2" t="s">
        <v>53</v>
      </c>
      <c r="L234" s="2" t="s">
        <v>54</v>
      </c>
      <c r="M234" s="2" t="s">
        <v>35</v>
      </c>
      <c r="N234" s="2" t="s">
        <v>492</v>
      </c>
      <c r="O234" s="2">
        <v>4.5999999999999996</v>
      </c>
      <c r="P234" s="2">
        <v>4.5999999999999996</v>
      </c>
      <c r="Q234" s="2" t="s">
        <v>122</v>
      </c>
    </row>
    <row r="235" spans="1:17" x14ac:dyDescent="0.35">
      <c r="A235" s="2">
        <v>202607</v>
      </c>
      <c r="B235" s="2">
        <v>46234</v>
      </c>
      <c r="C235" s="2" t="s">
        <v>107</v>
      </c>
      <c r="D235" s="2" t="s">
        <v>108</v>
      </c>
      <c r="E235" s="2">
        <v>1300</v>
      </c>
      <c r="F235" s="2" t="s">
        <v>348</v>
      </c>
      <c r="G235" s="2" t="s">
        <v>349</v>
      </c>
      <c r="H235" s="2">
        <v>6050</v>
      </c>
      <c r="I235" s="2" t="s">
        <v>493</v>
      </c>
      <c r="J235" s="2" t="s">
        <v>48</v>
      </c>
      <c r="K235" s="2" t="s">
        <v>49</v>
      </c>
      <c r="L235" s="2" t="s">
        <v>50</v>
      </c>
      <c r="M235" s="2" t="s">
        <v>35</v>
      </c>
      <c r="N235" s="2" t="s">
        <v>494</v>
      </c>
      <c r="O235" s="2">
        <v>1.89</v>
      </c>
      <c r="P235" s="2">
        <v>1.89</v>
      </c>
      <c r="Q235" s="2" t="s">
        <v>122</v>
      </c>
    </row>
    <row r="236" spans="1:17" x14ac:dyDescent="0.35">
      <c r="A236" s="2">
        <v>202607</v>
      </c>
      <c r="B236" s="2">
        <v>46234</v>
      </c>
      <c r="C236" s="2" t="s">
        <v>107</v>
      </c>
      <c r="D236" s="2" t="s">
        <v>108</v>
      </c>
      <c r="E236" s="2">
        <v>1400</v>
      </c>
      <c r="F236" s="2" t="s">
        <v>352</v>
      </c>
      <c r="G236" s="2" t="s">
        <v>353</v>
      </c>
      <c r="H236" s="2">
        <v>3900</v>
      </c>
      <c r="I236" s="2" t="s">
        <v>31</v>
      </c>
      <c r="J236" s="2" t="s">
        <v>13</v>
      </c>
      <c r="K236" s="2" t="s">
        <v>31</v>
      </c>
      <c r="L236" s="2" t="s">
        <v>31</v>
      </c>
      <c r="M236" s="2" t="s">
        <v>15</v>
      </c>
      <c r="N236" s="2" t="s">
        <v>485</v>
      </c>
      <c r="O236" s="2">
        <v>13.362</v>
      </c>
      <c r="P236" s="2">
        <v>-13.362</v>
      </c>
      <c r="Q236" s="2" t="s">
        <v>122</v>
      </c>
    </row>
    <row r="237" spans="1:17" x14ac:dyDescent="0.35">
      <c r="A237" s="2">
        <v>202607</v>
      </c>
      <c r="B237" s="2">
        <v>46234</v>
      </c>
      <c r="C237" s="2" t="s">
        <v>107</v>
      </c>
      <c r="D237" s="2" t="s">
        <v>108</v>
      </c>
      <c r="E237" s="2">
        <v>1400</v>
      </c>
      <c r="F237" s="2" t="s">
        <v>352</v>
      </c>
      <c r="G237" s="2" t="s">
        <v>353</v>
      </c>
      <c r="H237" s="2">
        <v>3400</v>
      </c>
      <c r="I237" s="2" t="s">
        <v>486</v>
      </c>
      <c r="J237" s="2" t="s">
        <v>13</v>
      </c>
      <c r="K237" s="2" t="s">
        <v>22</v>
      </c>
      <c r="L237" s="2" t="s">
        <v>23</v>
      </c>
      <c r="M237" s="2" t="s">
        <v>15</v>
      </c>
      <c r="N237" s="2" t="s">
        <v>487</v>
      </c>
      <c r="O237" s="2">
        <v>0.75600000000000001</v>
      </c>
      <c r="P237" s="2">
        <v>-0.75600000000000001</v>
      </c>
      <c r="Q237" s="2" t="s">
        <v>122</v>
      </c>
    </row>
    <row r="238" spans="1:17" x14ac:dyDescent="0.35">
      <c r="A238" s="2">
        <v>202607</v>
      </c>
      <c r="B238" s="2">
        <v>46234</v>
      </c>
      <c r="C238" s="2" t="s">
        <v>107</v>
      </c>
      <c r="D238" s="2" t="s">
        <v>108</v>
      </c>
      <c r="E238" s="2">
        <v>1400</v>
      </c>
      <c r="F238" s="2" t="s">
        <v>352</v>
      </c>
      <c r="G238" s="2" t="s">
        <v>353</v>
      </c>
      <c r="H238" s="2">
        <v>3670</v>
      </c>
      <c r="I238" s="2" t="s">
        <v>488</v>
      </c>
      <c r="J238" s="2" t="s">
        <v>13</v>
      </c>
      <c r="K238" s="2" t="s">
        <v>29</v>
      </c>
      <c r="L238" s="2" t="s">
        <v>30</v>
      </c>
      <c r="M238" s="2" t="s">
        <v>15</v>
      </c>
      <c r="N238" s="2" t="s">
        <v>489</v>
      </c>
      <c r="O238" s="2">
        <v>0.49199999999999999</v>
      </c>
      <c r="P238" s="2">
        <v>-0.49199999999999999</v>
      </c>
      <c r="Q238" s="2" t="s">
        <v>122</v>
      </c>
    </row>
    <row r="239" spans="1:17" x14ac:dyDescent="0.35">
      <c r="A239" s="2">
        <v>202607</v>
      </c>
      <c r="B239" s="2">
        <v>46234</v>
      </c>
      <c r="C239" s="2" t="s">
        <v>107</v>
      </c>
      <c r="D239" s="2" t="s">
        <v>108</v>
      </c>
      <c r="E239" s="2">
        <v>1400</v>
      </c>
      <c r="F239" s="2" t="s">
        <v>352</v>
      </c>
      <c r="G239" s="2" t="s">
        <v>353</v>
      </c>
      <c r="H239" s="2">
        <v>5000</v>
      </c>
      <c r="I239" s="2" t="s">
        <v>490</v>
      </c>
      <c r="J239" s="2" t="s">
        <v>33</v>
      </c>
      <c r="K239" s="2" t="s">
        <v>34</v>
      </c>
      <c r="L239" s="2" t="s">
        <v>36</v>
      </c>
      <c r="M239" s="2" t="s">
        <v>35</v>
      </c>
      <c r="N239" s="2" t="s">
        <v>491</v>
      </c>
      <c r="O239" s="2">
        <v>7.8639999999999999</v>
      </c>
      <c r="P239" s="2">
        <v>7.8639999999999999</v>
      </c>
      <c r="Q239" s="2" t="s">
        <v>122</v>
      </c>
    </row>
    <row r="240" spans="1:17" x14ac:dyDescent="0.35">
      <c r="A240" s="2">
        <v>202607</v>
      </c>
      <c r="B240" s="2">
        <v>46234</v>
      </c>
      <c r="C240" s="2" t="s">
        <v>107</v>
      </c>
      <c r="D240" s="2" t="s">
        <v>108</v>
      </c>
      <c r="E240" s="2">
        <v>1400</v>
      </c>
      <c r="F240" s="2" t="s">
        <v>352</v>
      </c>
      <c r="G240" s="2" t="s">
        <v>353</v>
      </c>
      <c r="H240" s="2">
        <v>6300</v>
      </c>
      <c r="I240" s="2" t="s">
        <v>54</v>
      </c>
      <c r="J240" s="2" t="s">
        <v>48</v>
      </c>
      <c r="K240" s="2" t="s">
        <v>53</v>
      </c>
      <c r="L240" s="2" t="s">
        <v>54</v>
      </c>
      <c r="M240" s="2" t="s">
        <v>35</v>
      </c>
      <c r="N240" s="2" t="s">
        <v>492</v>
      </c>
      <c r="O240" s="2">
        <v>2.6</v>
      </c>
      <c r="P240" s="2">
        <v>2.6</v>
      </c>
      <c r="Q240" s="2" t="s">
        <v>122</v>
      </c>
    </row>
    <row r="241" spans="1:17" x14ac:dyDescent="0.35">
      <c r="A241" s="2">
        <v>202607</v>
      </c>
      <c r="B241" s="2">
        <v>46234</v>
      </c>
      <c r="C241" s="2" t="s">
        <v>107</v>
      </c>
      <c r="D241" s="2" t="s">
        <v>108</v>
      </c>
      <c r="E241" s="2">
        <v>1400</v>
      </c>
      <c r="F241" s="2" t="s">
        <v>352</v>
      </c>
      <c r="G241" s="2" t="s">
        <v>353</v>
      </c>
      <c r="H241" s="2">
        <v>6050</v>
      </c>
      <c r="I241" s="2" t="s">
        <v>493</v>
      </c>
      <c r="J241" s="2" t="s">
        <v>48</v>
      </c>
      <c r="K241" s="2" t="s">
        <v>49</v>
      </c>
      <c r="L241" s="2" t="s">
        <v>50</v>
      </c>
      <c r="M241" s="2" t="s">
        <v>35</v>
      </c>
      <c r="N241" s="2" t="s">
        <v>494</v>
      </c>
      <c r="O241" s="2">
        <v>0.81</v>
      </c>
      <c r="P241" s="2">
        <v>0.81</v>
      </c>
      <c r="Q241" s="2" t="s">
        <v>122</v>
      </c>
    </row>
    <row r="242" spans="1:17" x14ac:dyDescent="0.35">
      <c r="A242" s="2">
        <v>202607</v>
      </c>
      <c r="B242" s="2">
        <v>46234</v>
      </c>
      <c r="C242" s="2" t="s">
        <v>107</v>
      </c>
      <c r="D242" s="2" t="s">
        <v>108</v>
      </c>
      <c r="E242" s="2">
        <v>1500</v>
      </c>
      <c r="F242" s="2" t="s">
        <v>356</v>
      </c>
      <c r="G242" s="2" t="s">
        <v>357</v>
      </c>
      <c r="H242" s="2">
        <v>3900</v>
      </c>
      <c r="I242" s="2" t="s">
        <v>31</v>
      </c>
      <c r="J242" s="2" t="s">
        <v>13</v>
      </c>
      <c r="K242" s="2" t="s">
        <v>31</v>
      </c>
      <c r="L242" s="2" t="s">
        <v>31</v>
      </c>
      <c r="M242" s="2" t="s">
        <v>15</v>
      </c>
      <c r="N242" s="2" t="s">
        <v>485</v>
      </c>
      <c r="O242" s="2">
        <v>10.28</v>
      </c>
      <c r="P242" s="2">
        <v>-10.28</v>
      </c>
      <c r="Q242" s="2" t="s">
        <v>122</v>
      </c>
    </row>
    <row r="243" spans="1:17" x14ac:dyDescent="0.35">
      <c r="A243" s="2">
        <v>202607</v>
      </c>
      <c r="B243" s="2">
        <v>46234</v>
      </c>
      <c r="C243" s="2" t="s">
        <v>107</v>
      </c>
      <c r="D243" s="2" t="s">
        <v>108</v>
      </c>
      <c r="E243" s="2">
        <v>1500</v>
      </c>
      <c r="F243" s="2" t="s">
        <v>356</v>
      </c>
      <c r="G243" s="2" t="s">
        <v>357</v>
      </c>
      <c r="H243" s="2">
        <v>3400</v>
      </c>
      <c r="I243" s="2" t="s">
        <v>486</v>
      </c>
      <c r="J243" s="2" t="s">
        <v>13</v>
      </c>
      <c r="K243" s="2" t="s">
        <v>22</v>
      </c>
      <c r="L243" s="2" t="s">
        <v>23</v>
      </c>
      <c r="M243" s="2" t="s">
        <v>15</v>
      </c>
      <c r="N243" s="2" t="s">
        <v>487</v>
      </c>
      <c r="O243" s="2">
        <v>0.504</v>
      </c>
      <c r="P243" s="2">
        <v>-0.504</v>
      </c>
      <c r="Q243" s="2" t="s">
        <v>122</v>
      </c>
    </row>
    <row r="244" spans="1:17" x14ac:dyDescent="0.35">
      <c r="A244" s="2">
        <v>202607</v>
      </c>
      <c r="B244" s="2">
        <v>46234</v>
      </c>
      <c r="C244" s="2" t="s">
        <v>107</v>
      </c>
      <c r="D244" s="2" t="s">
        <v>108</v>
      </c>
      <c r="E244" s="2">
        <v>1500</v>
      </c>
      <c r="F244" s="2" t="s">
        <v>356</v>
      </c>
      <c r="G244" s="2" t="s">
        <v>357</v>
      </c>
      <c r="H244" s="2">
        <v>3670</v>
      </c>
      <c r="I244" s="2" t="s">
        <v>488</v>
      </c>
      <c r="J244" s="2" t="s">
        <v>13</v>
      </c>
      <c r="K244" s="2" t="s">
        <v>29</v>
      </c>
      <c r="L244" s="2" t="s">
        <v>30</v>
      </c>
      <c r="M244" s="2" t="s">
        <v>15</v>
      </c>
      <c r="N244" s="2" t="s">
        <v>489</v>
      </c>
      <c r="O244" s="2">
        <v>0.32600000000000001</v>
      </c>
      <c r="P244" s="2">
        <v>-0.32600000000000001</v>
      </c>
      <c r="Q244" s="2" t="s">
        <v>122</v>
      </c>
    </row>
    <row r="245" spans="1:17" x14ac:dyDescent="0.35">
      <c r="A245" s="2">
        <v>202607</v>
      </c>
      <c r="B245" s="2">
        <v>46234</v>
      </c>
      <c r="C245" s="2" t="s">
        <v>107</v>
      </c>
      <c r="D245" s="2" t="s">
        <v>108</v>
      </c>
      <c r="E245" s="2">
        <v>1500</v>
      </c>
      <c r="F245" s="2" t="s">
        <v>356</v>
      </c>
      <c r="G245" s="2" t="s">
        <v>357</v>
      </c>
      <c r="H245" s="2">
        <v>5000</v>
      </c>
      <c r="I245" s="2" t="s">
        <v>490</v>
      </c>
      <c r="J245" s="2" t="s">
        <v>33</v>
      </c>
      <c r="K245" s="2" t="s">
        <v>34</v>
      </c>
      <c r="L245" s="2" t="s">
        <v>36</v>
      </c>
      <c r="M245" s="2" t="s">
        <v>35</v>
      </c>
      <c r="N245" s="2" t="s">
        <v>491</v>
      </c>
      <c r="O245" s="2">
        <v>6.05</v>
      </c>
      <c r="P245" s="2">
        <v>6.05</v>
      </c>
      <c r="Q245" s="2" t="s">
        <v>122</v>
      </c>
    </row>
    <row r="246" spans="1:17" x14ac:dyDescent="0.35">
      <c r="A246" s="2">
        <v>202607</v>
      </c>
      <c r="B246" s="2">
        <v>46234</v>
      </c>
      <c r="C246" s="2" t="s">
        <v>107</v>
      </c>
      <c r="D246" s="2" t="s">
        <v>108</v>
      </c>
      <c r="E246" s="2">
        <v>1500</v>
      </c>
      <c r="F246" s="2" t="s">
        <v>356</v>
      </c>
      <c r="G246" s="2" t="s">
        <v>357</v>
      </c>
      <c r="H246" s="2">
        <v>6300</v>
      </c>
      <c r="I246" s="2" t="s">
        <v>54</v>
      </c>
      <c r="J246" s="2" t="s">
        <v>48</v>
      </c>
      <c r="K246" s="2" t="s">
        <v>53</v>
      </c>
      <c r="L246" s="2" t="s">
        <v>54</v>
      </c>
      <c r="M246" s="2" t="s">
        <v>35</v>
      </c>
      <c r="N246" s="2" t="s">
        <v>492</v>
      </c>
      <c r="O246" s="2">
        <v>2</v>
      </c>
      <c r="P246" s="2">
        <v>2</v>
      </c>
      <c r="Q246" s="2" t="s">
        <v>122</v>
      </c>
    </row>
    <row r="247" spans="1:17" x14ac:dyDescent="0.35">
      <c r="A247" s="2">
        <v>202607</v>
      </c>
      <c r="B247" s="2">
        <v>46234</v>
      </c>
      <c r="C247" s="2" t="s">
        <v>107</v>
      </c>
      <c r="D247" s="2" t="s">
        <v>108</v>
      </c>
      <c r="E247" s="2">
        <v>1500</v>
      </c>
      <c r="F247" s="2" t="s">
        <v>356</v>
      </c>
      <c r="G247" s="2" t="s">
        <v>357</v>
      </c>
      <c r="H247" s="2">
        <v>6050</v>
      </c>
      <c r="I247" s="2" t="s">
        <v>493</v>
      </c>
      <c r="J247" s="2" t="s">
        <v>48</v>
      </c>
      <c r="K247" s="2" t="s">
        <v>49</v>
      </c>
      <c r="L247" s="2" t="s">
        <v>50</v>
      </c>
      <c r="M247" s="2" t="s">
        <v>35</v>
      </c>
      <c r="N247" s="2" t="s">
        <v>494</v>
      </c>
      <c r="O247" s="2">
        <v>0.63</v>
      </c>
      <c r="P247" s="2">
        <v>0.63</v>
      </c>
      <c r="Q247" s="2" t="s">
        <v>122</v>
      </c>
    </row>
    <row r="248" spans="1:17" x14ac:dyDescent="0.35">
      <c r="A248" s="2">
        <v>202607</v>
      </c>
      <c r="B248" s="2">
        <v>46234</v>
      </c>
      <c r="C248" s="2" t="s">
        <v>107</v>
      </c>
      <c r="D248" s="2" t="s">
        <v>108</v>
      </c>
      <c r="E248" s="2">
        <v>1900</v>
      </c>
      <c r="F248" s="2" t="s">
        <v>360</v>
      </c>
      <c r="G248" s="2" t="s">
        <v>361</v>
      </c>
      <c r="H248" s="2">
        <v>3900</v>
      </c>
      <c r="I248" s="2" t="s">
        <v>31</v>
      </c>
      <c r="J248" s="2" t="s">
        <v>13</v>
      </c>
      <c r="K248" s="2" t="s">
        <v>31</v>
      </c>
      <c r="L248" s="2" t="s">
        <v>31</v>
      </c>
      <c r="M248" s="2" t="s">
        <v>15</v>
      </c>
      <c r="N248" s="2" t="s">
        <v>485</v>
      </c>
      <c r="O248" s="2">
        <v>7.1980000000000004</v>
      </c>
      <c r="P248" s="2">
        <v>-7.1980000000000004</v>
      </c>
      <c r="Q248" s="2" t="s">
        <v>122</v>
      </c>
    </row>
    <row r="249" spans="1:17" x14ac:dyDescent="0.35">
      <c r="A249" s="2">
        <v>202607</v>
      </c>
      <c r="B249" s="2">
        <v>46234</v>
      </c>
      <c r="C249" s="2" t="s">
        <v>107</v>
      </c>
      <c r="D249" s="2" t="s">
        <v>108</v>
      </c>
      <c r="E249" s="2">
        <v>1900</v>
      </c>
      <c r="F249" s="2" t="s">
        <v>360</v>
      </c>
      <c r="G249" s="2" t="s">
        <v>361</v>
      </c>
      <c r="H249" s="2">
        <v>3400</v>
      </c>
      <c r="I249" s="2" t="s">
        <v>486</v>
      </c>
      <c r="J249" s="2" t="s">
        <v>13</v>
      </c>
      <c r="K249" s="2" t="s">
        <v>22</v>
      </c>
      <c r="L249" s="2" t="s">
        <v>23</v>
      </c>
      <c r="M249" s="2" t="s">
        <v>15</v>
      </c>
      <c r="N249" s="2" t="s">
        <v>487</v>
      </c>
      <c r="O249" s="2">
        <v>0.151</v>
      </c>
      <c r="P249" s="2">
        <v>-0.151</v>
      </c>
      <c r="Q249" s="2" t="s">
        <v>122</v>
      </c>
    </row>
    <row r="250" spans="1:17" x14ac:dyDescent="0.35">
      <c r="A250" s="2">
        <v>202607</v>
      </c>
      <c r="B250" s="2">
        <v>46234</v>
      </c>
      <c r="C250" s="2" t="s">
        <v>107</v>
      </c>
      <c r="D250" s="2" t="s">
        <v>108</v>
      </c>
      <c r="E250" s="2">
        <v>1900</v>
      </c>
      <c r="F250" s="2" t="s">
        <v>360</v>
      </c>
      <c r="G250" s="2" t="s">
        <v>361</v>
      </c>
      <c r="H250" s="2">
        <v>3670</v>
      </c>
      <c r="I250" s="2" t="s">
        <v>488</v>
      </c>
      <c r="J250" s="2" t="s">
        <v>13</v>
      </c>
      <c r="K250" s="2" t="s">
        <v>29</v>
      </c>
      <c r="L250" s="2" t="s">
        <v>30</v>
      </c>
      <c r="M250" s="2" t="s">
        <v>15</v>
      </c>
      <c r="N250" s="2" t="s">
        <v>489</v>
      </c>
      <c r="O250" s="2">
        <v>1.05</v>
      </c>
      <c r="P250" s="2">
        <v>-1.05</v>
      </c>
      <c r="Q250" s="2" t="s">
        <v>122</v>
      </c>
    </row>
    <row r="251" spans="1:17" x14ac:dyDescent="0.35">
      <c r="A251" s="2">
        <v>202607</v>
      </c>
      <c r="B251" s="2">
        <v>46234</v>
      </c>
      <c r="C251" s="2" t="s">
        <v>107</v>
      </c>
      <c r="D251" s="2" t="s">
        <v>108</v>
      </c>
      <c r="E251" s="2">
        <v>1900</v>
      </c>
      <c r="F251" s="2" t="s">
        <v>360</v>
      </c>
      <c r="G251" s="2" t="s">
        <v>361</v>
      </c>
      <c r="H251" s="2">
        <v>5000</v>
      </c>
      <c r="I251" s="2" t="s">
        <v>490</v>
      </c>
      <c r="J251" s="2" t="s">
        <v>33</v>
      </c>
      <c r="K251" s="2" t="s">
        <v>34</v>
      </c>
      <c r="L251" s="2" t="s">
        <v>36</v>
      </c>
      <c r="M251" s="2" t="s">
        <v>35</v>
      </c>
      <c r="N251" s="2" t="s">
        <v>491</v>
      </c>
      <c r="O251" s="2">
        <v>4.8390000000000004</v>
      </c>
      <c r="P251" s="2">
        <v>4.8390000000000004</v>
      </c>
      <c r="Q251" s="2" t="s">
        <v>122</v>
      </c>
    </row>
    <row r="252" spans="1:17" x14ac:dyDescent="0.35">
      <c r="A252" s="2">
        <v>202607</v>
      </c>
      <c r="B252" s="2">
        <v>46234</v>
      </c>
      <c r="C252" s="2" t="s">
        <v>107</v>
      </c>
      <c r="D252" s="2" t="s">
        <v>108</v>
      </c>
      <c r="E252" s="2">
        <v>1900</v>
      </c>
      <c r="F252" s="2" t="s">
        <v>360</v>
      </c>
      <c r="G252" s="2" t="s">
        <v>361</v>
      </c>
      <c r="H252" s="2">
        <v>6300</v>
      </c>
      <c r="I252" s="2" t="s">
        <v>54</v>
      </c>
      <c r="J252" s="2" t="s">
        <v>48</v>
      </c>
      <c r="K252" s="2" t="s">
        <v>53</v>
      </c>
      <c r="L252" s="2" t="s">
        <v>54</v>
      </c>
      <c r="M252" s="2" t="s">
        <v>35</v>
      </c>
      <c r="N252" s="2" t="s">
        <v>492</v>
      </c>
      <c r="O252" s="2">
        <v>1.6</v>
      </c>
      <c r="P252" s="2">
        <v>1.6</v>
      </c>
      <c r="Q252" s="2" t="s">
        <v>122</v>
      </c>
    </row>
    <row r="253" spans="1:17" x14ac:dyDescent="0.35">
      <c r="A253" s="2">
        <v>202607</v>
      </c>
      <c r="B253" s="2">
        <v>46234</v>
      </c>
      <c r="C253" s="2" t="s">
        <v>107</v>
      </c>
      <c r="D253" s="2" t="s">
        <v>108</v>
      </c>
      <c r="E253" s="2">
        <v>1900</v>
      </c>
      <c r="F253" s="2" t="s">
        <v>360</v>
      </c>
      <c r="G253" s="2" t="s">
        <v>361</v>
      </c>
      <c r="H253" s="2">
        <v>6050</v>
      </c>
      <c r="I253" s="2" t="s">
        <v>493</v>
      </c>
      <c r="J253" s="2" t="s">
        <v>48</v>
      </c>
      <c r="K253" s="2" t="s">
        <v>49</v>
      </c>
      <c r="L253" s="2" t="s">
        <v>50</v>
      </c>
      <c r="M253" s="2" t="s">
        <v>35</v>
      </c>
      <c r="N253" s="2" t="s">
        <v>494</v>
      </c>
      <c r="O253" s="2">
        <v>0.81</v>
      </c>
      <c r="P253" s="2">
        <v>0.81</v>
      </c>
      <c r="Q253" s="2" t="s">
        <v>122</v>
      </c>
    </row>
    <row r="254" spans="1:17" x14ac:dyDescent="0.35">
      <c r="A254" s="2">
        <v>202608</v>
      </c>
      <c r="B254" s="2">
        <v>46265</v>
      </c>
      <c r="C254" s="2" t="s">
        <v>109</v>
      </c>
      <c r="D254" s="2" t="s">
        <v>108</v>
      </c>
      <c r="E254" s="2">
        <v>1100</v>
      </c>
      <c r="F254" s="2" t="s">
        <v>339</v>
      </c>
      <c r="G254" s="2" t="s">
        <v>340</v>
      </c>
      <c r="H254" s="2">
        <v>3900</v>
      </c>
      <c r="I254" s="2" t="s">
        <v>31</v>
      </c>
      <c r="J254" s="2" t="s">
        <v>13</v>
      </c>
      <c r="K254" s="2" t="s">
        <v>31</v>
      </c>
      <c r="L254" s="2" t="s">
        <v>31</v>
      </c>
      <c r="M254" s="2" t="s">
        <v>15</v>
      </c>
      <c r="N254" s="2" t="s">
        <v>485</v>
      </c>
      <c r="O254" s="2">
        <v>20.56</v>
      </c>
      <c r="P254" s="2">
        <v>-20.56</v>
      </c>
      <c r="Q254" s="2" t="s">
        <v>122</v>
      </c>
    </row>
    <row r="255" spans="1:17" x14ac:dyDescent="0.35">
      <c r="A255" s="2">
        <v>202608</v>
      </c>
      <c r="B255" s="2">
        <v>46265</v>
      </c>
      <c r="C255" s="2" t="s">
        <v>109</v>
      </c>
      <c r="D255" s="2" t="s">
        <v>108</v>
      </c>
      <c r="E255" s="2">
        <v>1100</v>
      </c>
      <c r="F255" s="2" t="s">
        <v>339</v>
      </c>
      <c r="G255" s="2" t="s">
        <v>340</v>
      </c>
      <c r="H255" s="2">
        <v>3400</v>
      </c>
      <c r="I255" s="2" t="s">
        <v>486</v>
      </c>
      <c r="J255" s="2" t="s">
        <v>13</v>
      </c>
      <c r="K255" s="2" t="s">
        <v>22</v>
      </c>
      <c r="L255" s="2" t="s">
        <v>23</v>
      </c>
      <c r="M255" s="2" t="s">
        <v>15</v>
      </c>
      <c r="N255" s="2" t="s">
        <v>487</v>
      </c>
      <c r="O255" s="2">
        <v>1.7529999999999999</v>
      </c>
      <c r="P255" s="2">
        <v>-1.7529999999999999</v>
      </c>
      <c r="Q255" s="2" t="s">
        <v>122</v>
      </c>
    </row>
    <row r="256" spans="1:17" x14ac:dyDescent="0.35">
      <c r="A256" s="2">
        <v>202608</v>
      </c>
      <c r="B256" s="2">
        <v>46265</v>
      </c>
      <c r="C256" s="2" t="s">
        <v>109</v>
      </c>
      <c r="D256" s="2" t="s">
        <v>108</v>
      </c>
      <c r="E256" s="2">
        <v>1100</v>
      </c>
      <c r="F256" s="2" t="s">
        <v>339</v>
      </c>
      <c r="G256" s="2" t="s">
        <v>340</v>
      </c>
      <c r="H256" s="2">
        <v>3670</v>
      </c>
      <c r="I256" s="2" t="s">
        <v>488</v>
      </c>
      <c r="J256" s="2" t="s">
        <v>13</v>
      </c>
      <c r="K256" s="2" t="s">
        <v>29</v>
      </c>
      <c r="L256" s="2" t="s">
        <v>30</v>
      </c>
      <c r="M256" s="2" t="s">
        <v>15</v>
      </c>
      <c r="N256" s="2" t="s">
        <v>489</v>
      </c>
      <c r="O256" s="2">
        <v>0.67700000000000005</v>
      </c>
      <c r="P256" s="2">
        <v>-0.67700000000000005</v>
      </c>
      <c r="Q256" s="2" t="s">
        <v>122</v>
      </c>
    </row>
    <row r="257" spans="1:17" x14ac:dyDescent="0.35">
      <c r="A257" s="2">
        <v>202608</v>
      </c>
      <c r="B257" s="2">
        <v>46265</v>
      </c>
      <c r="C257" s="2" t="s">
        <v>109</v>
      </c>
      <c r="D257" s="2" t="s">
        <v>108</v>
      </c>
      <c r="E257" s="2">
        <v>1100</v>
      </c>
      <c r="F257" s="2" t="s">
        <v>339</v>
      </c>
      <c r="G257" s="2" t="s">
        <v>340</v>
      </c>
      <c r="H257" s="2">
        <v>5000</v>
      </c>
      <c r="I257" s="2" t="s">
        <v>490</v>
      </c>
      <c r="J257" s="2" t="s">
        <v>33</v>
      </c>
      <c r="K257" s="2" t="s">
        <v>34</v>
      </c>
      <c r="L257" s="2" t="s">
        <v>36</v>
      </c>
      <c r="M257" s="2" t="s">
        <v>35</v>
      </c>
      <c r="N257" s="2" t="s">
        <v>491</v>
      </c>
      <c r="O257" s="2">
        <v>14.632999999999999</v>
      </c>
      <c r="P257" s="2">
        <v>14.632999999999999</v>
      </c>
      <c r="Q257" s="2" t="s">
        <v>122</v>
      </c>
    </row>
    <row r="258" spans="1:17" x14ac:dyDescent="0.35">
      <c r="A258" s="2">
        <v>202608</v>
      </c>
      <c r="B258" s="2">
        <v>46265</v>
      </c>
      <c r="C258" s="2" t="s">
        <v>109</v>
      </c>
      <c r="D258" s="2" t="s">
        <v>108</v>
      </c>
      <c r="E258" s="2">
        <v>1100</v>
      </c>
      <c r="F258" s="2" t="s">
        <v>339</v>
      </c>
      <c r="G258" s="2" t="s">
        <v>340</v>
      </c>
      <c r="H258" s="2">
        <v>6300</v>
      </c>
      <c r="I258" s="2" t="s">
        <v>54</v>
      </c>
      <c r="J258" s="2" t="s">
        <v>48</v>
      </c>
      <c r="K258" s="2" t="s">
        <v>53</v>
      </c>
      <c r="L258" s="2" t="s">
        <v>54</v>
      </c>
      <c r="M258" s="2" t="s">
        <v>35</v>
      </c>
      <c r="N258" s="2" t="s">
        <v>492</v>
      </c>
      <c r="O258" s="2">
        <v>5.13</v>
      </c>
      <c r="P258" s="2">
        <v>5.13</v>
      </c>
      <c r="Q258" s="2" t="s">
        <v>122</v>
      </c>
    </row>
    <row r="259" spans="1:17" x14ac:dyDescent="0.35">
      <c r="A259" s="2">
        <v>202608</v>
      </c>
      <c r="B259" s="2">
        <v>46265</v>
      </c>
      <c r="C259" s="2" t="s">
        <v>109</v>
      </c>
      <c r="D259" s="2" t="s">
        <v>108</v>
      </c>
      <c r="E259" s="2">
        <v>1100</v>
      </c>
      <c r="F259" s="2" t="s">
        <v>339</v>
      </c>
      <c r="G259" s="2" t="s">
        <v>340</v>
      </c>
      <c r="H259" s="2">
        <v>6050</v>
      </c>
      <c r="I259" s="2" t="s">
        <v>493</v>
      </c>
      <c r="J259" s="2" t="s">
        <v>48</v>
      </c>
      <c r="K259" s="2" t="s">
        <v>49</v>
      </c>
      <c r="L259" s="2" t="s">
        <v>50</v>
      </c>
      <c r="M259" s="2" t="s">
        <v>35</v>
      </c>
      <c r="N259" s="2" t="s">
        <v>494</v>
      </c>
      <c r="O259" s="2">
        <v>2.66</v>
      </c>
      <c r="P259" s="2">
        <v>2.66</v>
      </c>
      <c r="Q259" s="2" t="s">
        <v>122</v>
      </c>
    </row>
    <row r="260" spans="1:17" x14ac:dyDescent="0.35">
      <c r="A260" s="2">
        <v>202608</v>
      </c>
      <c r="B260" s="2">
        <v>46265</v>
      </c>
      <c r="C260" s="2" t="s">
        <v>109</v>
      </c>
      <c r="D260" s="2" t="s">
        <v>108</v>
      </c>
      <c r="E260" s="2">
        <v>1200</v>
      </c>
      <c r="F260" s="2" t="s">
        <v>344</v>
      </c>
      <c r="G260" s="2" t="s">
        <v>345</v>
      </c>
      <c r="H260" s="2">
        <v>3900</v>
      </c>
      <c r="I260" s="2" t="s">
        <v>31</v>
      </c>
      <c r="J260" s="2" t="s">
        <v>13</v>
      </c>
      <c r="K260" s="2" t="s">
        <v>31</v>
      </c>
      <c r="L260" s="2" t="s">
        <v>31</v>
      </c>
      <c r="M260" s="2" t="s">
        <v>15</v>
      </c>
      <c r="N260" s="2" t="s">
        <v>485</v>
      </c>
      <c r="O260" s="2">
        <v>27.757999999999999</v>
      </c>
      <c r="P260" s="2">
        <v>-27.757999999999999</v>
      </c>
      <c r="Q260" s="2" t="s">
        <v>122</v>
      </c>
    </row>
    <row r="261" spans="1:17" x14ac:dyDescent="0.35">
      <c r="A261" s="2">
        <v>202608</v>
      </c>
      <c r="B261" s="2">
        <v>46265</v>
      </c>
      <c r="C261" s="2" t="s">
        <v>109</v>
      </c>
      <c r="D261" s="2" t="s">
        <v>108</v>
      </c>
      <c r="E261" s="2">
        <v>1200</v>
      </c>
      <c r="F261" s="2" t="s">
        <v>344</v>
      </c>
      <c r="G261" s="2" t="s">
        <v>345</v>
      </c>
      <c r="H261" s="2">
        <v>3400</v>
      </c>
      <c r="I261" s="2" t="s">
        <v>486</v>
      </c>
      <c r="J261" s="2" t="s">
        <v>13</v>
      </c>
      <c r="K261" s="2" t="s">
        <v>22</v>
      </c>
      <c r="L261" s="2" t="s">
        <v>23</v>
      </c>
      <c r="M261" s="2" t="s">
        <v>15</v>
      </c>
      <c r="N261" s="2" t="s">
        <v>487</v>
      </c>
      <c r="O261" s="2">
        <v>3.8239999999999998</v>
      </c>
      <c r="P261" s="2">
        <v>-3.8239999999999998</v>
      </c>
      <c r="Q261" s="2" t="s">
        <v>122</v>
      </c>
    </row>
    <row r="262" spans="1:17" x14ac:dyDescent="0.35">
      <c r="A262" s="2">
        <v>202608</v>
      </c>
      <c r="B262" s="2">
        <v>46265</v>
      </c>
      <c r="C262" s="2" t="s">
        <v>109</v>
      </c>
      <c r="D262" s="2" t="s">
        <v>108</v>
      </c>
      <c r="E262" s="2">
        <v>1200</v>
      </c>
      <c r="F262" s="2" t="s">
        <v>344</v>
      </c>
      <c r="G262" s="2" t="s">
        <v>345</v>
      </c>
      <c r="H262" s="2">
        <v>3670</v>
      </c>
      <c r="I262" s="2" t="s">
        <v>488</v>
      </c>
      <c r="J262" s="2" t="s">
        <v>13</v>
      </c>
      <c r="K262" s="2" t="s">
        <v>29</v>
      </c>
      <c r="L262" s="2" t="s">
        <v>30</v>
      </c>
      <c r="M262" s="2" t="s">
        <v>15</v>
      </c>
      <c r="N262" s="2" t="s">
        <v>489</v>
      </c>
      <c r="O262" s="2">
        <v>1.702</v>
      </c>
      <c r="P262" s="2">
        <v>-1.702</v>
      </c>
      <c r="Q262" s="2" t="s">
        <v>122</v>
      </c>
    </row>
    <row r="263" spans="1:17" x14ac:dyDescent="0.35">
      <c r="A263" s="2">
        <v>202608</v>
      </c>
      <c r="B263" s="2">
        <v>46265</v>
      </c>
      <c r="C263" s="2" t="s">
        <v>109</v>
      </c>
      <c r="D263" s="2" t="s">
        <v>108</v>
      </c>
      <c r="E263" s="2">
        <v>1200</v>
      </c>
      <c r="F263" s="2" t="s">
        <v>344</v>
      </c>
      <c r="G263" s="2" t="s">
        <v>345</v>
      </c>
      <c r="H263" s="2">
        <v>5000</v>
      </c>
      <c r="I263" s="2" t="s">
        <v>490</v>
      </c>
      <c r="J263" s="2" t="s">
        <v>33</v>
      </c>
      <c r="K263" s="2" t="s">
        <v>34</v>
      </c>
      <c r="L263" s="2" t="s">
        <v>36</v>
      </c>
      <c r="M263" s="2" t="s">
        <v>35</v>
      </c>
      <c r="N263" s="2" t="s">
        <v>491</v>
      </c>
      <c r="O263" s="2">
        <v>20.792000000000002</v>
      </c>
      <c r="P263" s="2">
        <v>20.792000000000002</v>
      </c>
      <c r="Q263" s="2" t="s">
        <v>122</v>
      </c>
    </row>
    <row r="264" spans="1:17" x14ac:dyDescent="0.35">
      <c r="A264" s="2">
        <v>202608</v>
      </c>
      <c r="B264" s="2">
        <v>46265</v>
      </c>
      <c r="C264" s="2" t="s">
        <v>109</v>
      </c>
      <c r="D264" s="2" t="s">
        <v>108</v>
      </c>
      <c r="E264" s="2">
        <v>1200</v>
      </c>
      <c r="F264" s="2" t="s">
        <v>344</v>
      </c>
      <c r="G264" s="2" t="s">
        <v>345</v>
      </c>
      <c r="H264" s="2">
        <v>6300</v>
      </c>
      <c r="I264" s="2" t="s">
        <v>54</v>
      </c>
      <c r="J264" s="2" t="s">
        <v>48</v>
      </c>
      <c r="K264" s="2" t="s">
        <v>53</v>
      </c>
      <c r="L264" s="2" t="s">
        <v>54</v>
      </c>
      <c r="M264" s="2" t="s">
        <v>35</v>
      </c>
      <c r="N264" s="2" t="s">
        <v>492</v>
      </c>
      <c r="O264" s="2">
        <v>7.29</v>
      </c>
      <c r="P264" s="2">
        <v>7.29</v>
      </c>
      <c r="Q264" s="2" t="s">
        <v>122</v>
      </c>
    </row>
    <row r="265" spans="1:17" x14ac:dyDescent="0.35">
      <c r="A265" s="2">
        <v>202608</v>
      </c>
      <c r="B265" s="2">
        <v>46265</v>
      </c>
      <c r="C265" s="2" t="s">
        <v>109</v>
      </c>
      <c r="D265" s="2" t="s">
        <v>108</v>
      </c>
      <c r="E265" s="2">
        <v>1200</v>
      </c>
      <c r="F265" s="2" t="s">
        <v>344</v>
      </c>
      <c r="G265" s="2" t="s">
        <v>345</v>
      </c>
      <c r="H265" s="2">
        <v>6050</v>
      </c>
      <c r="I265" s="2" t="s">
        <v>493</v>
      </c>
      <c r="J265" s="2" t="s">
        <v>48</v>
      </c>
      <c r="K265" s="2" t="s">
        <v>49</v>
      </c>
      <c r="L265" s="2" t="s">
        <v>50</v>
      </c>
      <c r="M265" s="2" t="s">
        <v>35</v>
      </c>
      <c r="N265" s="2" t="s">
        <v>494</v>
      </c>
      <c r="O265" s="2">
        <v>4.9000000000000004</v>
      </c>
      <c r="P265" s="2">
        <v>4.9000000000000004</v>
      </c>
      <c r="Q265" s="2" t="s">
        <v>122</v>
      </c>
    </row>
    <row r="266" spans="1:17" x14ac:dyDescent="0.35">
      <c r="A266" s="2">
        <v>202608</v>
      </c>
      <c r="B266" s="2">
        <v>46265</v>
      </c>
      <c r="C266" s="2" t="s">
        <v>109</v>
      </c>
      <c r="D266" s="2" t="s">
        <v>108</v>
      </c>
      <c r="E266" s="2">
        <v>1300</v>
      </c>
      <c r="F266" s="2" t="s">
        <v>348</v>
      </c>
      <c r="G266" s="2" t="s">
        <v>349</v>
      </c>
      <c r="H266" s="2">
        <v>3900</v>
      </c>
      <c r="I266" s="2" t="s">
        <v>31</v>
      </c>
      <c r="J266" s="2" t="s">
        <v>13</v>
      </c>
      <c r="K266" s="2" t="s">
        <v>31</v>
      </c>
      <c r="L266" s="2" t="s">
        <v>31</v>
      </c>
      <c r="M266" s="2" t="s">
        <v>15</v>
      </c>
      <c r="N266" s="2" t="s">
        <v>485</v>
      </c>
      <c r="O266" s="2">
        <v>23.641999999999999</v>
      </c>
      <c r="P266" s="2">
        <v>-23.641999999999999</v>
      </c>
      <c r="Q266" s="2" t="s">
        <v>122</v>
      </c>
    </row>
    <row r="267" spans="1:17" x14ac:dyDescent="0.35">
      <c r="A267" s="2">
        <v>202608</v>
      </c>
      <c r="B267" s="2">
        <v>46265</v>
      </c>
      <c r="C267" s="2" t="s">
        <v>109</v>
      </c>
      <c r="D267" s="2" t="s">
        <v>108</v>
      </c>
      <c r="E267" s="2">
        <v>1300</v>
      </c>
      <c r="F267" s="2" t="s">
        <v>348</v>
      </c>
      <c r="G267" s="2" t="s">
        <v>349</v>
      </c>
      <c r="H267" s="2">
        <v>3400</v>
      </c>
      <c r="I267" s="2" t="s">
        <v>486</v>
      </c>
      <c r="J267" s="2" t="s">
        <v>13</v>
      </c>
      <c r="K267" s="2" t="s">
        <v>22</v>
      </c>
      <c r="L267" s="2" t="s">
        <v>23</v>
      </c>
      <c r="M267" s="2" t="s">
        <v>15</v>
      </c>
      <c r="N267" s="2" t="s">
        <v>487</v>
      </c>
      <c r="O267" s="2">
        <v>1.992</v>
      </c>
      <c r="P267" s="2">
        <v>-1.992</v>
      </c>
      <c r="Q267" s="2" t="s">
        <v>122</v>
      </c>
    </row>
    <row r="268" spans="1:17" x14ac:dyDescent="0.35">
      <c r="A268" s="2">
        <v>202608</v>
      </c>
      <c r="B268" s="2">
        <v>46265</v>
      </c>
      <c r="C268" s="2" t="s">
        <v>109</v>
      </c>
      <c r="D268" s="2" t="s">
        <v>108</v>
      </c>
      <c r="E268" s="2">
        <v>1300</v>
      </c>
      <c r="F268" s="2" t="s">
        <v>348</v>
      </c>
      <c r="G268" s="2" t="s">
        <v>349</v>
      </c>
      <c r="H268" s="2">
        <v>3670</v>
      </c>
      <c r="I268" s="2" t="s">
        <v>488</v>
      </c>
      <c r="J268" s="2" t="s">
        <v>13</v>
      </c>
      <c r="K268" s="2" t="s">
        <v>29</v>
      </c>
      <c r="L268" s="2" t="s">
        <v>30</v>
      </c>
      <c r="M268" s="2" t="s">
        <v>15</v>
      </c>
      <c r="N268" s="2" t="s">
        <v>489</v>
      </c>
      <c r="O268" s="2">
        <v>1.2849999999999999</v>
      </c>
      <c r="P268" s="2">
        <v>-1.2849999999999999</v>
      </c>
      <c r="Q268" s="2" t="s">
        <v>122</v>
      </c>
    </row>
    <row r="269" spans="1:17" x14ac:dyDescent="0.35">
      <c r="A269" s="2">
        <v>202608</v>
      </c>
      <c r="B269" s="2">
        <v>46265</v>
      </c>
      <c r="C269" s="2" t="s">
        <v>109</v>
      </c>
      <c r="D269" s="2" t="s">
        <v>108</v>
      </c>
      <c r="E269" s="2">
        <v>1300</v>
      </c>
      <c r="F269" s="2" t="s">
        <v>348</v>
      </c>
      <c r="G269" s="2" t="s">
        <v>349</v>
      </c>
      <c r="H269" s="2">
        <v>5000</v>
      </c>
      <c r="I269" s="2" t="s">
        <v>490</v>
      </c>
      <c r="J269" s="2" t="s">
        <v>33</v>
      </c>
      <c r="K269" s="2" t="s">
        <v>34</v>
      </c>
      <c r="L269" s="2" t="s">
        <v>36</v>
      </c>
      <c r="M269" s="2" t="s">
        <v>35</v>
      </c>
      <c r="N269" s="2" t="s">
        <v>491</v>
      </c>
      <c r="O269" s="2">
        <v>17.707999999999998</v>
      </c>
      <c r="P269" s="2">
        <v>17.707999999999998</v>
      </c>
      <c r="Q269" s="2" t="s">
        <v>122</v>
      </c>
    </row>
    <row r="270" spans="1:17" x14ac:dyDescent="0.35">
      <c r="A270" s="2">
        <v>202608</v>
      </c>
      <c r="B270" s="2">
        <v>46265</v>
      </c>
      <c r="C270" s="2" t="s">
        <v>109</v>
      </c>
      <c r="D270" s="2" t="s">
        <v>108</v>
      </c>
      <c r="E270" s="2">
        <v>1300</v>
      </c>
      <c r="F270" s="2" t="s">
        <v>348</v>
      </c>
      <c r="G270" s="2" t="s">
        <v>349</v>
      </c>
      <c r="H270" s="2">
        <v>6300</v>
      </c>
      <c r="I270" s="2" t="s">
        <v>54</v>
      </c>
      <c r="J270" s="2" t="s">
        <v>48</v>
      </c>
      <c r="K270" s="2" t="s">
        <v>53</v>
      </c>
      <c r="L270" s="2" t="s">
        <v>54</v>
      </c>
      <c r="M270" s="2" t="s">
        <v>35</v>
      </c>
      <c r="N270" s="2" t="s">
        <v>492</v>
      </c>
      <c r="O270" s="2">
        <v>6.21</v>
      </c>
      <c r="P270" s="2">
        <v>6.21</v>
      </c>
      <c r="Q270" s="2" t="s">
        <v>122</v>
      </c>
    </row>
    <row r="271" spans="1:17" x14ac:dyDescent="0.35">
      <c r="A271" s="2">
        <v>202608</v>
      </c>
      <c r="B271" s="2">
        <v>46265</v>
      </c>
      <c r="C271" s="2" t="s">
        <v>109</v>
      </c>
      <c r="D271" s="2" t="s">
        <v>108</v>
      </c>
      <c r="E271" s="2">
        <v>1300</v>
      </c>
      <c r="F271" s="2" t="s">
        <v>348</v>
      </c>
      <c r="G271" s="2" t="s">
        <v>349</v>
      </c>
      <c r="H271" s="2">
        <v>6050</v>
      </c>
      <c r="I271" s="2" t="s">
        <v>493</v>
      </c>
      <c r="J271" s="2" t="s">
        <v>48</v>
      </c>
      <c r="K271" s="2" t="s">
        <v>49</v>
      </c>
      <c r="L271" s="2" t="s">
        <v>50</v>
      </c>
      <c r="M271" s="2" t="s">
        <v>35</v>
      </c>
      <c r="N271" s="2" t="s">
        <v>494</v>
      </c>
      <c r="O271" s="2">
        <v>2.94</v>
      </c>
      <c r="P271" s="2">
        <v>2.94</v>
      </c>
      <c r="Q271" s="2" t="s">
        <v>122</v>
      </c>
    </row>
    <row r="272" spans="1:17" x14ac:dyDescent="0.35">
      <c r="A272" s="2">
        <v>202608</v>
      </c>
      <c r="B272" s="2">
        <v>46265</v>
      </c>
      <c r="C272" s="2" t="s">
        <v>109</v>
      </c>
      <c r="D272" s="2" t="s">
        <v>108</v>
      </c>
      <c r="E272" s="2">
        <v>1400</v>
      </c>
      <c r="F272" s="2" t="s">
        <v>352</v>
      </c>
      <c r="G272" s="2" t="s">
        <v>353</v>
      </c>
      <c r="H272" s="2">
        <v>3900</v>
      </c>
      <c r="I272" s="2" t="s">
        <v>31</v>
      </c>
      <c r="J272" s="2" t="s">
        <v>13</v>
      </c>
      <c r="K272" s="2" t="s">
        <v>31</v>
      </c>
      <c r="L272" s="2" t="s">
        <v>31</v>
      </c>
      <c r="M272" s="2" t="s">
        <v>15</v>
      </c>
      <c r="N272" s="2" t="s">
        <v>485</v>
      </c>
      <c r="O272" s="2">
        <v>13.362</v>
      </c>
      <c r="P272" s="2">
        <v>-13.362</v>
      </c>
      <c r="Q272" s="2" t="s">
        <v>122</v>
      </c>
    </row>
    <row r="273" spans="1:17" x14ac:dyDescent="0.35">
      <c r="A273" s="2">
        <v>202608</v>
      </c>
      <c r="B273" s="2">
        <v>46265</v>
      </c>
      <c r="C273" s="2" t="s">
        <v>109</v>
      </c>
      <c r="D273" s="2" t="s">
        <v>108</v>
      </c>
      <c r="E273" s="2">
        <v>1400</v>
      </c>
      <c r="F273" s="2" t="s">
        <v>352</v>
      </c>
      <c r="G273" s="2" t="s">
        <v>353</v>
      </c>
      <c r="H273" s="2">
        <v>3400</v>
      </c>
      <c r="I273" s="2" t="s">
        <v>486</v>
      </c>
      <c r="J273" s="2" t="s">
        <v>13</v>
      </c>
      <c r="K273" s="2" t="s">
        <v>22</v>
      </c>
      <c r="L273" s="2" t="s">
        <v>23</v>
      </c>
      <c r="M273" s="2" t="s">
        <v>15</v>
      </c>
      <c r="N273" s="2" t="s">
        <v>487</v>
      </c>
      <c r="O273" s="2">
        <v>1.1950000000000001</v>
      </c>
      <c r="P273" s="2">
        <v>-1.1950000000000001</v>
      </c>
      <c r="Q273" s="2" t="s">
        <v>122</v>
      </c>
    </row>
    <row r="274" spans="1:17" x14ac:dyDescent="0.35">
      <c r="A274" s="2">
        <v>202608</v>
      </c>
      <c r="B274" s="2">
        <v>46265</v>
      </c>
      <c r="C274" s="2" t="s">
        <v>109</v>
      </c>
      <c r="D274" s="2" t="s">
        <v>108</v>
      </c>
      <c r="E274" s="2">
        <v>1400</v>
      </c>
      <c r="F274" s="2" t="s">
        <v>352</v>
      </c>
      <c r="G274" s="2" t="s">
        <v>353</v>
      </c>
      <c r="H274" s="2">
        <v>3670</v>
      </c>
      <c r="I274" s="2" t="s">
        <v>488</v>
      </c>
      <c r="J274" s="2" t="s">
        <v>13</v>
      </c>
      <c r="K274" s="2" t="s">
        <v>29</v>
      </c>
      <c r="L274" s="2" t="s">
        <v>30</v>
      </c>
      <c r="M274" s="2" t="s">
        <v>15</v>
      </c>
      <c r="N274" s="2" t="s">
        <v>489</v>
      </c>
      <c r="O274" s="2">
        <v>0.77300000000000002</v>
      </c>
      <c r="P274" s="2">
        <v>-0.77300000000000002</v>
      </c>
      <c r="Q274" s="2" t="s">
        <v>122</v>
      </c>
    </row>
    <row r="275" spans="1:17" x14ac:dyDescent="0.35">
      <c r="A275" s="2">
        <v>202608</v>
      </c>
      <c r="B275" s="2">
        <v>46265</v>
      </c>
      <c r="C275" s="2" t="s">
        <v>109</v>
      </c>
      <c r="D275" s="2" t="s">
        <v>108</v>
      </c>
      <c r="E275" s="2">
        <v>1400</v>
      </c>
      <c r="F275" s="2" t="s">
        <v>352</v>
      </c>
      <c r="G275" s="2" t="s">
        <v>353</v>
      </c>
      <c r="H275" s="2">
        <v>5000</v>
      </c>
      <c r="I275" s="2" t="s">
        <v>490</v>
      </c>
      <c r="J275" s="2" t="s">
        <v>33</v>
      </c>
      <c r="K275" s="2" t="s">
        <v>34</v>
      </c>
      <c r="L275" s="2" t="s">
        <v>36</v>
      </c>
      <c r="M275" s="2" t="s">
        <v>35</v>
      </c>
      <c r="N275" s="2" t="s">
        <v>491</v>
      </c>
      <c r="O275" s="2">
        <v>10.007999999999999</v>
      </c>
      <c r="P275" s="2">
        <v>10.007999999999999</v>
      </c>
      <c r="Q275" s="2" t="s">
        <v>122</v>
      </c>
    </row>
    <row r="276" spans="1:17" x14ac:dyDescent="0.35">
      <c r="A276" s="2">
        <v>202608</v>
      </c>
      <c r="B276" s="2">
        <v>46265</v>
      </c>
      <c r="C276" s="2" t="s">
        <v>109</v>
      </c>
      <c r="D276" s="2" t="s">
        <v>108</v>
      </c>
      <c r="E276" s="2">
        <v>1400</v>
      </c>
      <c r="F276" s="2" t="s">
        <v>352</v>
      </c>
      <c r="G276" s="2" t="s">
        <v>353</v>
      </c>
      <c r="H276" s="2">
        <v>6300</v>
      </c>
      <c r="I276" s="2" t="s">
        <v>54</v>
      </c>
      <c r="J276" s="2" t="s">
        <v>48</v>
      </c>
      <c r="K276" s="2" t="s">
        <v>53</v>
      </c>
      <c r="L276" s="2" t="s">
        <v>54</v>
      </c>
      <c r="M276" s="2" t="s">
        <v>35</v>
      </c>
      <c r="N276" s="2" t="s">
        <v>492</v>
      </c>
      <c r="O276" s="2">
        <v>3.51</v>
      </c>
      <c r="P276" s="2">
        <v>3.51</v>
      </c>
      <c r="Q276" s="2" t="s">
        <v>122</v>
      </c>
    </row>
    <row r="277" spans="1:17" x14ac:dyDescent="0.35">
      <c r="A277" s="2">
        <v>202608</v>
      </c>
      <c r="B277" s="2">
        <v>46265</v>
      </c>
      <c r="C277" s="2" t="s">
        <v>109</v>
      </c>
      <c r="D277" s="2" t="s">
        <v>108</v>
      </c>
      <c r="E277" s="2">
        <v>1400</v>
      </c>
      <c r="F277" s="2" t="s">
        <v>352</v>
      </c>
      <c r="G277" s="2" t="s">
        <v>353</v>
      </c>
      <c r="H277" s="2">
        <v>6050</v>
      </c>
      <c r="I277" s="2" t="s">
        <v>493</v>
      </c>
      <c r="J277" s="2" t="s">
        <v>48</v>
      </c>
      <c r="K277" s="2" t="s">
        <v>49</v>
      </c>
      <c r="L277" s="2" t="s">
        <v>50</v>
      </c>
      <c r="M277" s="2" t="s">
        <v>35</v>
      </c>
      <c r="N277" s="2" t="s">
        <v>494</v>
      </c>
      <c r="O277" s="2">
        <v>1.26</v>
      </c>
      <c r="P277" s="2">
        <v>1.26</v>
      </c>
      <c r="Q277" s="2" t="s">
        <v>122</v>
      </c>
    </row>
    <row r="278" spans="1:17" x14ac:dyDescent="0.35">
      <c r="A278" s="2">
        <v>202608</v>
      </c>
      <c r="B278" s="2">
        <v>46265</v>
      </c>
      <c r="C278" s="2" t="s">
        <v>109</v>
      </c>
      <c r="D278" s="2" t="s">
        <v>108</v>
      </c>
      <c r="E278" s="2">
        <v>1500</v>
      </c>
      <c r="F278" s="2" t="s">
        <v>356</v>
      </c>
      <c r="G278" s="2" t="s">
        <v>357</v>
      </c>
      <c r="H278" s="2">
        <v>3900</v>
      </c>
      <c r="I278" s="2" t="s">
        <v>31</v>
      </c>
      <c r="J278" s="2" t="s">
        <v>13</v>
      </c>
      <c r="K278" s="2" t="s">
        <v>31</v>
      </c>
      <c r="L278" s="2" t="s">
        <v>31</v>
      </c>
      <c r="M278" s="2" t="s">
        <v>15</v>
      </c>
      <c r="N278" s="2" t="s">
        <v>485</v>
      </c>
      <c r="O278" s="2">
        <v>10.28</v>
      </c>
      <c r="P278" s="2">
        <v>-10.28</v>
      </c>
      <c r="Q278" s="2" t="s">
        <v>122</v>
      </c>
    </row>
    <row r="279" spans="1:17" x14ac:dyDescent="0.35">
      <c r="A279" s="2">
        <v>202608</v>
      </c>
      <c r="B279" s="2">
        <v>46265</v>
      </c>
      <c r="C279" s="2" t="s">
        <v>109</v>
      </c>
      <c r="D279" s="2" t="s">
        <v>108</v>
      </c>
      <c r="E279" s="2">
        <v>1500</v>
      </c>
      <c r="F279" s="2" t="s">
        <v>356</v>
      </c>
      <c r="G279" s="2" t="s">
        <v>357</v>
      </c>
      <c r="H279" s="2">
        <v>3400</v>
      </c>
      <c r="I279" s="2" t="s">
        <v>486</v>
      </c>
      <c r="J279" s="2" t="s">
        <v>13</v>
      </c>
      <c r="K279" s="2" t="s">
        <v>22</v>
      </c>
      <c r="L279" s="2" t="s">
        <v>23</v>
      </c>
      <c r="M279" s="2" t="s">
        <v>15</v>
      </c>
      <c r="N279" s="2" t="s">
        <v>487</v>
      </c>
      <c r="O279" s="2">
        <v>0.79700000000000004</v>
      </c>
      <c r="P279" s="2">
        <v>-0.79700000000000004</v>
      </c>
      <c r="Q279" s="2" t="s">
        <v>122</v>
      </c>
    </row>
    <row r="280" spans="1:17" x14ac:dyDescent="0.35">
      <c r="A280" s="2">
        <v>202608</v>
      </c>
      <c r="B280" s="2">
        <v>46265</v>
      </c>
      <c r="C280" s="2" t="s">
        <v>109</v>
      </c>
      <c r="D280" s="2" t="s">
        <v>108</v>
      </c>
      <c r="E280" s="2">
        <v>1500</v>
      </c>
      <c r="F280" s="2" t="s">
        <v>356</v>
      </c>
      <c r="G280" s="2" t="s">
        <v>357</v>
      </c>
      <c r="H280" s="2">
        <v>3670</v>
      </c>
      <c r="I280" s="2" t="s">
        <v>488</v>
      </c>
      <c r="J280" s="2" t="s">
        <v>13</v>
      </c>
      <c r="K280" s="2" t="s">
        <v>29</v>
      </c>
      <c r="L280" s="2" t="s">
        <v>30</v>
      </c>
      <c r="M280" s="2" t="s">
        <v>15</v>
      </c>
      <c r="N280" s="2" t="s">
        <v>489</v>
      </c>
      <c r="O280" s="2">
        <v>0.51200000000000001</v>
      </c>
      <c r="P280" s="2">
        <v>-0.51200000000000001</v>
      </c>
      <c r="Q280" s="2" t="s">
        <v>122</v>
      </c>
    </row>
    <row r="281" spans="1:17" x14ac:dyDescent="0.35">
      <c r="A281" s="2">
        <v>202608</v>
      </c>
      <c r="B281" s="2">
        <v>46265</v>
      </c>
      <c r="C281" s="2" t="s">
        <v>109</v>
      </c>
      <c r="D281" s="2" t="s">
        <v>108</v>
      </c>
      <c r="E281" s="2">
        <v>1500</v>
      </c>
      <c r="F281" s="2" t="s">
        <v>356</v>
      </c>
      <c r="G281" s="2" t="s">
        <v>357</v>
      </c>
      <c r="H281" s="2">
        <v>5000</v>
      </c>
      <c r="I281" s="2" t="s">
        <v>490</v>
      </c>
      <c r="J281" s="2" t="s">
        <v>33</v>
      </c>
      <c r="K281" s="2" t="s">
        <v>34</v>
      </c>
      <c r="L281" s="2" t="s">
        <v>36</v>
      </c>
      <c r="M281" s="2" t="s">
        <v>35</v>
      </c>
      <c r="N281" s="2" t="s">
        <v>491</v>
      </c>
      <c r="O281" s="2">
        <v>7.7</v>
      </c>
      <c r="P281" s="2">
        <v>7.7</v>
      </c>
      <c r="Q281" s="2" t="s">
        <v>122</v>
      </c>
    </row>
    <row r="282" spans="1:17" x14ac:dyDescent="0.35">
      <c r="A282" s="2">
        <v>202608</v>
      </c>
      <c r="B282" s="2">
        <v>46265</v>
      </c>
      <c r="C282" s="2" t="s">
        <v>109</v>
      </c>
      <c r="D282" s="2" t="s">
        <v>108</v>
      </c>
      <c r="E282" s="2">
        <v>1500</v>
      </c>
      <c r="F282" s="2" t="s">
        <v>356</v>
      </c>
      <c r="G282" s="2" t="s">
        <v>357</v>
      </c>
      <c r="H282" s="2">
        <v>6300</v>
      </c>
      <c r="I282" s="2" t="s">
        <v>54</v>
      </c>
      <c r="J282" s="2" t="s">
        <v>48</v>
      </c>
      <c r="K282" s="2" t="s">
        <v>53</v>
      </c>
      <c r="L282" s="2" t="s">
        <v>54</v>
      </c>
      <c r="M282" s="2" t="s">
        <v>35</v>
      </c>
      <c r="N282" s="2" t="s">
        <v>492</v>
      </c>
      <c r="O282" s="2">
        <v>2.7</v>
      </c>
      <c r="P282" s="2">
        <v>2.7</v>
      </c>
      <c r="Q282" s="2" t="s">
        <v>122</v>
      </c>
    </row>
    <row r="283" spans="1:17" x14ac:dyDescent="0.35">
      <c r="A283" s="2">
        <v>202608</v>
      </c>
      <c r="B283" s="2">
        <v>46265</v>
      </c>
      <c r="C283" s="2" t="s">
        <v>109</v>
      </c>
      <c r="D283" s="2" t="s">
        <v>108</v>
      </c>
      <c r="E283" s="2">
        <v>1500</v>
      </c>
      <c r="F283" s="2" t="s">
        <v>356</v>
      </c>
      <c r="G283" s="2" t="s">
        <v>357</v>
      </c>
      <c r="H283" s="2">
        <v>6050</v>
      </c>
      <c r="I283" s="2" t="s">
        <v>493</v>
      </c>
      <c r="J283" s="2" t="s">
        <v>48</v>
      </c>
      <c r="K283" s="2" t="s">
        <v>49</v>
      </c>
      <c r="L283" s="2" t="s">
        <v>50</v>
      </c>
      <c r="M283" s="2" t="s">
        <v>35</v>
      </c>
      <c r="N283" s="2" t="s">
        <v>494</v>
      </c>
      <c r="O283" s="2">
        <v>0.98</v>
      </c>
      <c r="P283" s="2">
        <v>0.98</v>
      </c>
      <c r="Q283" s="2" t="s">
        <v>122</v>
      </c>
    </row>
    <row r="284" spans="1:17" x14ac:dyDescent="0.35">
      <c r="A284" s="2">
        <v>202608</v>
      </c>
      <c r="B284" s="2">
        <v>46265</v>
      </c>
      <c r="C284" s="2" t="s">
        <v>109</v>
      </c>
      <c r="D284" s="2" t="s">
        <v>108</v>
      </c>
      <c r="E284" s="2">
        <v>1900</v>
      </c>
      <c r="F284" s="2" t="s">
        <v>360</v>
      </c>
      <c r="G284" s="2" t="s">
        <v>361</v>
      </c>
      <c r="H284" s="2">
        <v>3900</v>
      </c>
      <c r="I284" s="2" t="s">
        <v>31</v>
      </c>
      <c r="J284" s="2" t="s">
        <v>13</v>
      </c>
      <c r="K284" s="2" t="s">
        <v>31</v>
      </c>
      <c r="L284" s="2" t="s">
        <v>31</v>
      </c>
      <c r="M284" s="2" t="s">
        <v>15</v>
      </c>
      <c r="N284" s="2" t="s">
        <v>485</v>
      </c>
      <c r="O284" s="2">
        <v>7.1980000000000004</v>
      </c>
      <c r="P284" s="2">
        <v>-7.1980000000000004</v>
      </c>
      <c r="Q284" s="2" t="s">
        <v>122</v>
      </c>
    </row>
    <row r="285" spans="1:17" x14ac:dyDescent="0.35">
      <c r="A285" s="2">
        <v>202608</v>
      </c>
      <c r="B285" s="2">
        <v>46265</v>
      </c>
      <c r="C285" s="2" t="s">
        <v>109</v>
      </c>
      <c r="D285" s="2" t="s">
        <v>108</v>
      </c>
      <c r="E285" s="2">
        <v>1900</v>
      </c>
      <c r="F285" s="2" t="s">
        <v>360</v>
      </c>
      <c r="G285" s="2" t="s">
        <v>361</v>
      </c>
      <c r="H285" s="2">
        <v>3400</v>
      </c>
      <c r="I285" s="2" t="s">
        <v>486</v>
      </c>
      <c r="J285" s="2" t="s">
        <v>13</v>
      </c>
      <c r="K285" s="2" t="s">
        <v>22</v>
      </c>
      <c r="L285" s="2" t="s">
        <v>23</v>
      </c>
      <c r="M285" s="2" t="s">
        <v>15</v>
      </c>
      <c r="N285" s="2" t="s">
        <v>487</v>
      </c>
      <c r="O285" s="2">
        <v>0.23899999999999999</v>
      </c>
      <c r="P285" s="2">
        <v>-0.23899999999999999</v>
      </c>
      <c r="Q285" s="2" t="s">
        <v>122</v>
      </c>
    </row>
    <row r="286" spans="1:17" x14ac:dyDescent="0.35">
      <c r="A286" s="2">
        <v>202608</v>
      </c>
      <c r="B286" s="2">
        <v>46265</v>
      </c>
      <c r="C286" s="2" t="s">
        <v>109</v>
      </c>
      <c r="D286" s="2" t="s">
        <v>108</v>
      </c>
      <c r="E286" s="2">
        <v>1900</v>
      </c>
      <c r="F286" s="2" t="s">
        <v>360</v>
      </c>
      <c r="G286" s="2" t="s">
        <v>361</v>
      </c>
      <c r="H286" s="2">
        <v>3670</v>
      </c>
      <c r="I286" s="2" t="s">
        <v>488</v>
      </c>
      <c r="J286" s="2" t="s">
        <v>13</v>
      </c>
      <c r="K286" s="2" t="s">
        <v>29</v>
      </c>
      <c r="L286" s="2" t="s">
        <v>30</v>
      </c>
      <c r="M286" s="2" t="s">
        <v>15</v>
      </c>
      <c r="N286" s="2" t="s">
        <v>489</v>
      </c>
      <c r="O286" s="2">
        <v>1.65</v>
      </c>
      <c r="P286" s="2">
        <v>-1.65</v>
      </c>
      <c r="Q286" s="2" t="s">
        <v>122</v>
      </c>
    </row>
    <row r="287" spans="1:17" x14ac:dyDescent="0.35">
      <c r="A287" s="2">
        <v>202608</v>
      </c>
      <c r="B287" s="2">
        <v>46265</v>
      </c>
      <c r="C287" s="2" t="s">
        <v>109</v>
      </c>
      <c r="D287" s="2" t="s">
        <v>108</v>
      </c>
      <c r="E287" s="2">
        <v>1900</v>
      </c>
      <c r="F287" s="2" t="s">
        <v>360</v>
      </c>
      <c r="G287" s="2" t="s">
        <v>361</v>
      </c>
      <c r="H287" s="2">
        <v>5000</v>
      </c>
      <c r="I287" s="2" t="s">
        <v>490</v>
      </c>
      <c r="J287" s="2" t="s">
        <v>33</v>
      </c>
      <c r="K287" s="2" t="s">
        <v>34</v>
      </c>
      <c r="L287" s="2" t="s">
        <v>36</v>
      </c>
      <c r="M287" s="2" t="s">
        <v>35</v>
      </c>
      <c r="N287" s="2" t="s">
        <v>491</v>
      </c>
      <c r="O287" s="2">
        <v>6.1580000000000004</v>
      </c>
      <c r="P287" s="2">
        <v>6.1580000000000004</v>
      </c>
      <c r="Q287" s="2" t="s">
        <v>122</v>
      </c>
    </row>
    <row r="288" spans="1:17" x14ac:dyDescent="0.35">
      <c r="A288" s="2">
        <v>202608</v>
      </c>
      <c r="B288" s="2">
        <v>46265</v>
      </c>
      <c r="C288" s="2" t="s">
        <v>109</v>
      </c>
      <c r="D288" s="2" t="s">
        <v>108</v>
      </c>
      <c r="E288" s="2">
        <v>1900</v>
      </c>
      <c r="F288" s="2" t="s">
        <v>360</v>
      </c>
      <c r="G288" s="2" t="s">
        <v>361</v>
      </c>
      <c r="H288" s="2">
        <v>6300</v>
      </c>
      <c r="I288" s="2" t="s">
        <v>54</v>
      </c>
      <c r="J288" s="2" t="s">
        <v>48</v>
      </c>
      <c r="K288" s="2" t="s">
        <v>53</v>
      </c>
      <c r="L288" s="2" t="s">
        <v>54</v>
      </c>
      <c r="M288" s="2" t="s">
        <v>35</v>
      </c>
      <c r="N288" s="2" t="s">
        <v>492</v>
      </c>
      <c r="O288" s="2">
        <v>2.16</v>
      </c>
      <c r="P288" s="2">
        <v>2.16</v>
      </c>
      <c r="Q288" s="2" t="s">
        <v>122</v>
      </c>
    </row>
    <row r="289" spans="1:17" x14ac:dyDescent="0.35">
      <c r="A289" s="2">
        <v>202608</v>
      </c>
      <c r="B289" s="2">
        <v>46265</v>
      </c>
      <c r="C289" s="2" t="s">
        <v>109</v>
      </c>
      <c r="D289" s="2" t="s">
        <v>108</v>
      </c>
      <c r="E289" s="2">
        <v>1900</v>
      </c>
      <c r="F289" s="2" t="s">
        <v>360</v>
      </c>
      <c r="G289" s="2" t="s">
        <v>361</v>
      </c>
      <c r="H289" s="2">
        <v>6050</v>
      </c>
      <c r="I289" s="2" t="s">
        <v>493</v>
      </c>
      <c r="J289" s="2" t="s">
        <v>48</v>
      </c>
      <c r="K289" s="2" t="s">
        <v>49</v>
      </c>
      <c r="L289" s="2" t="s">
        <v>50</v>
      </c>
      <c r="M289" s="2" t="s">
        <v>35</v>
      </c>
      <c r="N289" s="2" t="s">
        <v>494</v>
      </c>
      <c r="O289" s="2">
        <v>1.26</v>
      </c>
      <c r="P289" s="2">
        <v>1.26</v>
      </c>
      <c r="Q289" s="2" t="s">
        <v>122</v>
      </c>
    </row>
    <row r="290" spans="1:17" x14ac:dyDescent="0.35">
      <c r="A290" s="2">
        <v>202609</v>
      </c>
      <c r="B290" s="2">
        <v>46295</v>
      </c>
      <c r="C290" s="2" t="s">
        <v>110</v>
      </c>
      <c r="D290" s="2" t="s">
        <v>108</v>
      </c>
      <c r="E290" s="2">
        <v>1100</v>
      </c>
      <c r="F290" s="2" t="s">
        <v>339</v>
      </c>
      <c r="G290" s="2" t="s">
        <v>340</v>
      </c>
      <c r="H290" s="2">
        <v>3900</v>
      </c>
      <c r="I290" s="2" t="s">
        <v>31</v>
      </c>
      <c r="J290" s="2" t="s">
        <v>13</v>
      </c>
      <c r="K290" s="2" t="s">
        <v>31</v>
      </c>
      <c r="L290" s="2" t="s">
        <v>31</v>
      </c>
      <c r="M290" s="2" t="s">
        <v>15</v>
      </c>
      <c r="N290" s="2" t="s">
        <v>485</v>
      </c>
      <c r="O290" s="2">
        <v>20.58</v>
      </c>
      <c r="P290" s="2">
        <v>-20.58</v>
      </c>
      <c r="Q290" s="2" t="s">
        <v>122</v>
      </c>
    </row>
    <row r="291" spans="1:17" x14ac:dyDescent="0.35">
      <c r="A291" s="2">
        <v>202609</v>
      </c>
      <c r="B291" s="2">
        <v>46295</v>
      </c>
      <c r="C291" s="2" t="s">
        <v>110</v>
      </c>
      <c r="D291" s="2" t="s">
        <v>108</v>
      </c>
      <c r="E291" s="2">
        <v>1100</v>
      </c>
      <c r="F291" s="2" t="s">
        <v>339</v>
      </c>
      <c r="G291" s="2" t="s">
        <v>340</v>
      </c>
      <c r="H291" s="2">
        <v>3400</v>
      </c>
      <c r="I291" s="2" t="s">
        <v>486</v>
      </c>
      <c r="J291" s="2" t="s">
        <v>13</v>
      </c>
      <c r="K291" s="2" t="s">
        <v>22</v>
      </c>
      <c r="L291" s="2" t="s">
        <v>23</v>
      </c>
      <c r="M291" s="2" t="s">
        <v>15</v>
      </c>
      <c r="N291" s="2" t="s">
        <v>487</v>
      </c>
      <c r="O291" s="2">
        <v>2.0390000000000001</v>
      </c>
      <c r="P291" s="2">
        <v>-2.0390000000000001</v>
      </c>
      <c r="Q291" s="2" t="s">
        <v>122</v>
      </c>
    </row>
    <row r="292" spans="1:17" x14ac:dyDescent="0.35">
      <c r="A292" s="2">
        <v>202609</v>
      </c>
      <c r="B292" s="2">
        <v>46295</v>
      </c>
      <c r="C292" s="2" t="s">
        <v>110</v>
      </c>
      <c r="D292" s="2" t="s">
        <v>108</v>
      </c>
      <c r="E292" s="2">
        <v>1100</v>
      </c>
      <c r="F292" s="2" t="s">
        <v>339</v>
      </c>
      <c r="G292" s="2" t="s">
        <v>340</v>
      </c>
      <c r="H292" s="2">
        <v>3670</v>
      </c>
      <c r="I292" s="2" t="s">
        <v>488</v>
      </c>
      <c r="J292" s="2" t="s">
        <v>13</v>
      </c>
      <c r="K292" s="2" t="s">
        <v>29</v>
      </c>
      <c r="L292" s="2" t="s">
        <v>30</v>
      </c>
      <c r="M292" s="2" t="s">
        <v>15</v>
      </c>
      <c r="N292" s="2" t="s">
        <v>489</v>
      </c>
      <c r="O292" s="2">
        <v>0.84199999999999997</v>
      </c>
      <c r="P292" s="2">
        <v>-0.84199999999999997</v>
      </c>
      <c r="Q292" s="2" t="s">
        <v>122</v>
      </c>
    </row>
    <row r="293" spans="1:17" x14ac:dyDescent="0.35">
      <c r="A293" s="2">
        <v>202609</v>
      </c>
      <c r="B293" s="2">
        <v>46295</v>
      </c>
      <c r="C293" s="2" t="s">
        <v>110</v>
      </c>
      <c r="D293" s="2" t="s">
        <v>108</v>
      </c>
      <c r="E293" s="2">
        <v>1100</v>
      </c>
      <c r="F293" s="2" t="s">
        <v>339</v>
      </c>
      <c r="G293" s="2" t="s">
        <v>340</v>
      </c>
      <c r="H293" s="2">
        <v>5000</v>
      </c>
      <c r="I293" s="2" t="s">
        <v>490</v>
      </c>
      <c r="J293" s="2" t="s">
        <v>33</v>
      </c>
      <c r="K293" s="2" t="s">
        <v>34</v>
      </c>
      <c r="L293" s="2" t="s">
        <v>36</v>
      </c>
      <c r="M293" s="2" t="s">
        <v>35</v>
      </c>
      <c r="N293" s="2" t="s">
        <v>491</v>
      </c>
      <c r="O293" s="2">
        <v>15.108000000000001</v>
      </c>
      <c r="P293" s="2">
        <v>15.108000000000001</v>
      </c>
      <c r="Q293" s="2" t="s">
        <v>122</v>
      </c>
    </row>
    <row r="294" spans="1:17" x14ac:dyDescent="0.35">
      <c r="A294" s="2">
        <v>202609</v>
      </c>
      <c r="B294" s="2">
        <v>46295</v>
      </c>
      <c r="C294" s="2" t="s">
        <v>110</v>
      </c>
      <c r="D294" s="2" t="s">
        <v>108</v>
      </c>
      <c r="E294" s="2">
        <v>1100</v>
      </c>
      <c r="F294" s="2" t="s">
        <v>339</v>
      </c>
      <c r="G294" s="2" t="s">
        <v>340</v>
      </c>
      <c r="H294" s="2">
        <v>6300</v>
      </c>
      <c r="I294" s="2" t="s">
        <v>54</v>
      </c>
      <c r="J294" s="2" t="s">
        <v>48</v>
      </c>
      <c r="K294" s="2" t="s">
        <v>53</v>
      </c>
      <c r="L294" s="2" t="s">
        <v>54</v>
      </c>
      <c r="M294" s="2" t="s">
        <v>35</v>
      </c>
      <c r="N294" s="2" t="s">
        <v>492</v>
      </c>
      <c r="O294" s="2">
        <v>5.9850000000000003</v>
      </c>
      <c r="P294" s="2">
        <v>5.9850000000000003</v>
      </c>
      <c r="Q294" s="2" t="s">
        <v>122</v>
      </c>
    </row>
    <row r="295" spans="1:17" x14ac:dyDescent="0.35">
      <c r="A295" s="2">
        <v>202609</v>
      </c>
      <c r="B295" s="2">
        <v>46295</v>
      </c>
      <c r="C295" s="2" t="s">
        <v>110</v>
      </c>
      <c r="D295" s="2" t="s">
        <v>108</v>
      </c>
      <c r="E295" s="2">
        <v>1100</v>
      </c>
      <c r="F295" s="2" t="s">
        <v>339</v>
      </c>
      <c r="G295" s="2" t="s">
        <v>340</v>
      </c>
      <c r="H295" s="2">
        <v>6050</v>
      </c>
      <c r="I295" s="2" t="s">
        <v>493</v>
      </c>
      <c r="J295" s="2" t="s">
        <v>48</v>
      </c>
      <c r="K295" s="2" t="s">
        <v>49</v>
      </c>
      <c r="L295" s="2" t="s">
        <v>50</v>
      </c>
      <c r="M295" s="2" t="s">
        <v>35</v>
      </c>
      <c r="N295" s="2" t="s">
        <v>494</v>
      </c>
      <c r="O295" s="2">
        <v>2.85</v>
      </c>
      <c r="P295" s="2">
        <v>2.85</v>
      </c>
      <c r="Q295" s="2" t="s">
        <v>122</v>
      </c>
    </row>
    <row r="296" spans="1:17" x14ac:dyDescent="0.35">
      <c r="A296" s="2">
        <v>202609</v>
      </c>
      <c r="B296" s="2">
        <v>46295</v>
      </c>
      <c r="C296" s="2" t="s">
        <v>110</v>
      </c>
      <c r="D296" s="2" t="s">
        <v>108</v>
      </c>
      <c r="E296" s="2">
        <v>1200</v>
      </c>
      <c r="F296" s="2" t="s">
        <v>344</v>
      </c>
      <c r="G296" s="2" t="s">
        <v>345</v>
      </c>
      <c r="H296" s="2">
        <v>3900</v>
      </c>
      <c r="I296" s="2" t="s">
        <v>31</v>
      </c>
      <c r="J296" s="2" t="s">
        <v>13</v>
      </c>
      <c r="K296" s="2" t="s">
        <v>31</v>
      </c>
      <c r="L296" s="2" t="s">
        <v>31</v>
      </c>
      <c r="M296" s="2" t="s">
        <v>15</v>
      </c>
      <c r="N296" s="2" t="s">
        <v>485</v>
      </c>
      <c r="O296" s="2">
        <v>27.785</v>
      </c>
      <c r="P296" s="2">
        <v>-27.785</v>
      </c>
      <c r="Q296" s="2" t="s">
        <v>122</v>
      </c>
    </row>
    <row r="297" spans="1:17" x14ac:dyDescent="0.35">
      <c r="A297" s="2">
        <v>202609</v>
      </c>
      <c r="B297" s="2">
        <v>46295</v>
      </c>
      <c r="C297" s="2" t="s">
        <v>110</v>
      </c>
      <c r="D297" s="2" t="s">
        <v>108</v>
      </c>
      <c r="E297" s="2">
        <v>1200</v>
      </c>
      <c r="F297" s="2" t="s">
        <v>344</v>
      </c>
      <c r="G297" s="2" t="s">
        <v>345</v>
      </c>
      <c r="H297" s="2">
        <v>3400</v>
      </c>
      <c r="I297" s="2" t="s">
        <v>486</v>
      </c>
      <c r="J297" s="2" t="s">
        <v>13</v>
      </c>
      <c r="K297" s="2" t="s">
        <v>22</v>
      </c>
      <c r="L297" s="2" t="s">
        <v>23</v>
      </c>
      <c r="M297" s="2" t="s">
        <v>15</v>
      </c>
      <c r="N297" s="2" t="s">
        <v>487</v>
      </c>
      <c r="O297" s="2">
        <v>4.4489999999999998</v>
      </c>
      <c r="P297" s="2">
        <v>-4.4489999999999998</v>
      </c>
      <c r="Q297" s="2" t="s">
        <v>122</v>
      </c>
    </row>
    <row r="298" spans="1:17" x14ac:dyDescent="0.35">
      <c r="A298" s="2">
        <v>202609</v>
      </c>
      <c r="B298" s="2">
        <v>46295</v>
      </c>
      <c r="C298" s="2" t="s">
        <v>110</v>
      </c>
      <c r="D298" s="2" t="s">
        <v>108</v>
      </c>
      <c r="E298" s="2">
        <v>1200</v>
      </c>
      <c r="F298" s="2" t="s">
        <v>344</v>
      </c>
      <c r="G298" s="2" t="s">
        <v>345</v>
      </c>
      <c r="H298" s="2">
        <v>3670</v>
      </c>
      <c r="I298" s="2" t="s">
        <v>488</v>
      </c>
      <c r="J298" s="2" t="s">
        <v>13</v>
      </c>
      <c r="K298" s="2" t="s">
        <v>29</v>
      </c>
      <c r="L298" s="2" t="s">
        <v>30</v>
      </c>
      <c r="M298" s="2" t="s">
        <v>15</v>
      </c>
      <c r="N298" s="2" t="s">
        <v>489</v>
      </c>
      <c r="O298" s="2">
        <v>2.1150000000000002</v>
      </c>
      <c r="P298" s="2">
        <v>-2.1150000000000002</v>
      </c>
      <c r="Q298" s="2" t="s">
        <v>122</v>
      </c>
    </row>
    <row r="299" spans="1:17" x14ac:dyDescent="0.35">
      <c r="A299" s="2">
        <v>202609</v>
      </c>
      <c r="B299" s="2">
        <v>46295</v>
      </c>
      <c r="C299" s="2" t="s">
        <v>110</v>
      </c>
      <c r="D299" s="2" t="s">
        <v>108</v>
      </c>
      <c r="E299" s="2">
        <v>1200</v>
      </c>
      <c r="F299" s="2" t="s">
        <v>344</v>
      </c>
      <c r="G299" s="2" t="s">
        <v>345</v>
      </c>
      <c r="H299" s="2">
        <v>5000</v>
      </c>
      <c r="I299" s="2" t="s">
        <v>490</v>
      </c>
      <c r="J299" s="2" t="s">
        <v>33</v>
      </c>
      <c r="K299" s="2" t="s">
        <v>34</v>
      </c>
      <c r="L299" s="2" t="s">
        <v>36</v>
      </c>
      <c r="M299" s="2" t="s">
        <v>35</v>
      </c>
      <c r="N299" s="2" t="s">
        <v>491</v>
      </c>
      <c r="O299" s="2">
        <v>21.466999999999999</v>
      </c>
      <c r="P299" s="2">
        <v>21.466999999999999</v>
      </c>
      <c r="Q299" s="2" t="s">
        <v>122</v>
      </c>
    </row>
    <row r="300" spans="1:17" x14ac:dyDescent="0.35">
      <c r="A300" s="2">
        <v>202609</v>
      </c>
      <c r="B300" s="2">
        <v>46295</v>
      </c>
      <c r="C300" s="2" t="s">
        <v>110</v>
      </c>
      <c r="D300" s="2" t="s">
        <v>108</v>
      </c>
      <c r="E300" s="2">
        <v>1200</v>
      </c>
      <c r="F300" s="2" t="s">
        <v>344</v>
      </c>
      <c r="G300" s="2" t="s">
        <v>345</v>
      </c>
      <c r="H300" s="2">
        <v>6300</v>
      </c>
      <c r="I300" s="2" t="s">
        <v>54</v>
      </c>
      <c r="J300" s="2" t="s">
        <v>48</v>
      </c>
      <c r="K300" s="2" t="s">
        <v>53</v>
      </c>
      <c r="L300" s="2" t="s">
        <v>54</v>
      </c>
      <c r="M300" s="2" t="s">
        <v>35</v>
      </c>
      <c r="N300" s="2" t="s">
        <v>492</v>
      </c>
      <c r="O300" s="2">
        <v>8.5050000000000008</v>
      </c>
      <c r="P300" s="2">
        <v>8.5050000000000008</v>
      </c>
      <c r="Q300" s="2" t="s">
        <v>122</v>
      </c>
    </row>
    <row r="301" spans="1:17" x14ac:dyDescent="0.35">
      <c r="A301" s="2">
        <v>202609</v>
      </c>
      <c r="B301" s="2">
        <v>46295</v>
      </c>
      <c r="C301" s="2" t="s">
        <v>110</v>
      </c>
      <c r="D301" s="2" t="s">
        <v>108</v>
      </c>
      <c r="E301" s="2">
        <v>1200</v>
      </c>
      <c r="F301" s="2" t="s">
        <v>344</v>
      </c>
      <c r="G301" s="2" t="s">
        <v>345</v>
      </c>
      <c r="H301" s="2">
        <v>6050</v>
      </c>
      <c r="I301" s="2" t="s">
        <v>493</v>
      </c>
      <c r="J301" s="2" t="s">
        <v>48</v>
      </c>
      <c r="K301" s="2" t="s">
        <v>49</v>
      </c>
      <c r="L301" s="2" t="s">
        <v>50</v>
      </c>
      <c r="M301" s="2" t="s">
        <v>35</v>
      </c>
      <c r="N301" s="2" t="s">
        <v>494</v>
      </c>
      <c r="O301" s="2">
        <v>5.25</v>
      </c>
      <c r="P301" s="2">
        <v>5.25</v>
      </c>
      <c r="Q301" s="2" t="s">
        <v>122</v>
      </c>
    </row>
    <row r="302" spans="1:17" x14ac:dyDescent="0.35">
      <c r="A302" s="2">
        <v>202609</v>
      </c>
      <c r="B302" s="2">
        <v>46295</v>
      </c>
      <c r="C302" s="2" t="s">
        <v>110</v>
      </c>
      <c r="D302" s="2" t="s">
        <v>108</v>
      </c>
      <c r="E302" s="2">
        <v>1300</v>
      </c>
      <c r="F302" s="2" t="s">
        <v>348</v>
      </c>
      <c r="G302" s="2" t="s">
        <v>349</v>
      </c>
      <c r="H302" s="2">
        <v>3900</v>
      </c>
      <c r="I302" s="2" t="s">
        <v>31</v>
      </c>
      <c r="J302" s="2" t="s">
        <v>13</v>
      </c>
      <c r="K302" s="2" t="s">
        <v>31</v>
      </c>
      <c r="L302" s="2" t="s">
        <v>31</v>
      </c>
      <c r="M302" s="2" t="s">
        <v>15</v>
      </c>
      <c r="N302" s="2" t="s">
        <v>485</v>
      </c>
      <c r="O302" s="2">
        <v>23.664999999999999</v>
      </c>
      <c r="P302" s="2">
        <v>-23.664999999999999</v>
      </c>
      <c r="Q302" s="2" t="s">
        <v>122</v>
      </c>
    </row>
    <row r="303" spans="1:17" x14ac:dyDescent="0.35">
      <c r="A303" s="2">
        <v>202609</v>
      </c>
      <c r="B303" s="2">
        <v>46295</v>
      </c>
      <c r="C303" s="2" t="s">
        <v>110</v>
      </c>
      <c r="D303" s="2" t="s">
        <v>108</v>
      </c>
      <c r="E303" s="2">
        <v>1300</v>
      </c>
      <c r="F303" s="2" t="s">
        <v>348</v>
      </c>
      <c r="G303" s="2" t="s">
        <v>349</v>
      </c>
      <c r="H303" s="2">
        <v>3400</v>
      </c>
      <c r="I303" s="2" t="s">
        <v>486</v>
      </c>
      <c r="J303" s="2" t="s">
        <v>13</v>
      </c>
      <c r="K303" s="2" t="s">
        <v>22</v>
      </c>
      <c r="L303" s="2" t="s">
        <v>23</v>
      </c>
      <c r="M303" s="2" t="s">
        <v>15</v>
      </c>
      <c r="N303" s="2" t="s">
        <v>487</v>
      </c>
      <c r="O303" s="2">
        <v>2.3170000000000002</v>
      </c>
      <c r="P303" s="2">
        <v>-2.3170000000000002</v>
      </c>
      <c r="Q303" s="2" t="s">
        <v>122</v>
      </c>
    </row>
    <row r="304" spans="1:17" x14ac:dyDescent="0.35">
      <c r="A304" s="2">
        <v>202609</v>
      </c>
      <c r="B304" s="2">
        <v>46295</v>
      </c>
      <c r="C304" s="2" t="s">
        <v>110</v>
      </c>
      <c r="D304" s="2" t="s">
        <v>108</v>
      </c>
      <c r="E304" s="2">
        <v>1300</v>
      </c>
      <c r="F304" s="2" t="s">
        <v>348</v>
      </c>
      <c r="G304" s="2" t="s">
        <v>349</v>
      </c>
      <c r="H304" s="2">
        <v>3670</v>
      </c>
      <c r="I304" s="2" t="s">
        <v>488</v>
      </c>
      <c r="J304" s="2" t="s">
        <v>13</v>
      </c>
      <c r="K304" s="2" t="s">
        <v>29</v>
      </c>
      <c r="L304" s="2" t="s">
        <v>30</v>
      </c>
      <c r="M304" s="2" t="s">
        <v>15</v>
      </c>
      <c r="N304" s="2" t="s">
        <v>489</v>
      </c>
      <c r="O304" s="2">
        <v>1.597</v>
      </c>
      <c r="P304" s="2">
        <v>-1.597</v>
      </c>
      <c r="Q304" s="2" t="s">
        <v>122</v>
      </c>
    </row>
    <row r="305" spans="1:17" x14ac:dyDescent="0.35">
      <c r="A305" s="2">
        <v>202609</v>
      </c>
      <c r="B305" s="2">
        <v>46295</v>
      </c>
      <c r="C305" s="2" t="s">
        <v>110</v>
      </c>
      <c r="D305" s="2" t="s">
        <v>108</v>
      </c>
      <c r="E305" s="2">
        <v>1300</v>
      </c>
      <c r="F305" s="2" t="s">
        <v>348</v>
      </c>
      <c r="G305" s="2" t="s">
        <v>349</v>
      </c>
      <c r="H305" s="2">
        <v>5000</v>
      </c>
      <c r="I305" s="2" t="s">
        <v>490</v>
      </c>
      <c r="J305" s="2" t="s">
        <v>33</v>
      </c>
      <c r="K305" s="2" t="s">
        <v>34</v>
      </c>
      <c r="L305" s="2" t="s">
        <v>36</v>
      </c>
      <c r="M305" s="2" t="s">
        <v>35</v>
      </c>
      <c r="N305" s="2" t="s">
        <v>491</v>
      </c>
      <c r="O305" s="2">
        <v>18.283000000000001</v>
      </c>
      <c r="P305" s="2">
        <v>18.283000000000001</v>
      </c>
      <c r="Q305" s="2" t="s">
        <v>122</v>
      </c>
    </row>
    <row r="306" spans="1:17" x14ac:dyDescent="0.35">
      <c r="A306" s="2">
        <v>202609</v>
      </c>
      <c r="B306" s="2">
        <v>46295</v>
      </c>
      <c r="C306" s="2" t="s">
        <v>110</v>
      </c>
      <c r="D306" s="2" t="s">
        <v>108</v>
      </c>
      <c r="E306" s="2">
        <v>1300</v>
      </c>
      <c r="F306" s="2" t="s">
        <v>348</v>
      </c>
      <c r="G306" s="2" t="s">
        <v>349</v>
      </c>
      <c r="H306" s="2">
        <v>6300</v>
      </c>
      <c r="I306" s="2" t="s">
        <v>54</v>
      </c>
      <c r="J306" s="2" t="s">
        <v>48</v>
      </c>
      <c r="K306" s="2" t="s">
        <v>53</v>
      </c>
      <c r="L306" s="2" t="s">
        <v>54</v>
      </c>
      <c r="M306" s="2" t="s">
        <v>35</v>
      </c>
      <c r="N306" s="2" t="s">
        <v>492</v>
      </c>
      <c r="O306" s="2">
        <v>7.2450000000000001</v>
      </c>
      <c r="P306" s="2">
        <v>7.2450000000000001</v>
      </c>
      <c r="Q306" s="2" t="s">
        <v>122</v>
      </c>
    </row>
    <row r="307" spans="1:17" x14ac:dyDescent="0.35">
      <c r="A307" s="2">
        <v>202609</v>
      </c>
      <c r="B307" s="2">
        <v>46295</v>
      </c>
      <c r="C307" s="2" t="s">
        <v>110</v>
      </c>
      <c r="D307" s="2" t="s">
        <v>108</v>
      </c>
      <c r="E307" s="2">
        <v>1300</v>
      </c>
      <c r="F307" s="2" t="s">
        <v>348</v>
      </c>
      <c r="G307" s="2" t="s">
        <v>349</v>
      </c>
      <c r="H307" s="2">
        <v>6050</v>
      </c>
      <c r="I307" s="2" t="s">
        <v>493</v>
      </c>
      <c r="J307" s="2" t="s">
        <v>48</v>
      </c>
      <c r="K307" s="2" t="s">
        <v>49</v>
      </c>
      <c r="L307" s="2" t="s">
        <v>50</v>
      </c>
      <c r="M307" s="2" t="s">
        <v>35</v>
      </c>
      <c r="N307" s="2" t="s">
        <v>494</v>
      </c>
      <c r="O307" s="2">
        <v>3.15</v>
      </c>
      <c r="P307" s="2">
        <v>3.15</v>
      </c>
      <c r="Q307" s="2" t="s">
        <v>122</v>
      </c>
    </row>
    <row r="308" spans="1:17" x14ac:dyDescent="0.35">
      <c r="A308" s="2">
        <v>202609</v>
      </c>
      <c r="B308" s="2">
        <v>46295</v>
      </c>
      <c r="C308" s="2" t="s">
        <v>110</v>
      </c>
      <c r="D308" s="2" t="s">
        <v>108</v>
      </c>
      <c r="E308" s="2">
        <v>1400</v>
      </c>
      <c r="F308" s="2" t="s">
        <v>352</v>
      </c>
      <c r="G308" s="2" t="s">
        <v>353</v>
      </c>
      <c r="H308" s="2">
        <v>3900</v>
      </c>
      <c r="I308" s="2" t="s">
        <v>31</v>
      </c>
      <c r="J308" s="2" t="s">
        <v>13</v>
      </c>
      <c r="K308" s="2" t="s">
        <v>31</v>
      </c>
      <c r="L308" s="2" t="s">
        <v>31</v>
      </c>
      <c r="M308" s="2" t="s">
        <v>15</v>
      </c>
      <c r="N308" s="2" t="s">
        <v>485</v>
      </c>
      <c r="O308" s="2">
        <v>13.375</v>
      </c>
      <c r="P308" s="2">
        <v>-13.375</v>
      </c>
      <c r="Q308" s="2" t="s">
        <v>122</v>
      </c>
    </row>
    <row r="309" spans="1:17" x14ac:dyDescent="0.35">
      <c r="A309" s="2">
        <v>202609</v>
      </c>
      <c r="B309" s="2">
        <v>46295</v>
      </c>
      <c r="C309" s="2" t="s">
        <v>110</v>
      </c>
      <c r="D309" s="2" t="s">
        <v>108</v>
      </c>
      <c r="E309" s="2">
        <v>1400</v>
      </c>
      <c r="F309" s="2" t="s">
        <v>352</v>
      </c>
      <c r="G309" s="2" t="s">
        <v>353</v>
      </c>
      <c r="H309" s="2">
        <v>3400</v>
      </c>
      <c r="I309" s="2" t="s">
        <v>486</v>
      </c>
      <c r="J309" s="2" t="s">
        <v>13</v>
      </c>
      <c r="K309" s="2" t="s">
        <v>22</v>
      </c>
      <c r="L309" s="2" t="s">
        <v>23</v>
      </c>
      <c r="M309" s="2" t="s">
        <v>15</v>
      </c>
      <c r="N309" s="2" t="s">
        <v>487</v>
      </c>
      <c r="O309" s="2">
        <v>1.39</v>
      </c>
      <c r="P309" s="2">
        <v>-1.39</v>
      </c>
      <c r="Q309" s="2" t="s">
        <v>122</v>
      </c>
    </row>
    <row r="310" spans="1:17" x14ac:dyDescent="0.35">
      <c r="A310" s="2">
        <v>202609</v>
      </c>
      <c r="B310" s="2">
        <v>46295</v>
      </c>
      <c r="C310" s="2" t="s">
        <v>110</v>
      </c>
      <c r="D310" s="2" t="s">
        <v>108</v>
      </c>
      <c r="E310" s="2">
        <v>1400</v>
      </c>
      <c r="F310" s="2" t="s">
        <v>352</v>
      </c>
      <c r="G310" s="2" t="s">
        <v>353</v>
      </c>
      <c r="H310" s="2">
        <v>3670</v>
      </c>
      <c r="I310" s="2" t="s">
        <v>488</v>
      </c>
      <c r="J310" s="2" t="s">
        <v>13</v>
      </c>
      <c r="K310" s="2" t="s">
        <v>29</v>
      </c>
      <c r="L310" s="2" t="s">
        <v>30</v>
      </c>
      <c r="M310" s="2" t="s">
        <v>15</v>
      </c>
      <c r="N310" s="2" t="s">
        <v>489</v>
      </c>
      <c r="O310" s="2">
        <v>0.96</v>
      </c>
      <c r="P310" s="2">
        <v>-0.96</v>
      </c>
      <c r="Q310" s="2" t="s">
        <v>122</v>
      </c>
    </row>
    <row r="311" spans="1:17" x14ac:dyDescent="0.35">
      <c r="A311" s="2">
        <v>202609</v>
      </c>
      <c r="B311" s="2">
        <v>46295</v>
      </c>
      <c r="C311" s="2" t="s">
        <v>110</v>
      </c>
      <c r="D311" s="2" t="s">
        <v>108</v>
      </c>
      <c r="E311" s="2">
        <v>1400</v>
      </c>
      <c r="F311" s="2" t="s">
        <v>352</v>
      </c>
      <c r="G311" s="2" t="s">
        <v>353</v>
      </c>
      <c r="H311" s="2">
        <v>5000</v>
      </c>
      <c r="I311" s="2" t="s">
        <v>490</v>
      </c>
      <c r="J311" s="2" t="s">
        <v>33</v>
      </c>
      <c r="K311" s="2" t="s">
        <v>34</v>
      </c>
      <c r="L311" s="2" t="s">
        <v>36</v>
      </c>
      <c r="M311" s="2" t="s">
        <v>35</v>
      </c>
      <c r="N311" s="2" t="s">
        <v>491</v>
      </c>
      <c r="O311" s="2">
        <v>10.333</v>
      </c>
      <c r="P311" s="2">
        <v>10.333</v>
      </c>
      <c r="Q311" s="2" t="s">
        <v>122</v>
      </c>
    </row>
    <row r="312" spans="1:17" x14ac:dyDescent="0.35">
      <c r="A312" s="2">
        <v>202609</v>
      </c>
      <c r="B312" s="2">
        <v>46295</v>
      </c>
      <c r="C312" s="2" t="s">
        <v>110</v>
      </c>
      <c r="D312" s="2" t="s">
        <v>108</v>
      </c>
      <c r="E312" s="2">
        <v>1400</v>
      </c>
      <c r="F312" s="2" t="s">
        <v>352</v>
      </c>
      <c r="G312" s="2" t="s">
        <v>353</v>
      </c>
      <c r="H312" s="2">
        <v>6300</v>
      </c>
      <c r="I312" s="2" t="s">
        <v>54</v>
      </c>
      <c r="J312" s="2" t="s">
        <v>48</v>
      </c>
      <c r="K312" s="2" t="s">
        <v>53</v>
      </c>
      <c r="L312" s="2" t="s">
        <v>54</v>
      </c>
      <c r="M312" s="2" t="s">
        <v>35</v>
      </c>
      <c r="N312" s="2" t="s">
        <v>492</v>
      </c>
      <c r="O312" s="2">
        <v>4.0949999999999998</v>
      </c>
      <c r="P312" s="2">
        <v>4.0949999999999998</v>
      </c>
      <c r="Q312" s="2" t="s">
        <v>122</v>
      </c>
    </row>
    <row r="313" spans="1:17" x14ac:dyDescent="0.35">
      <c r="A313" s="2">
        <v>202609</v>
      </c>
      <c r="B313" s="2">
        <v>46295</v>
      </c>
      <c r="C313" s="2" t="s">
        <v>110</v>
      </c>
      <c r="D313" s="2" t="s">
        <v>108</v>
      </c>
      <c r="E313" s="2">
        <v>1400</v>
      </c>
      <c r="F313" s="2" t="s">
        <v>352</v>
      </c>
      <c r="G313" s="2" t="s">
        <v>353</v>
      </c>
      <c r="H313" s="2">
        <v>6050</v>
      </c>
      <c r="I313" s="2" t="s">
        <v>493</v>
      </c>
      <c r="J313" s="2" t="s">
        <v>48</v>
      </c>
      <c r="K313" s="2" t="s">
        <v>49</v>
      </c>
      <c r="L313" s="2" t="s">
        <v>50</v>
      </c>
      <c r="M313" s="2" t="s">
        <v>35</v>
      </c>
      <c r="N313" s="2" t="s">
        <v>494</v>
      </c>
      <c r="O313" s="2">
        <v>1.35</v>
      </c>
      <c r="P313" s="2">
        <v>1.35</v>
      </c>
      <c r="Q313" s="2" t="s">
        <v>122</v>
      </c>
    </row>
    <row r="314" spans="1:17" x14ac:dyDescent="0.35">
      <c r="A314" s="2">
        <v>202609</v>
      </c>
      <c r="B314" s="2">
        <v>46295</v>
      </c>
      <c r="C314" s="2" t="s">
        <v>110</v>
      </c>
      <c r="D314" s="2" t="s">
        <v>108</v>
      </c>
      <c r="E314" s="2">
        <v>1500</v>
      </c>
      <c r="F314" s="2" t="s">
        <v>356</v>
      </c>
      <c r="G314" s="2" t="s">
        <v>357</v>
      </c>
      <c r="H314" s="2">
        <v>3900</v>
      </c>
      <c r="I314" s="2" t="s">
        <v>31</v>
      </c>
      <c r="J314" s="2" t="s">
        <v>13</v>
      </c>
      <c r="K314" s="2" t="s">
        <v>31</v>
      </c>
      <c r="L314" s="2" t="s">
        <v>31</v>
      </c>
      <c r="M314" s="2" t="s">
        <v>15</v>
      </c>
      <c r="N314" s="2" t="s">
        <v>485</v>
      </c>
      <c r="O314" s="2">
        <v>10.29</v>
      </c>
      <c r="P314" s="2">
        <v>-10.29</v>
      </c>
      <c r="Q314" s="2" t="s">
        <v>122</v>
      </c>
    </row>
    <row r="315" spans="1:17" x14ac:dyDescent="0.35">
      <c r="A315" s="2">
        <v>202609</v>
      </c>
      <c r="B315" s="2">
        <v>46295</v>
      </c>
      <c r="C315" s="2" t="s">
        <v>110</v>
      </c>
      <c r="D315" s="2" t="s">
        <v>108</v>
      </c>
      <c r="E315" s="2">
        <v>1500</v>
      </c>
      <c r="F315" s="2" t="s">
        <v>356</v>
      </c>
      <c r="G315" s="2" t="s">
        <v>357</v>
      </c>
      <c r="H315" s="2">
        <v>3400</v>
      </c>
      <c r="I315" s="2" t="s">
        <v>486</v>
      </c>
      <c r="J315" s="2" t="s">
        <v>13</v>
      </c>
      <c r="K315" s="2" t="s">
        <v>22</v>
      </c>
      <c r="L315" s="2" t="s">
        <v>23</v>
      </c>
      <c r="M315" s="2" t="s">
        <v>15</v>
      </c>
      <c r="N315" s="2" t="s">
        <v>487</v>
      </c>
      <c r="O315" s="2">
        <v>0.92700000000000005</v>
      </c>
      <c r="P315" s="2">
        <v>-0.92700000000000005</v>
      </c>
      <c r="Q315" s="2" t="s">
        <v>122</v>
      </c>
    </row>
    <row r="316" spans="1:17" x14ac:dyDescent="0.35">
      <c r="A316" s="2">
        <v>202609</v>
      </c>
      <c r="B316" s="2">
        <v>46295</v>
      </c>
      <c r="C316" s="2" t="s">
        <v>110</v>
      </c>
      <c r="D316" s="2" t="s">
        <v>108</v>
      </c>
      <c r="E316" s="2">
        <v>1500</v>
      </c>
      <c r="F316" s="2" t="s">
        <v>356</v>
      </c>
      <c r="G316" s="2" t="s">
        <v>357</v>
      </c>
      <c r="H316" s="2">
        <v>3670</v>
      </c>
      <c r="I316" s="2" t="s">
        <v>488</v>
      </c>
      <c r="J316" s="2" t="s">
        <v>13</v>
      </c>
      <c r="K316" s="2" t="s">
        <v>29</v>
      </c>
      <c r="L316" s="2" t="s">
        <v>30</v>
      </c>
      <c r="M316" s="2" t="s">
        <v>15</v>
      </c>
      <c r="N316" s="2" t="s">
        <v>489</v>
      </c>
      <c r="O316" s="2">
        <v>0.63700000000000001</v>
      </c>
      <c r="P316" s="2">
        <v>-0.63700000000000001</v>
      </c>
      <c r="Q316" s="2" t="s">
        <v>122</v>
      </c>
    </row>
    <row r="317" spans="1:17" x14ac:dyDescent="0.35">
      <c r="A317" s="2">
        <v>202609</v>
      </c>
      <c r="B317" s="2">
        <v>46295</v>
      </c>
      <c r="C317" s="2" t="s">
        <v>110</v>
      </c>
      <c r="D317" s="2" t="s">
        <v>108</v>
      </c>
      <c r="E317" s="2">
        <v>1500</v>
      </c>
      <c r="F317" s="2" t="s">
        <v>356</v>
      </c>
      <c r="G317" s="2" t="s">
        <v>357</v>
      </c>
      <c r="H317" s="2">
        <v>5000</v>
      </c>
      <c r="I317" s="2" t="s">
        <v>490</v>
      </c>
      <c r="J317" s="2" t="s">
        <v>33</v>
      </c>
      <c r="K317" s="2" t="s">
        <v>34</v>
      </c>
      <c r="L317" s="2" t="s">
        <v>36</v>
      </c>
      <c r="M317" s="2" t="s">
        <v>35</v>
      </c>
      <c r="N317" s="2" t="s">
        <v>491</v>
      </c>
      <c r="O317" s="2">
        <v>7.95</v>
      </c>
      <c r="P317" s="2">
        <v>7.95</v>
      </c>
      <c r="Q317" s="2" t="s">
        <v>122</v>
      </c>
    </row>
    <row r="318" spans="1:17" x14ac:dyDescent="0.35">
      <c r="A318" s="2">
        <v>202609</v>
      </c>
      <c r="B318" s="2">
        <v>46295</v>
      </c>
      <c r="C318" s="2" t="s">
        <v>110</v>
      </c>
      <c r="D318" s="2" t="s">
        <v>108</v>
      </c>
      <c r="E318" s="2">
        <v>1500</v>
      </c>
      <c r="F318" s="2" t="s">
        <v>356</v>
      </c>
      <c r="G318" s="2" t="s">
        <v>357</v>
      </c>
      <c r="H318" s="2">
        <v>6300</v>
      </c>
      <c r="I318" s="2" t="s">
        <v>54</v>
      </c>
      <c r="J318" s="2" t="s">
        <v>48</v>
      </c>
      <c r="K318" s="2" t="s">
        <v>53</v>
      </c>
      <c r="L318" s="2" t="s">
        <v>54</v>
      </c>
      <c r="M318" s="2" t="s">
        <v>35</v>
      </c>
      <c r="N318" s="2" t="s">
        <v>492</v>
      </c>
      <c r="O318" s="2">
        <v>3.15</v>
      </c>
      <c r="P318" s="2">
        <v>3.15</v>
      </c>
      <c r="Q318" s="2" t="s">
        <v>122</v>
      </c>
    </row>
    <row r="319" spans="1:17" x14ac:dyDescent="0.35">
      <c r="A319" s="2">
        <v>202609</v>
      </c>
      <c r="B319" s="2">
        <v>46295</v>
      </c>
      <c r="C319" s="2" t="s">
        <v>110</v>
      </c>
      <c r="D319" s="2" t="s">
        <v>108</v>
      </c>
      <c r="E319" s="2">
        <v>1500</v>
      </c>
      <c r="F319" s="2" t="s">
        <v>356</v>
      </c>
      <c r="G319" s="2" t="s">
        <v>357</v>
      </c>
      <c r="H319" s="2">
        <v>6050</v>
      </c>
      <c r="I319" s="2" t="s">
        <v>493</v>
      </c>
      <c r="J319" s="2" t="s">
        <v>48</v>
      </c>
      <c r="K319" s="2" t="s">
        <v>49</v>
      </c>
      <c r="L319" s="2" t="s">
        <v>50</v>
      </c>
      <c r="M319" s="2" t="s">
        <v>35</v>
      </c>
      <c r="N319" s="2" t="s">
        <v>494</v>
      </c>
      <c r="O319" s="2">
        <v>1.05</v>
      </c>
      <c r="P319" s="2">
        <v>1.05</v>
      </c>
      <c r="Q319" s="2" t="s">
        <v>122</v>
      </c>
    </row>
    <row r="320" spans="1:17" x14ac:dyDescent="0.35">
      <c r="A320" s="2">
        <v>202609</v>
      </c>
      <c r="B320" s="2">
        <v>46295</v>
      </c>
      <c r="C320" s="2" t="s">
        <v>110</v>
      </c>
      <c r="D320" s="2" t="s">
        <v>108</v>
      </c>
      <c r="E320" s="2">
        <v>1900</v>
      </c>
      <c r="F320" s="2" t="s">
        <v>360</v>
      </c>
      <c r="G320" s="2" t="s">
        <v>361</v>
      </c>
      <c r="H320" s="2">
        <v>3900</v>
      </c>
      <c r="I320" s="2" t="s">
        <v>31</v>
      </c>
      <c r="J320" s="2" t="s">
        <v>13</v>
      </c>
      <c r="K320" s="2" t="s">
        <v>31</v>
      </c>
      <c r="L320" s="2" t="s">
        <v>31</v>
      </c>
      <c r="M320" s="2" t="s">
        <v>15</v>
      </c>
      <c r="N320" s="2" t="s">
        <v>485</v>
      </c>
      <c r="O320" s="2">
        <v>7.2050000000000001</v>
      </c>
      <c r="P320" s="2">
        <v>-7.2050000000000001</v>
      </c>
      <c r="Q320" s="2" t="s">
        <v>122</v>
      </c>
    </row>
    <row r="321" spans="1:17" x14ac:dyDescent="0.35">
      <c r="A321" s="2">
        <v>202609</v>
      </c>
      <c r="B321" s="2">
        <v>46295</v>
      </c>
      <c r="C321" s="2" t="s">
        <v>110</v>
      </c>
      <c r="D321" s="2" t="s">
        <v>108</v>
      </c>
      <c r="E321" s="2">
        <v>1900</v>
      </c>
      <c r="F321" s="2" t="s">
        <v>360</v>
      </c>
      <c r="G321" s="2" t="s">
        <v>361</v>
      </c>
      <c r="H321" s="2">
        <v>3400</v>
      </c>
      <c r="I321" s="2" t="s">
        <v>486</v>
      </c>
      <c r="J321" s="2" t="s">
        <v>13</v>
      </c>
      <c r="K321" s="2" t="s">
        <v>22</v>
      </c>
      <c r="L321" s="2" t="s">
        <v>23</v>
      </c>
      <c r="M321" s="2" t="s">
        <v>15</v>
      </c>
      <c r="N321" s="2" t="s">
        <v>487</v>
      </c>
      <c r="O321" s="2">
        <v>0.27800000000000002</v>
      </c>
      <c r="P321" s="2">
        <v>-0.27800000000000002</v>
      </c>
      <c r="Q321" s="2" t="s">
        <v>122</v>
      </c>
    </row>
    <row r="322" spans="1:17" x14ac:dyDescent="0.35">
      <c r="A322" s="2">
        <v>202609</v>
      </c>
      <c r="B322" s="2">
        <v>46295</v>
      </c>
      <c r="C322" s="2" t="s">
        <v>110</v>
      </c>
      <c r="D322" s="2" t="s">
        <v>108</v>
      </c>
      <c r="E322" s="2">
        <v>1900</v>
      </c>
      <c r="F322" s="2" t="s">
        <v>360</v>
      </c>
      <c r="G322" s="2" t="s">
        <v>361</v>
      </c>
      <c r="H322" s="2">
        <v>3670</v>
      </c>
      <c r="I322" s="2" t="s">
        <v>488</v>
      </c>
      <c r="J322" s="2" t="s">
        <v>13</v>
      </c>
      <c r="K322" s="2" t="s">
        <v>29</v>
      </c>
      <c r="L322" s="2" t="s">
        <v>30</v>
      </c>
      <c r="M322" s="2" t="s">
        <v>15</v>
      </c>
      <c r="N322" s="2" t="s">
        <v>489</v>
      </c>
      <c r="O322" s="2">
        <v>2.0499999999999998</v>
      </c>
      <c r="P322" s="2">
        <v>-2.0499999999999998</v>
      </c>
      <c r="Q322" s="2" t="s">
        <v>122</v>
      </c>
    </row>
    <row r="323" spans="1:17" x14ac:dyDescent="0.35">
      <c r="A323" s="2">
        <v>202609</v>
      </c>
      <c r="B323" s="2">
        <v>46295</v>
      </c>
      <c r="C323" s="2" t="s">
        <v>110</v>
      </c>
      <c r="D323" s="2" t="s">
        <v>108</v>
      </c>
      <c r="E323" s="2">
        <v>1900</v>
      </c>
      <c r="F323" s="2" t="s">
        <v>360</v>
      </c>
      <c r="G323" s="2" t="s">
        <v>361</v>
      </c>
      <c r="H323" s="2">
        <v>5000</v>
      </c>
      <c r="I323" s="2" t="s">
        <v>490</v>
      </c>
      <c r="J323" s="2" t="s">
        <v>33</v>
      </c>
      <c r="K323" s="2" t="s">
        <v>34</v>
      </c>
      <c r="L323" s="2" t="s">
        <v>36</v>
      </c>
      <c r="M323" s="2" t="s">
        <v>35</v>
      </c>
      <c r="N323" s="2" t="s">
        <v>491</v>
      </c>
      <c r="O323" s="2">
        <v>6.3579999999999997</v>
      </c>
      <c r="P323" s="2">
        <v>6.3579999999999997</v>
      </c>
      <c r="Q323" s="2" t="s">
        <v>122</v>
      </c>
    </row>
    <row r="324" spans="1:17" x14ac:dyDescent="0.35">
      <c r="A324" s="2">
        <v>202609</v>
      </c>
      <c r="B324" s="2">
        <v>46295</v>
      </c>
      <c r="C324" s="2" t="s">
        <v>110</v>
      </c>
      <c r="D324" s="2" t="s">
        <v>108</v>
      </c>
      <c r="E324" s="2">
        <v>1900</v>
      </c>
      <c r="F324" s="2" t="s">
        <v>360</v>
      </c>
      <c r="G324" s="2" t="s">
        <v>361</v>
      </c>
      <c r="H324" s="2">
        <v>6300</v>
      </c>
      <c r="I324" s="2" t="s">
        <v>54</v>
      </c>
      <c r="J324" s="2" t="s">
        <v>48</v>
      </c>
      <c r="K324" s="2" t="s">
        <v>53</v>
      </c>
      <c r="L324" s="2" t="s">
        <v>54</v>
      </c>
      <c r="M324" s="2" t="s">
        <v>35</v>
      </c>
      <c r="N324" s="2" t="s">
        <v>492</v>
      </c>
      <c r="O324" s="2">
        <v>2.52</v>
      </c>
      <c r="P324" s="2">
        <v>2.52</v>
      </c>
      <c r="Q324" s="2" t="s">
        <v>122</v>
      </c>
    </row>
    <row r="325" spans="1:17" x14ac:dyDescent="0.35">
      <c r="A325" s="2">
        <v>202609</v>
      </c>
      <c r="B325" s="2">
        <v>46295</v>
      </c>
      <c r="C325" s="2" t="s">
        <v>110</v>
      </c>
      <c r="D325" s="2" t="s">
        <v>108</v>
      </c>
      <c r="E325" s="2">
        <v>1900</v>
      </c>
      <c r="F325" s="2" t="s">
        <v>360</v>
      </c>
      <c r="G325" s="2" t="s">
        <v>361</v>
      </c>
      <c r="H325" s="2">
        <v>6050</v>
      </c>
      <c r="I325" s="2" t="s">
        <v>493</v>
      </c>
      <c r="J325" s="2" t="s">
        <v>48</v>
      </c>
      <c r="K325" s="2" t="s">
        <v>49</v>
      </c>
      <c r="L325" s="2" t="s">
        <v>50</v>
      </c>
      <c r="M325" s="2" t="s">
        <v>35</v>
      </c>
      <c r="N325" s="2" t="s">
        <v>494</v>
      </c>
      <c r="O325" s="2">
        <v>1.35</v>
      </c>
      <c r="P325" s="2">
        <v>1.35</v>
      </c>
      <c r="Q325" s="2" t="s">
        <v>122</v>
      </c>
    </row>
    <row r="326" spans="1:17" x14ac:dyDescent="0.35">
      <c r="A326" s="2">
        <v>202610</v>
      </c>
      <c r="B326" s="2">
        <v>46326</v>
      </c>
      <c r="C326" s="2" t="s">
        <v>111</v>
      </c>
      <c r="D326" s="2" t="s">
        <v>112</v>
      </c>
      <c r="E326" s="2">
        <v>1100</v>
      </c>
      <c r="F326" s="2" t="s">
        <v>339</v>
      </c>
      <c r="G326" s="2" t="s">
        <v>340</v>
      </c>
      <c r="H326" s="2">
        <v>3900</v>
      </c>
      <c r="I326" s="2" t="s">
        <v>31</v>
      </c>
      <c r="J326" s="2" t="s">
        <v>13</v>
      </c>
      <c r="K326" s="2" t="s">
        <v>31</v>
      </c>
      <c r="L326" s="2" t="s">
        <v>31</v>
      </c>
      <c r="M326" s="2" t="s">
        <v>15</v>
      </c>
      <c r="N326" s="2" t="s">
        <v>485</v>
      </c>
      <c r="O326" s="2">
        <v>20.56</v>
      </c>
      <c r="P326" s="2">
        <v>-20.56</v>
      </c>
      <c r="Q326" s="2" t="s">
        <v>125</v>
      </c>
    </row>
    <row r="327" spans="1:17" x14ac:dyDescent="0.35">
      <c r="A327" s="2">
        <v>202610</v>
      </c>
      <c r="B327" s="2">
        <v>46326</v>
      </c>
      <c r="C327" s="2" t="s">
        <v>111</v>
      </c>
      <c r="D327" s="2" t="s">
        <v>112</v>
      </c>
      <c r="E327" s="2">
        <v>1100</v>
      </c>
      <c r="F327" s="2" t="s">
        <v>339</v>
      </c>
      <c r="G327" s="2" t="s">
        <v>340</v>
      </c>
      <c r="H327" s="2">
        <v>3400</v>
      </c>
      <c r="I327" s="2" t="s">
        <v>486</v>
      </c>
      <c r="J327" s="2" t="s">
        <v>13</v>
      </c>
      <c r="K327" s="2" t="s">
        <v>22</v>
      </c>
      <c r="L327" s="2" t="s">
        <v>23</v>
      </c>
      <c r="M327" s="2" t="s">
        <v>15</v>
      </c>
      <c r="N327" s="2" t="s">
        <v>487</v>
      </c>
      <c r="O327" s="2">
        <v>2.1110000000000002</v>
      </c>
      <c r="P327" s="2">
        <v>-2.1110000000000002</v>
      </c>
      <c r="Q327" s="2" t="s">
        <v>125</v>
      </c>
    </row>
    <row r="328" spans="1:17" x14ac:dyDescent="0.35">
      <c r="A328" s="2">
        <v>202610</v>
      </c>
      <c r="B328" s="2">
        <v>46326</v>
      </c>
      <c r="C328" s="2" t="s">
        <v>111</v>
      </c>
      <c r="D328" s="2" t="s">
        <v>112</v>
      </c>
      <c r="E328" s="2">
        <v>1100</v>
      </c>
      <c r="F328" s="2" t="s">
        <v>339</v>
      </c>
      <c r="G328" s="2" t="s">
        <v>340</v>
      </c>
      <c r="H328" s="2">
        <v>3670</v>
      </c>
      <c r="I328" s="2" t="s">
        <v>488</v>
      </c>
      <c r="J328" s="2" t="s">
        <v>13</v>
      </c>
      <c r="K328" s="2" t="s">
        <v>29</v>
      </c>
      <c r="L328" s="2" t="s">
        <v>30</v>
      </c>
      <c r="M328" s="2" t="s">
        <v>15</v>
      </c>
      <c r="N328" s="2" t="s">
        <v>489</v>
      </c>
      <c r="O328" s="2">
        <v>0.66700000000000004</v>
      </c>
      <c r="P328" s="2">
        <v>-0.66700000000000004</v>
      </c>
      <c r="Q328" s="2" t="s">
        <v>125</v>
      </c>
    </row>
    <row r="329" spans="1:17" x14ac:dyDescent="0.35">
      <c r="A329" s="2">
        <v>202610</v>
      </c>
      <c r="B329" s="2">
        <v>46326</v>
      </c>
      <c r="C329" s="2" t="s">
        <v>111</v>
      </c>
      <c r="D329" s="2" t="s">
        <v>112</v>
      </c>
      <c r="E329" s="2">
        <v>1100</v>
      </c>
      <c r="F329" s="2" t="s">
        <v>339</v>
      </c>
      <c r="G329" s="2" t="s">
        <v>340</v>
      </c>
      <c r="H329" s="2">
        <v>5000</v>
      </c>
      <c r="I329" s="2" t="s">
        <v>490</v>
      </c>
      <c r="J329" s="2" t="s">
        <v>33</v>
      </c>
      <c r="K329" s="2" t="s">
        <v>34</v>
      </c>
      <c r="L329" s="2" t="s">
        <v>36</v>
      </c>
      <c r="M329" s="2" t="s">
        <v>35</v>
      </c>
      <c r="N329" s="2" t="s">
        <v>491</v>
      </c>
      <c r="O329" s="2">
        <v>15.013</v>
      </c>
      <c r="P329" s="2">
        <v>15.013</v>
      </c>
      <c r="Q329" s="2" t="s">
        <v>125</v>
      </c>
    </row>
    <row r="330" spans="1:17" x14ac:dyDescent="0.35">
      <c r="A330" s="2">
        <v>202610</v>
      </c>
      <c r="B330" s="2">
        <v>46326</v>
      </c>
      <c r="C330" s="2" t="s">
        <v>111</v>
      </c>
      <c r="D330" s="2" t="s">
        <v>112</v>
      </c>
      <c r="E330" s="2">
        <v>1100</v>
      </c>
      <c r="F330" s="2" t="s">
        <v>339</v>
      </c>
      <c r="G330" s="2" t="s">
        <v>340</v>
      </c>
      <c r="H330" s="2">
        <v>6300</v>
      </c>
      <c r="I330" s="2" t="s">
        <v>54</v>
      </c>
      <c r="J330" s="2" t="s">
        <v>48</v>
      </c>
      <c r="K330" s="2" t="s">
        <v>53</v>
      </c>
      <c r="L330" s="2" t="s">
        <v>54</v>
      </c>
      <c r="M330" s="2" t="s">
        <v>35</v>
      </c>
      <c r="N330" s="2" t="s">
        <v>492</v>
      </c>
      <c r="O330" s="2">
        <v>5.9850000000000003</v>
      </c>
      <c r="P330" s="2">
        <v>5.9850000000000003</v>
      </c>
      <c r="Q330" s="2" t="s">
        <v>125</v>
      </c>
    </row>
    <row r="331" spans="1:17" x14ac:dyDescent="0.35">
      <c r="A331" s="2">
        <v>202610</v>
      </c>
      <c r="B331" s="2">
        <v>46326</v>
      </c>
      <c r="C331" s="2" t="s">
        <v>111</v>
      </c>
      <c r="D331" s="2" t="s">
        <v>112</v>
      </c>
      <c r="E331" s="2">
        <v>1100</v>
      </c>
      <c r="F331" s="2" t="s">
        <v>339</v>
      </c>
      <c r="G331" s="2" t="s">
        <v>340</v>
      </c>
      <c r="H331" s="2">
        <v>6050</v>
      </c>
      <c r="I331" s="2" t="s">
        <v>493</v>
      </c>
      <c r="J331" s="2" t="s">
        <v>48</v>
      </c>
      <c r="K331" s="2" t="s">
        <v>49</v>
      </c>
      <c r="L331" s="2" t="s">
        <v>50</v>
      </c>
      <c r="M331" s="2" t="s">
        <v>35</v>
      </c>
      <c r="N331" s="2" t="s">
        <v>494</v>
      </c>
      <c r="O331" s="2">
        <v>3.04</v>
      </c>
      <c r="P331" s="2">
        <v>3.04</v>
      </c>
      <c r="Q331" s="2" t="s">
        <v>125</v>
      </c>
    </row>
    <row r="332" spans="1:17" x14ac:dyDescent="0.35">
      <c r="A332" s="2">
        <v>202610</v>
      </c>
      <c r="B332" s="2">
        <v>46326</v>
      </c>
      <c r="C332" s="2" t="s">
        <v>111</v>
      </c>
      <c r="D332" s="2" t="s">
        <v>112</v>
      </c>
      <c r="E332" s="2">
        <v>1200</v>
      </c>
      <c r="F332" s="2" t="s">
        <v>344</v>
      </c>
      <c r="G332" s="2" t="s">
        <v>345</v>
      </c>
      <c r="H332" s="2">
        <v>3900</v>
      </c>
      <c r="I332" s="2" t="s">
        <v>31</v>
      </c>
      <c r="J332" s="2" t="s">
        <v>13</v>
      </c>
      <c r="K332" s="2" t="s">
        <v>31</v>
      </c>
      <c r="L332" s="2" t="s">
        <v>31</v>
      </c>
      <c r="M332" s="2" t="s">
        <v>15</v>
      </c>
      <c r="N332" s="2" t="s">
        <v>485</v>
      </c>
      <c r="O332" s="2">
        <v>27.757999999999999</v>
      </c>
      <c r="P332" s="2">
        <v>-27.757999999999999</v>
      </c>
      <c r="Q332" s="2" t="s">
        <v>125</v>
      </c>
    </row>
    <row r="333" spans="1:17" x14ac:dyDescent="0.35">
      <c r="A333" s="2">
        <v>202610</v>
      </c>
      <c r="B333" s="2">
        <v>46326</v>
      </c>
      <c r="C333" s="2" t="s">
        <v>111</v>
      </c>
      <c r="D333" s="2" t="s">
        <v>112</v>
      </c>
      <c r="E333" s="2">
        <v>1200</v>
      </c>
      <c r="F333" s="2" t="s">
        <v>344</v>
      </c>
      <c r="G333" s="2" t="s">
        <v>345</v>
      </c>
      <c r="H333" s="2">
        <v>3400</v>
      </c>
      <c r="I333" s="2" t="s">
        <v>486</v>
      </c>
      <c r="J333" s="2" t="s">
        <v>13</v>
      </c>
      <c r="K333" s="2" t="s">
        <v>22</v>
      </c>
      <c r="L333" s="2" t="s">
        <v>23</v>
      </c>
      <c r="M333" s="2" t="s">
        <v>15</v>
      </c>
      <c r="N333" s="2" t="s">
        <v>487</v>
      </c>
      <c r="O333" s="2">
        <v>4.6050000000000004</v>
      </c>
      <c r="P333" s="2">
        <v>-4.6050000000000004</v>
      </c>
      <c r="Q333" s="2" t="s">
        <v>125</v>
      </c>
    </row>
    <row r="334" spans="1:17" x14ac:dyDescent="0.35">
      <c r="A334" s="2">
        <v>202610</v>
      </c>
      <c r="B334" s="2">
        <v>46326</v>
      </c>
      <c r="C334" s="2" t="s">
        <v>111</v>
      </c>
      <c r="D334" s="2" t="s">
        <v>112</v>
      </c>
      <c r="E334" s="2">
        <v>1200</v>
      </c>
      <c r="F334" s="2" t="s">
        <v>344</v>
      </c>
      <c r="G334" s="2" t="s">
        <v>345</v>
      </c>
      <c r="H334" s="2">
        <v>3670</v>
      </c>
      <c r="I334" s="2" t="s">
        <v>488</v>
      </c>
      <c r="J334" s="2" t="s">
        <v>13</v>
      </c>
      <c r="K334" s="2" t="s">
        <v>29</v>
      </c>
      <c r="L334" s="2" t="s">
        <v>30</v>
      </c>
      <c r="M334" s="2" t="s">
        <v>15</v>
      </c>
      <c r="N334" s="2" t="s">
        <v>489</v>
      </c>
      <c r="O334" s="2">
        <v>1.6759999999999999</v>
      </c>
      <c r="P334" s="2">
        <v>-1.6759999999999999</v>
      </c>
      <c r="Q334" s="2" t="s">
        <v>125</v>
      </c>
    </row>
    <row r="335" spans="1:17" x14ac:dyDescent="0.35">
      <c r="A335" s="2">
        <v>202610</v>
      </c>
      <c r="B335" s="2">
        <v>46326</v>
      </c>
      <c r="C335" s="2" t="s">
        <v>111</v>
      </c>
      <c r="D335" s="2" t="s">
        <v>112</v>
      </c>
      <c r="E335" s="2">
        <v>1200</v>
      </c>
      <c r="F335" s="2" t="s">
        <v>344</v>
      </c>
      <c r="G335" s="2" t="s">
        <v>345</v>
      </c>
      <c r="H335" s="2">
        <v>5000</v>
      </c>
      <c r="I335" s="2" t="s">
        <v>490</v>
      </c>
      <c r="J335" s="2" t="s">
        <v>33</v>
      </c>
      <c r="K335" s="2" t="s">
        <v>34</v>
      </c>
      <c r="L335" s="2" t="s">
        <v>36</v>
      </c>
      <c r="M335" s="2" t="s">
        <v>35</v>
      </c>
      <c r="N335" s="2" t="s">
        <v>491</v>
      </c>
      <c r="O335" s="2">
        <v>21.332000000000001</v>
      </c>
      <c r="P335" s="2">
        <v>21.332000000000001</v>
      </c>
      <c r="Q335" s="2" t="s">
        <v>125</v>
      </c>
    </row>
    <row r="336" spans="1:17" x14ac:dyDescent="0.35">
      <c r="A336" s="2">
        <v>202610</v>
      </c>
      <c r="B336" s="2">
        <v>46326</v>
      </c>
      <c r="C336" s="2" t="s">
        <v>111</v>
      </c>
      <c r="D336" s="2" t="s">
        <v>112</v>
      </c>
      <c r="E336" s="2">
        <v>1200</v>
      </c>
      <c r="F336" s="2" t="s">
        <v>344</v>
      </c>
      <c r="G336" s="2" t="s">
        <v>345</v>
      </c>
      <c r="H336" s="2">
        <v>6300</v>
      </c>
      <c r="I336" s="2" t="s">
        <v>54</v>
      </c>
      <c r="J336" s="2" t="s">
        <v>48</v>
      </c>
      <c r="K336" s="2" t="s">
        <v>53</v>
      </c>
      <c r="L336" s="2" t="s">
        <v>54</v>
      </c>
      <c r="M336" s="2" t="s">
        <v>35</v>
      </c>
      <c r="N336" s="2" t="s">
        <v>492</v>
      </c>
      <c r="O336" s="2">
        <v>8.5050000000000008</v>
      </c>
      <c r="P336" s="2">
        <v>8.5050000000000008</v>
      </c>
      <c r="Q336" s="2" t="s">
        <v>125</v>
      </c>
    </row>
    <row r="337" spans="1:17" x14ac:dyDescent="0.35">
      <c r="A337" s="2">
        <v>202610</v>
      </c>
      <c r="B337" s="2">
        <v>46326</v>
      </c>
      <c r="C337" s="2" t="s">
        <v>111</v>
      </c>
      <c r="D337" s="2" t="s">
        <v>112</v>
      </c>
      <c r="E337" s="2">
        <v>1200</v>
      </c>
      <c r="F337" s="2" t="s">
        <v>344</v>
      </c>
      <c r="G337" s="2" t="s">
        <v>345</v>
      </c>
      <c r="H337" s="2">
        <v>6050</v>
      </c>
      <c r="I337" s="2" t="s">
        <v>493</v>
      </c>
      <c r="J337" s="2" t="s">
        <v>48</v>
      </c>
      <c r="K337" s="2" t="s">
        <v>49</v>
      </c>
      <c r="L337" s="2" t="s">
        <v>50</v>
      </c>
      <c r="M337" s="2" t="s">
        <v>35</v>
      </c>
      <c r="N337" s="2" t="s">
        <v>494</v>
      </c>
      <c r="O337" s="2">
        <v>5.6</v>
      </c>
      <c r="P337" s="2">
        <v>5.6</v>
      </c>
      <c r="Q337" s="2" t="s">
        <v>125</v>
      </c>
    </row>
    <row r="338" spans="1:17" x14ac:dyDescent="0.35">
      <c r="A338" s="2">
        <v>202610</v>
      </c>
      <c r="B338" s="2">
        <v>46326</v>
      </c>
      <c r="C338" s="2" t="s">
        <v>111</v>
      </c>
      <c r="D338" s="2" t="s">
        <v>112</v>
      </c>
      <c r="E338" s="2">
        <v>1300</v>
      </c>
      <c r="F338" s="2" t="s">
        <v>348</v>
      </c>
      <c r="G338" s="2" t="s">
        <v>349</v>
      </c>
      <c r="H338" s="2">
        <v>3900</v>
      </c>
      <c r="I338" s="2" t="s">
        <v>31</v>
      </c>
      <c r="J338" s="2" t="s">
        <v>13</v>
      </c>
      <c r="K338" s="2" t="s">
        <v>31</v>
      </c>
      <c r="L338" s="2" t="s">
        <v>31</v>
      </c>
      <c r="M338" s="2" t="s">
        <v>15</v>
      </c>
      <c r="N338" s="2" t="s">
        <v>485</v>
      </c>
      <c r="O338" s="2">
        <v>23.641999999999999</v>
      </c>
      <c r="P338" s="2">
        <v>-23.641999999999999</v>
      </c>
      <c r="Q338" s="2" t="s">
        <v>125</v>
      </c>
    </row>
    <row r="339" spans="1:17" x14ac:dyDescent="0.35">
      <c r="A339" s="2">
        <v>202610</v>
      </c>
      <c r="B339" s="2">
        <v>46326</v>
      </c>
      <c r="C339" s="2" t="s">
        <v>111</v>
      </c>
      <c r="D339" s="2" t="s">
        <v>112</v>
      </c>
      <c r="E339" s="2">
        <v>1300</v>
      </c>
      <c r="F339" s="2" t="s">
        <v>348</v>
      </c>
      <c r="G339" s="2" t="s">
        <v>349</v>
      </c>
      <c r="H339" s="2">
        <v>3400</v>
      </c>
      <c r="I339" s="2" t="s">
        <v>486</v>
      </c>
      <c r="J339" s="2" t="s">
        <v>13</v>
      </c>
      <c r="K339" s="2" t="s">
        <v>22</v>
      </c>
      <c r="L339" s="2" t="s">
        <v>23</v>
      </c>
      <c r="M339" s="2" t="s">
        <v>15</v>
      </c>
      <c r="N339" s="2" t="s">
        <v>487</v>
      </c>
      <c r="O339" s="2">
        <v>2.3980000000000001</v>
      </c>
      <c r="P339" s="2">
        <v>-2.3980000000000001</v>
      </c>
      <c r="Q339" s="2" t="s">
        <v>125</v>
      </c>
    </row>
    <row r="340" spans="1:17" x14ac:dyDescent="0.35">
      <c r="A340" s="2">
        <v>202610</v>
      </c>
      <c r="B340" s="2">
        <v>46326</v>
      </c>
      <c r="C340" s="2" t="s">
        <v>111</v>
      </c>
      <c r="D340" s="2" t="s">
        <v>112</v>
      </c>
      <c r="E340" s="2">
        <v>1300</v>
      </c>
      <c r="F340" s="2" t="s">
        <v>348</v>
      </c>
      <c r="G340" s="2" t="s">
        <v>349</v>
      </c>
      <c r="H340" s="2">
        <v>3670</v>
      </c>
      <c r="I340" s="2" t="s">
        <v>488</v>
      </c>
      <c r="J340" s="2" t="s">
        <v>13</v>
      </c>
      <c r="K340" s="2" t="s">
        <v>29</v>
      </c>
      <c r="L340" s="2" t="s">
        <v>30</v>
      </c>
      <c r="M340" s="2" t="s">
        <v>15</v>
      </c>
      <c r="N340" s="2" t="s">
        <v>489</v>
      </c>
      <c r="O340" s="2">
        <v>1.266</v>
      </c>
      <c r="P340" s="2">
        <v>-1.266</v>
      </c>
      <c r="Q340" s="2" t="s">
        <v>125</v>
      </c>
    </row>
    <row r="341" spans="1:17" x14ac:dyDescent="0.35">
      <c r="A341" s="2">
        <v>202610</v>
      </c>
      <c r="B341" s="2">
        <v>46326</v>
      </c>
      <c r="C341" s="2" t="s">
        <v>111</v>
      </c>
      <c r="D341" s="2" t="s">
        <v>112</v>
      </c>
      <c r="E341" s="2">
        <v>1300</v>
      </c>
      <c r="F341" s="2" t="s">
        <v>348</v>
      </c>
      <c r="G341" s="2" t="s">
        <v>349</v>
      </c>
      <c r="H341" s="2">
        <v>5000</v>
      </c>
      <c r="I341" s="2" t="s">
        <v>490</v>
      </c>
      <c r="J341" s="2" t="s">
        <v>33</v>
      </c>
      <c r="K341" s="2" t="s">
        <v>34</v>
      </c>
      <c r="L341" s="2" t="s">
        <v>36</v>
      </c>
      <c r="M341" s="2" t="s">
        <v>35</v>
      </c>
      <c r="N341" s="2" t="s">
        <v>491</v>
      </c>
      <c r="O341" s="2">
        <v>18.167999999999999</v>
      </c>
      <c r="P341" s="2">
        <v>18.167999999999999</v>
      </c>
      <c r="Q341" s="2" t="s">
        <v>125</v>
      </c>
    </row>
    <row r="342" spans="1:17" x14ac:dyDescent="0.35">
      <c r="A342" s="2">
        <v>202610</v>
      </c>
      <c r="B342" s="2">
        <v>46326</v>
      </c>
      <c r="C342" s="2" t="s">
        <v>111</v>
      </c>
      <c r="D342" s="2" t="s">
        <v>112</v>
      </c>
      <c r="E342" s="2">
        <v>1300</v>
      </c>
      <c r="F342" s="2" t="s">
        <v>348</v>
      </c>
      <c r="G342" s="2" t="s">
        <v>349</v>
      </c>
      <c r="H342" s="2">
        <v>6300</v>
      </c>
      <c r="I342" s="2" t="s">
        <v>54</v>
      </c>
      <c r="J342" s="2" t="s">
        <v>48</v>
      </c>
      <c r="K342" s="2" t="s">
        <v>53</v>
      </c>
      <c r="L342" s="2" t="s">
        <v>54</v>
      </c>
      <c r="M342" s="2" t="s">
        <v>35</v>
      </c>
      <c r="N342" s="2" t="s">
        <v>492</v>
      </c>
      <c r="O342" s="2">
        <v>7.2450000000000001</v>
      </c>
      <c r="P342" s="2">
        <v>7.2450000000000001</v>
      </c>
      <c r="Q342" s="2" t="s">
        <v>125</v>
      </c>
    </row>
    <row r="343" spans="1:17" x14ac:dyDescent="0.35">
      <c r="A343" s="2">
        <v>202610</v>
      </c>
      <c r="B343" s="2">
        <v>46326</v>
      </c>
      <c r="C343" s="2" t="s">
        <v>111</v>
      </c>
      <c r="D343" s="2" t="s">
        <v>112</v>
      </c>
      <c r="E343" s="2">
        <v>1300</v>
      </c>
      <c r="F343" s="2" t="s">
        <v>348</v>
      </c>
      <c r="G343" s="2" t="s">
        <v>349</v>
      </c>
      <c r="H343" s="2">
        <v>6050</v>
      </c>
      <c r="I343" s="2" t="s">
        <v>493</v>
      </c>
      <c r="J343" s="2" t="s">
        <v>48</v>
      </c>
      <c r="K343" s="2" t="s">
        <v>49</v>
      </c>
      <c r="L343" s="2" t="s">
        <v>50</v>
      </c>
      <c r="M343" s="2" t="s">
        <v>35</v>
      </c>
      <c r="N343" s="2" t="s">
        <v>494</v>
      </c>
      <c r="O343" s="2">
        <v>3.36</v>
      </c>
      <c r="P343" s="2">
        <v>3.36</v>
      </c>
      <c r="Q343" s="2" t="s">
        <v>125</v>
      </c>
    </row>
    <row r="344" spans="1:17" x14ac:dyDescent="0.35">
      <c r="A344" s="2">
        <v>202610</v>
      </c>
      <c r="B344" s="2">
        <v>46326</v>
      </c>
      <c r="C344" s="2" t="s">
        <v>111</v>
      </c>
      <c r="D344" s="2" t="s">
        <v>112</v>
      </c>
      <c r="E344" s="2">
        <v>1400</v>
      </c>
      <c r="F344" s="2" t="s">
        <v>352</v>
      </c>
      <c r="G344" s="2" t="s">
        <v>353</v>
      </c>
      <c r="H344" s="2">
        <v>3900</v>
      </c>
      <c r="I344" s="2" t="s">
        <v>31</v>
      </c>
      <c r="J344" s="2" t="s">
        <v>13</v>
      </c>
      <c r="K344" s="2" t="s">
        <v>31</v>
      </c>
      <c r="L344" s="2" t="s">
        <v>31</v>
      </c>
      <c r="M344" s="2" t="s">
        <v>15</v>
      </c>
      <c r="N344" s="2" t="s">
        <v>485</v>
      </c>
      <c r="O344" s="2">
        <v>13.362</v>
      </c>
      <c r="P344" s="2">
        <v>-13.362</v>
      </c>
      <c r="Q344" s="2" t="s">
        <v>125</v>
      </c>
    </row>
    <row r="345" spans="1:17" x14ac:dyDescent="0.35">
      <c r="A345" s="2">
        <v>202610</v>
      </c>
      <c r="B345" s="2">
        <v>46326</v>
      </c>
      <c r="C345" s="2" t="s">
        <v>111</v>
      </c>
      <c r="D345" s="2" t="s">
        <v>112</v>
      </c>
      <c r="E345" s="2">
        <v>1400</v>
      </c>
      <c r="F345" s="2" t="s">
        <v>352</v>
      </c>
      <c r="G345" s="2" t="s">
        <v>353</v>
      </c>
      <c r="H345" s="2">
        <v>3400</v>
      </c>
      <c r="I345" s="2" t="s">
        <v>486</v>
      </c>
      <c r="J345" s="2" t="s">
        <v>13</v>
      </c>
      <c r="K345" s="2" t="s">
        <v>22</v>
      </c>
      <c r="L345" s="2" t="s">
        <v>23</v>
      </c>
      <c r="M345" s="2" t="s">
        <v>15</v>
      </c>
      <c r="N345" s="2" t="s">
        <v>487</v>
      </c>
      <c r="O345" s="2">
        <v>1.4390000000000001</v>
      </c>
      <c r="P345" s="2">
        <v>-1.4390000000000001</v>
      </c>
      <c r="Q345" s="2" t="s">
        <v>125</v>
      </c>
    </row>
    <row r="346" spans="1:17" x14ac:dyDescent="0.35">
      <c r="A346" s="2">
        <v>202610</v>
      </c>
      <c r="B346" s="2">
        <v>46326</v>
      </c>
      <c r="C346" s="2" t="s">
        <v>111</v>
      </c>
      <c r="D346" s="2" t="s">
        <v>112</v>
      </c>
      <c r="E346" s="2">
        <v>1400</v>
      </c>
      <c r="F346" s="2" t="s">
        <v>352</v>
      </c>
      <c r="G346" s="2" t="s">
        <v>353</v>
      </c>
      <c r="H346" s="2">
        <v>3670</v>
      </c>
      <c r="I346" s="2" t="s">
        <v>488</v>
      </c>
      <c r="J346" s="2" t="s">
        <v>13</v>
      </c>
      <c r="K346" s="2" t="s">
        <v>29</v>
      </c>
      <c r="L346" s="2" t="s">
        <v>30</v>
      </c>
      <c r="M346" s="2" t="s">
        <v>15</v>
      </c>
      <c r="N346" s="2" t="s">
        <v>489</v>
      </c>
      <c r="O346" s="2">
        <v>0.76100000000000001</v>
      </c>
      <c r="P346" s="2">
        <v>-0.76100000000000001</v>
      </c>
      <c r="Q346" s="2" t="s">
        <v>125</v>
      </c>
    </row>
    <row r="347" spans="1:17" x14ac:dyDescent="0.35">
      <c r="A347" s="2">
        <v>202610</v>
      </c>
      <c r="B347" s="2">
        <v>46326</v>
      </c>
      <c r="C347" s="2" t="s">
        <v>111</v>
      </c>
      <c r="D347" s="2" t="s">
        <v>112</v>
      </c>
      <c r="E347" s="2">
        <v>1400</v>
      </c>
      <c r="F347" s="2" t="s">
        <v>352</v>
      </c>
      <c r="G347" s="2" t="s">
        <v>353</v>
      </c>
      <c r="H347" s="2">
        <v>5000</v>
      </c>
      <c r="I347" s="2" t="s">
        <v>490</v>
      </c>
      <c r="J347" s="2" t="s">
        <v>33</v>
      </c>
      <c r="K347" s="2" t="s">
        <v>34</v>
      </c>
      <c r="L347" s="2" t="s">
        <v>36</v>
      </c>
      <c r="M347" s="2" t="s">
        <v>35</v>
      </c>
      <c r="N347" s="2" t="s">
        <v>491</v>
      </c>
      <c r="O347" s="2">
        <v>10.268000000000001</v>
      </c>
      <c r="P347" s="2">
        <v>10.268000000000001</v>
      </c>
      <c r="Q347" s="2" t="s">
        <v>125</v>
      </c>
    </row>
    <row r="348" spans="1:17" x14ac:dyDescent="0.35">
      <c r="A348" s="2">
        <v>202610</v>
      </c>
      <c r="B348" s="2">
        <v>46326</v>
      </c>
      <c r="C348" s="2" t="s">
        <v>111</v>
      </c>
      <c r="D348" s="2" t="s">
        <v>112</v>
      </c>
      <c r="E348" s="2">
        <v>1400</v>
      </c>
      <c r="F348" s="2" t="s">
        <v>352</v>
      </c>
      <c r="G348" s="2" t="s">
        <v>353</v>
      </c>
      <c r="H348" s="2">
        <v>6300</v>
      </c>
      <c r="I348" s="2" t="s">
        <v>54</v>
      </c>
      <c r="J348" s="2" t="s">
        <v>48</v>
      </c>
      <c r="K348" s="2" t="s">
        <v>53</v>
      </c>
      <c r="L348" s="2" t="s">
        <v>54</v>
      </c>
      <c r="M348" s="2" t="s">
        <v>35</v>
      </c>
      <c r="N348" s="2" t="s">
        <v>492</v>
      </c>
      <c r="O348" s="2">
        <v>4.0949999999999998</v>
      </c>
      <c r="P348" s="2">
        <v>4.0949999999999998</v>
      </c>
      <c r="Q348" s="2" t="s">
        <v>125</v>
      </c>
    </row>
    <row r="349" spans="1:17" x14ac:dyDescent="0.35">
      <c r="A349" s="2">
        <v>202610</v>
      </c>
      <c r="B349" s="2">
        <v>46326</v>
      </c>
      <c r="C349" s="2" t="s">
        <v>111</v>
      </c>
      <c r="D349" s="2" t="s">
        <v>112</v>
      </c>
      <c r="E349" s="2">
        <v>1400</v>
      </c>
      <c r="F349" s="2" t="s">
        <v>352</v>
      </c>
      <c r="G349" s="2" t="s">
        <v>353</v>
      </c>
      <c r="H349" s="2">
        <v>6050</v>
      </c>
      <c r="I349" s="2" t="s">
        <v>493</v>
      </c>
      <c r="J349" s="2" t="s">
        <v>48</v>
      </c>
      <c r="K349" s="2" t="s">
        <v>49</v>
      </c>
      <c r="L349" s="2" t="s">
        <v>50</v>
      </c>
      <c r="M349" s="2" t="s">
        <v>35</v>
      </c>
      <c r="N349" s="2" t="s">
        <v>494</v>
      </c>
      <c r="O349" s="2">
        <v>1.44</v>
      </c>
      <c r="P349" s="2">
        <v>1.44</v>
      </c>
      <c r="Q349" s="2" t="s">
        <v>125</v>
      </c>
    </row>
    <row r="350" spans="1:17" x14ac:dyDescent="0.35">
      <c r="A350" s="2">
        <v>202610</v>
      </c>
      <c r="B350" s="2">
        <v>46326</v>
      </c>
      <c r="C350" s="2" t="s">
        <v>111</v>
      </c>
      <c r="D350" s="2" t="s">
        <v>112</v>
      </c>
      <c r="E350" s="2">
        <v>1500</v>
      </c>
      <c r="F350" s="2" t="s">
        <v>356</v>
      </c>
      <c r="G350" s="2" t="s">
        <v>357</v>
      </c>
      <c r="H350" s="2">
        <v>3900</v>
      </c>
      <c r="I350" s="2" t="s">
        <v>31</v>
      </c>
      <c r="J350" s="2" t="s">
        <v>13</v>
      </c>
      <c r="K350" s="2" t="s">
        <v>31</v>
      </c>
      <c r="L350" s="2" t="s">
        <v>31</v>
      </c>
      <c r="M350" s="2" t="s">
        <v>15</v>
      </c>
      <c r="N350" s="2" t="s">
        <v>485</v>
      </c>
      <c r="O350" s="2">
        <v>10.28</v>
      </c>
      <c r="P350" s="2">
        <v>-10.28</v>
      </c>
      <c r="Q350" s="2" t="s">
        <v>125</v>
      </c>
    </row>
    <row r="351" spans="1:17" x14ac:dyDescent="0.35">
      <c r="A351" s="2">
        <v>202610</v>
      </c>
      <c r="B351" s="2">
        <v>46326</v>
      </c>
      <c r="C351" s="2" t="s">
        <v>111</v>
      </c>
      <c r="D351" s="2" t="s">
        <v>112</v>
      </c>
      <c r="E351" s="2">
        <v>1500</v>
      </c>
      <c r="F351" s="2" t="s">
        <v>356</v>
      </c>
      <c r="G351" s="2" t="s">
        <v>357</v>
      </c>
      <c r="H351" s="2">
        <v>3400</v>
      </c>
      <c r="I351" s="2" t="s">
        <v>486</v>
      </c>
      <c r="J351" s="2" t="s">
        <v>13</v>
      </c>
      <c r="K351" s="2" t="s">
        <v>22</v>
      </c>
      <c r="L351" s="2" t="s">
        <v>23</v>
      </c>
      <c r="M351" s="2" t="s">
        <v>15</v>
      </c>
      <c r="N351" s="2" t="s">
        <v>487</v>
      </c>
      <c r="O351" s="2">
        <v>0.95899999999999996</v>
      </c>
      <c r="P351" s="2">
        <v>-0.95899999999999996</v>
      </c>
      <c r="Q351" s="2" t="s">
        <v>125</v>
      </c>
    </row>
    <row r="352" spans="1:17" x14ac:dyDescent="0.35">
      <c r="A352" s="2">
        <v>202610</v>
      </c>
      <c r="B352" s="2">
        <v>46326</v>
      </c>
      <c r="C352" s="2" t="s">
        <v>111</v>
      </c>
      <c r="D352" s="2" t="s">
        <v>112</v>
      </c>
      <c r="E352" s="2">
        <v>1500</v>
      </c>
      <c r="F352" s="2" t="s">
        <v>356</v>
      </c>
      <c r="G352" s="2" t="s">
        <v>357</v>
      </c>
      <c r="H352" s="2">
        <v>3670</v>
      </c>
      <c r="I352" s="2" t="s">
        <v>488</v>
      </c>
      <c r="J352" s="2" t="s">
        <v>13</v>
      </c>
      <c r="K352" s="2" t="s">
        <v>29</v>
      </c>
      <c r="L352" s="2" t="s">
        <v>30</v>
      </c>
      <c r="M352" s="2" t="s">
        <v>15</v>
      </c>
      <c r="N352" s="2" t="s">
        <v>489</v>
      </c>
      <c r="O352" s="2">
        <v>0.505</v>
      </c>
      <c r="P352" s="2">
        <v>-0.505</v>
      </c>
      <c r="Q352" s="2" t="s">
        <v>125</v>
      </c>
    </row>
    <row r="353" spans="1:17" x14ac:dyDescent="0.35">
      <c r="A353" s="2">
        <v>202610</v>
      </c>
      <c r="B353" s="2">
        <v>46326</v>
      </c>
      <c r="C353" s="2" t="s">
        <v>111</v>
      </c>
      <c r="D353" s="2" t="s">
        <v>112</v>
      </c>
      <c r="E353" s="2">
        <v>1500</v>
      </c>
      <c r="F353" s="2" t="s">
        <v>356</v>
      </c>
      <c r="G353" s="2" t="s">
        <v>357</v>
      </c>
      <c r="H353" s="2">
        <v>5000</v>
      </c>
      <c r="I353" s="2" t="s">
        <v>490</v>
      </c>
      <c r="J353" s="2" t="s">
        <v>33</v>
      </c>
      <c r="K353" s="2" t="s">
        <v>34</v>
      </c>
      <c r="L353" s="2" t="s">
        <v>36</v>
      </c>
      <c r="M353" s="2" t="s">
        <v>35</v>
      </c>
      <c r="N353" s="2" t="s">
        <v>491</v>
      </c>
      <c r="O353" s="2">
        <v>7.9</v>
      </c>
      <c r="P353" s="2">
        <v>7.9</v>
      </c>
      <c r="Q353" s="2" t="s">
        <v>125</v>
      </c>
    </row>
    <row r="354" spans="1:17" x14ac:dyDescent="0.35">
      <c r="A354" s="2">
        <v>202610</v>
      </c>
      <c r="B354" s="2">
        <v>46326</v>
      </c>
      <c r="C354" s="2" t="s">
        <v>111</v>
      </c>
      <c r="D354" s="2" t="s">
        <v>112</v>
      </c>
      <c r="E354" s="2">
        <v>1500</v>
      </c>
      <c r="F354" s="2" t="s">
        <v>356</v>
      </c>
      <c r="G354" s="2" t="s">
        <v>357</v>
      </c>
      <c r="H354" s="2">
        <v>6300</v>
      </c>
      <c r="I354" s="2" t="s">
        <v>54</v>
      </c>
      <c r="J354" s="2" t="s">
        <v>48</v>
      </c>
      <c r="K354" s="2" t="s">
        <v>53</v>
      </c>
      <c r="L354" s="2" t="s">
        <v>54</v>
      </c>
      <c r="M354" s="2" t="s">
        <v>35</v>
      </c>
      <c r="N354" s="2" t="s">
        <v>492</v>
      </c>
      <c r="O354" s="2">
        <v>3.15</v>
      </c>
      <c r="P354" s="2">
        <v>3.15</v>
      </c>
      <c r="Q354" s="2" t="s">
        <v>125</v>
      </c>
    </row>
    <row r="355" spans="1:17" x14ac:dyDescent="0.35">
      <c r="A355" s="2">
        <v>202610</v>
      </c>
      <c r="B355" s="2">
        <v>46326</v>
      </c>
      <c r="C355" s="2" t="s">
        <v>111</v>
      </c>
      <c r="D355" s="2" t="s">
        <v>112</v>
      </c>
      <c r="E355" s="2">
        <v>1500</v>
      </c>
      <c r="F355" s="2" t="s">
        <v>356</v>
      </c>
      <c r="G355" s="2" t="s">
        <v>357</v>
      </c>
      <c r="H355" s="2">
        <v>6050</v>
      </c>
      <c r="I355" s="2" t="s">
        <v>493</v>
      </c>
      <c r="J355" s="2" t="s">
        <v>48</v>
      </c>
      <c r="K355" s="2" t="s">
        <v>49</v>
      </c>
      <c r="L355" s="2" t="s">
        <v>50</v>
      </c>
      <c r="M355" s="2" t="s">
        <v>35</v>
      </c>
      <c r="N355" s="2" t="s">
        <v>494</v>
      </c>
      <c r="O355" s="2">
        <v>1.1200000000000001</v>
      </c>
      <c r="P355" s="2">
        <v>1.1200000000000001</v>
      </c>
      <c r="Q355" s="2" t="s">
        <v>125</v>
      </c>
    </row>
    <row r="356" spans="1:17" x14ac:dyDescent="0.35">
      <c r="A356" s="2">
        <v>202610</v>
      </c>
      <c r="B356" s="2">
        <v>46326</v>
      </c>
      <c r="C356" s="2" t="s">
        <v>111</v>
      </c>
      <c r="D356" s="2" t="s">
        <v>112</v>
      </c>
      <c r="E356" s="2">
        <v>1900</v>
      </c>
      <c r="F356" s="2" t="s">
        <v>360</v>
      </c>
      <c r="G356" s="2" t="s">
        <v>361</v>
      </c>
      <c r="H356" s="2">
        <v>3900</v>
      </c>
      <c r="I356" s="2" t="s">
        <v>31</v>
      </c>
      <c r="J356" s="2" t="s">
        <v>13</v>
      </c>
      <c r="K356" s="2" t="s">
        <v>31</v>
      </c>
      <c r="L356" s="2" t="s">
        <v>31</v>
      </c>
      <c r="M356" s="2" t="s">
        <v>15</v>
      </c>
      <c r="N356" s="2" t="s">
        <v>485</v>
      </c>
      <c r="O356" s="2">
        <v>7.1980000000000004</v>
      </c>
      <c r="P356" s="2">
        <v>-7.1980000000000004</v>
      </c>
      <c r="Q356" s="2" t="s">
        <v>125</v>
      </c>
    </row>
    <row r="357" spans="1:17" x14ac:dyDescent="0.35">
      <c r="A357" s="2">
        <v>202610</v>
      </c>
      <c r="B357" s="2">
        <v>46326</v>
      </c>
      <c r="C357" s="2" t="s">
        <v>111</v>
      </c>
      <c r="D357" s="2" t="s">
        <v>112</v>
      </c>
      <c r="E357" s="2">
        <v>1900</v>
      </c>
      <c r="F357" s="2" t="s">
        <v>360</v>
      </c>
      <c r="G357" s="2" t="s">
        <v>361</v>
      </c>
      <c r="H357" s="2">
        <v>3400</v>
      </c>
      <c r="I357" s="2" t="s">
        <v>486</v>
      </c>
      <c r="J357" s="2" t="s">
        <v>13</v>
      </c>
      <c r="K357" s="2" t="s">
        <v>22</v>
      </c>
      <c r="L357" s="2" t="s">
        <v>23</v>
      </c>
      <c r="M357" s="2" t="s">
        <v>15</v>
      </c>
      <c r="N357" s="2" t="s">
        <v>487</v>
      </c>
      <c r="O357" s="2">
        <v>0.28799999999999998</v>
      </c>
      <c r="P357" s="2">
        <v>-0.28799999999999998</v>
      </c>
      <c r="Q357" s="2" t="s">
        <v>125</v>
      </c>
    </row>
    <row r="358" spans="1:17" x14ac:dyDescent="0.35">
      <c r="A358" s="2">
        <v>202610</v>
      </c>
      <c r="B358" s="2">
        <v>46326</v>
      </c>
      <c r="C358" s="2" t="s">
        <v>111</v>
      </c>
      <c r="D358" s="2" t="s">
        <v>112</v>
      </c>
      <c r="E358" s="2">
        <v>1900</v>
      </c>
      <c r="F358" s="2" t="s">
        <v>360</v>
      </c>
      <c r="G358" s="2" t="s">
        <v>361</v>
      </c>
      <c r="H358" s="2">
        <v>3670</v>
      </c>
      <c r="I358" s="2" t="s">
        <v>488</v>
      </c>
      <c r="J358" s="2" t="s">
        <v>13</v>
      </c>
      <c r="K358" s="2" t="s">
        <v>29</v>
      </c>
      <c r="L358" s="2" t="s">
        <v>30</v>
      </c>
      <c r="M358" s="2" t="s">
        <v>15</v>
      </c>
      <c r="N358" s="2" t="s">
        <v>489</v>
      </c>
      <c r="O358" s="2">
        <v>1.625</v>
      </c>
      <c r="P358" s="2">
        <v>-1.625</v>
      </c>
      <c r="Q358" s="2" t="s">
        <v>125</v>
      </c>
    </row>
    <row r="359" spans="1:17" x14ac:dyDescent="0.35">
      <c r="A359" s="2">
        <v>202610</v>
      </c>
      <c r="B359" s="2">
        <v>46326</v>
      </c>
      <c r="C359" s="2" t="s">
        <v>111</v>
      </c>
      <c r="D359" s="2" t="s">
        <v>112</v>
      </c>
      <c r="E359" s="2">
        <v>1900</v>
      </c>
      <c r="F359" s="2" t="s">
        <v>360</v>
      </c>
      <c r="G359" s="2" t="s">
        <v>361</v>
      </c>
      <c r="H359" s="2">
        <v>5000</v>
      </c>
      <c r="I359" s="2" t="s">
        <v>490</v>
      </c>
      <c r="J359" s="2" t="s">
        <v>33</v>
      </c>
      <c r="K359" s="2" t="s">
        <v>34</v>
      </c>
      <c r="L359" s="2" t="s">
        <v>36</v>
      </c>
      <c r="M359" s="2" t="s">
        <v>35</v>
      </c>
      <c r="N359" s="2" t="s">
        <v>491</v>
      </c>
      <c r="O359" s="2">
        <v>6.3179999999999996</v>
      </c>
      <c r="P359" s="2">
        <v>6.3179999999999996</v>
      </c>
      <c r="Q359" s="2" t="s">
        <v>125</v>
      </c>
    </row>
    <row r="360" spans="1:17" x14ac:dyDescent="0.35">
      <c r="A360" s="2">
        <v>202610</v>
      </c>
      <c r="B360" s="2">
        <v>46326</v>
      </c>
      <c r="C360" s="2" t="s">
        <v>111</v>
      </c>
      <c r="D360" s="2" t="s">
        <v>112</v>
      </c>
      <c r="E360" s="2">
        <v>1900</v>
      </c>
      <c r="F360" s="2" t="s">
        <v>360</v>
      </c>
      <c r="G360" s="2" t="s">
        <v>361</v>
      </c>
      <c r="H360" s="2">
        <v>6300</v>
      </c>
      <c r="I360" s="2" t="s">
        <v>54</v>
      </c>
      <c r="J360" s="2" t="s">
        <v>48</v>
      </c>
      <c r="K360" s="2" t="s">
        <v>53</v>
      </c>
      <c r="L360" s="2" t="s">
        <v>54</v>
      </c>
      <c r="M360" s="2" t="s">
        <v>35</v>
      </c>
      <c r="N360" s="2" t="s">
        <v>492</v>
      </c>
      <c r="O360" s="2">
        <v>2.52</v>
      </c>
      <c r="P360" s="2">
        <v>2.52</v>
      </c>
      <c r="Q360" s="2" t="s">
        <v>125</v>
      </c>
    </row>
    <row r="361" spans="1:17" x14ac:dyDescent="0.35">
      <c r="A361" s="2">
        <v>202610</v>
      </c>
      <c r="B361" s="2">
        <v>46326</v>
      </c>
      <c r="C361" s="2" t="s">
        <v>111</v>
      </c>
      <c r="D361" s="2" t="s">
        <v>112</v>
      </c>
      <c r="E361" s="2">
        <v>1900</v>
      </c>
      <c r="F361" s="2" t="s">
        <v>360</v>
      </c>
      <c r="G361" s="2" t="s">
        <v>361</v>
      </c>
      <c r="H361" s="2">
        <v>6050</v>
      </c>
      <c r="I361" s="2" t="s">
        <v>493</v>
      </c>
      <c r="J361" s="2" t="s">
        <v>48</v>
      </c>
      <c r="K361" s="2" t="s">
        <v>49</v>
      </c>
      <c r="L361" s="2" t="s">
        <v>50</v>
      </c>
      <c r="M361" s="2" t="s">
        <v>35</v>
      </c>
      <c r="N361" s="2" t="s">
        <v>494</v>
      </c>
      <c r="O361" s="2">
        <v>1.44</v>
      </c>
      <c r="P361" s="2">
        <v>1.44</v>
      </c>
      <c r="Q361" s="2" t="s">
        <v>125</v>
      </c>
    </row>
    <row r="362" spans="1:17" x14ac:dyDescent="0.35">
      <c r="A362" s="2">
        <v>202611</v>
      </c>
      <c r="B362" s="2">
        <v>46356</v>
      </c>
      <c r="C362" s="2" t="s">
        <v>114</v>
      </c>
      <c r="D362" s="2" t="s">
        <v>112</v>
      </c>
      <c r="E362" s="2">
        <v>1100</v>
      </c>
      <c r="F362" s="2" t="s">
        <v>339</v>
      </c>
      <c r="G362" s="2" t="s">
        <v>340</v>
      </c>
      <c r="H362" s="2">
        <v>3900</v>
      </c>
      <c r="I362" s="2" t="s">
        <v>31</v>
      </c>
      <c r="J362" s="2" t="s">
        <v>13</v>
      </c>
      <c r="K362" s="2" t="s">
        <v>31</v>
      </c>
      <c r="L362" s="2" t="s">
        <v>31</v>
      </c>
      <c r="M362" s="2" t="s">
        <v>15</v>
      </c>
      <c r="N362" s="2" t="s">
        <v>485</v>
      </c>
      <c r="O362" s="2">
        <v>20.56</v>
      </c>
      <c r="P362" s="2">
        <v>-20.56</v>
      </c>
      <c r="Q362" s="2" t="s">
        <v>125</v>
      </c>
    </row>
    <row r="363" spans="1:17" x14ac:dyDescent="0.35">
      <c r="A363" s="2">
        <v>202611</v>
      </c>
      <c r="B363" s="2">
        <v>46356</v>
      </c>
      <c r="C363" s="2" t="s">
        <v>114</v>
      </c>
      <c r="D363" s="2" t="s">
        <v>112</v>
      </c>
      <c r="E363" s="2">
        <v>1100</v>
      </c>
      <c r="F363" s="2" t="s">
        <v>339</v>
      </c>
      <c r="G363" s="2" t="s">
        <v>340</v>
      </c>
      <c r="H363" s="2">
        <v>3400</v>
      </c>
      <c r="I363" s="2" t="s">
        <v>486</v>
      </c>
      <c r="J363" s="2" t="s">
        <v>13</v>
      </c>
      <c r="K363" s="2" t="s">
        <v>22</v>
      </c>
      <c r="L363" s="2" t="s">
        <v>23</v>
      </c>
      <c r="M363" s="2" t="s">
        <v>15</v>
      </c>
      <c r="N363" s="2" t="s">
        <v>487</v>
      </c>
      <c r="O363" s="2">
        <v>2.0750000000000002</v>
      </c>
      <c r="P363" s="2">
        <v>-2.0750000000000002</v>
      </c>
      <c r="Q363" s="2" t="s">
        <v>125</v>
      </c>
    </row>
    <row r="364" spans="1:17" x14ac:dyDescent="0.35">
      <c r="A364" s="2">
        <v>202611</v>
      </c>
      <c r="B364" s="2">
        <v>46356</v>
      </c>
      <c r="C364" s="2" t="s">
        <v>114</v>
      </c>
      <c r="D364" s="2" t="s">
        <v>112</v>
      </c>
      <c r="E364" s="2">
        <v>1100</v>
      </c>
      <c r="F364" s="2" t="s">
        <v>339</v>
      </c>
      <c r="G364" s="2" t="s">
        <v>340</v>
      </c>
      <c r="H364" s="2">
        <v>3670</v>
      </c>
      <c r="I364" s="2" t="s">
        <v>488</v>
      </c>
      <c r="J364" s="2" t="s">
        <v>13</v>
      </c>
      <c r="K364" s="2" t="s">
        <v>29</v>
      </c>
      <c r="L364" s="2" t="s">
        <v>30</v>
      </c>
      <c r="M364" s="2" t="s">
        <v>15</v>
      </c>
      <c r="N364" s="2" t="s">
        <v>489</v>
      </c>
      <c r="O364" s="2">
        <v>0.61599999999999999</v>
      </c>
      <c r="P364" s="2">
        <v>-0.61599999999999999</v>
      </c>
      <c r="Q364" s="2" t="s">
        <v>125</v>
      </c>
    </row>
    <row r="365" spans="1:17" x14ac:dyDescent="0.35">
      <c r="A365" s="2">
        <v>202611</v>
      </c>
      <c r="B365" s="2">
        <v>46356</v>
      </c>
      <c r="C365" s="2" t="s">
        <v>114</v>
      </c>
      <c r="D365" s="2" t="s">
        <v>112</v>
      </c>
      <c r="E365" s="2">
        <v>1100</v>
      </c>
      <c r="F365" s="2" t="s">
        <v>339</v>
      </c>
      <c r="G365" s="2" t="s">
        <v>340</v>
      </c>
      <c r="H365" s="2">
        <v>5000</v>
      </c>
      <c r="I365" s="2" t="s">
        <v>490</v>
      </c>
      <c r="J365" s="2" t="s">
        <v>33</v>
      </c>
      <c r="K365" s="2" t="s">
        <v>34</v>
      </c>
      <c r="L365" s="2" t="s">
        <v>36</v>
      </c>
      <c r="M365" s="2" t="s">
        <v>35</v>
      </c>
      <c r="N365" s="2" t="s">
        <v>491</v>
      </c>
      <c r="O365" s="2">
        <v>14.917999999999999</v>
      </c>
      <c r="P365" s="2">
        <v>14.917999999999999</v>
      </c>
      <c r="Q365" s="2" t="s">
        <v>125</v>
      </c>
    </row>
    <row r="366" spans="1:17" x14ac:dyDescent="0.35">
      <c r="A366" s="2">
        <v>202611</v>
      </c>
      <c r="B366" s="2">
        <v>46356</v>
      </c>
      <c r="C366" s="2" t="s">
        <v>114</v>
      </c>
      <c r="D366" s="2" t="s">
        <v>112</v>
      </c>
      <c r="E366" s="2">
        <v>1100</v>
      </c>
      <c r="F366" s="2" t="s">
        <v>339</v>
      </c>
      <c r="G366" s="2" t="s">
        <v>340</v>
      </c>
      <c r="H366" s="2">
        <v>6300</v>
      </c>
      <c r="I366" s="2" t="s">
        <v>54</v>
      </c>
      <c r="J366" s="2" t="s">
        <v>48</v>
      </c>
      <c r="K366" s="2" t="s">
        <v>53</v>
      </c>
      <c r="L366" s="2" t="s">
        <v>54</v>
      </c>
      <c r="M366" s="2" t="s">
        <v>35</v>
      </c>
      <c r="N366" s="2" t="s">
        <v>492</v>
      </c>
      <c r="O366" s="2">
        <v>5.89</v>
      </c>
      <c r="P366" s="2">
        <v>5.89</v>
      </c>
      <c r="Q366" s="2" t="s">
        <v>125</v>
      </c>
    </row>
    <row r="367" spans="1:17" x14ac:dyDescent="0.35">
      <c r="A367" s="2">
        <v>202611</v>
      </c>
      <c r="B367" s="2">
        <v>46356</v>
      </c>
      <c r="C367" s="2" t="s">
        <v>114</v>
      </c>
      <c r="D367" s="2" t="s">
        <v>112</v>
      </c>
      <c r="E367" s="2">
        <v>1100</v>
      </c>
      <c r="F367" s="2" t="s">
        <v>339</v>
      </c>
      <c r="G367" s="2" t="s">
        <v>340</v>
      </c>
      <c r="H367" s="2">
        <v>6050</v>
      </c>
      <c r="I367" s="2" t="s">
        <v>493</v>
      </c>
      <c r="J367" s="2" t="s">
        <v>48</v>
      </c>
      <c r="K367" s="2" t="s">
        <v>49</v>
      </c>
      <c r="L367" s="2" t="s">
        <v>50</v>
      </c>
      <c r="M367" s="2" t="s">
        <v>35</v>
      </c>
      <c r="N367" s="2" t="s">
        <v>494</v>
      </c>
      <c r="O367" s="2">
        <v>3.04</v>
      </c>
      <c r="P367" s="2">
        <v>3.04</v>
      </c>
      <c r="Q367" s="2" t="s">
        <v>125</v>
      </c>
    </row>
    <row r="368" spans="1:17" x14ac:dyDescent="0.35">
      <c r="A368" s="2">
        <v>202611</v>
      </c>
      <c r="B368" s="2">
        <v>46356</v>
      </c>
      <c r="C368" s="2" t="s">
        <v>114</v>
      </c>
      <c r="D368" s="2" t="s">
        <v>112</v>
      </c>
      <c r="E368" s="2">
        <v>1200</v>
      </c>
      <c r="F368" s="2" t="s">
        <v>344</v>
      </c>
      <c r="G368" s="2" t="s">
        <v>345</v>
      </c>
      <c r="H368" s="2">
        <v>3900</v>
      </c>
      <c r="I368" s="2" t="s">
        <v>31</v>
      </c>
      <c r="J368" s="2" t="s">
        <v>13</v>
      </c>
      <c r="K368" s="2" t="s">
        <v>31</v>
      </c>
      <c r="L368" s="2" t="s">
        <v>31</v>
      </c>
      <c r="M368" s="2" t="s">
        <v>15</v>
      </c>
      <c r="N368" s="2" t="s">
        <v>485</v>
      </c>
      <c r="O368" s="2">
        <v>27.757999999999999</v>
      </c>
      <c r="P368" s="2">
        <v>-27.757999999999999</v>
      </c>
      <c r="Q368" s="2" t="s">
        <v>125</v>
      </c>
    </row>
    <row r="369" spans="1:17" x14ac:dyDescent="0.35">
      <c r="A369" s="2">
        <v>202611</v>
      </c>
      <c r="B369" s="2">
        <v>46356</v>
      </c>
      <c r="C369" s="2" t="s">
        <v>114</v>
      </c>
      <c r="D369" s="2" t="s">
        <v>112</v>
      </c>
      <c r="E369" s="2">
        <v>1200</v>
      </c>
      <c r="F369" s="2" t="s">
        <v>344</v>
      </c>
      <c r="G369" s="2" t="s">
        <v>345</v>
      </c>
      <c r="H369" s="2">
        <v>3400</v>
      </c>
      <c r="I369" s="2" t="s">
        <v>486</v>
      </c>
      <c r="J369" s="2" t="s">
        <v>13</v>
      </c>
      <c r="K369" s="2" t="s">
        <v>22</v>
      </c>
      <c r="L369" s="2" t="s">
        <v>23</v>
      </c>
      <c r="M369" s="2" t="s">
        <v>15</v>
      </c>
      <c r="N369" s="2" t="s">
        <v>487</v>
      </c>
      <c r="O369" s="2">
        <v>4.5270000000000001</v>
      </c>
      <c r="P369" s="2">
        <v>-4.5270000000000001</v>
      </c>
      <c r="Q369" s="2" t="s">
        <v>125</v>
      </c>
    </row>
    <row r="370" spans="1:17" x14ac:dyDescent="0.35">
      <c r="A370" s="2">
        <v>202611</v>
      </c>
      <c r="B370" s="2">
        <v>46356</v>
      </c>
      <c r="C370" s="2" t="s">
        <v>114</v>
      </c>
      <c r="D370" s="2" t="s">
        <v>112</v>
      </c>
      <c r="E370" s="2">
        <v>1200</v>
      </c>
      <c r="F370" s="2" t="s">
        <v>344</v>
      </c>
      <c r="G370" s="2" t="s">
        <v>345</v>
      </c>
      <c r="H370" s="2">
        <v>3670</v>
      </c>
      <c r="I370" s="2" t="s">
        <v>488</v>
      </c>
      <c r="J370" s="2" t="s">
        <v>13</v>
      </c>
      <c r="K370" s="2" t="s">
        <v>29</v>
      </c>
      <c r="L370" s="2" t="s">
        <v>30</v>
      </c>
      <c r="M370" s="2" t="s">
        <v>15</v>
      </c>
      <c r="N370" s="2" t="s">
        <v>489</v>
      </c>
      <c r="O370" s="2">
        <v>1.5469999999999999</v>
      </c>
      <c r="P370" s="2">
        <v>-1.5469999999999999</v>
      </c>
      <c r="Q370" s="2" t="s">
        <v>125</v>
      </c>
    </row>
    <row r="371" spans="1:17" x14ac:dyDescent="0.35">
      <c r="A371" s="2">
        <v>202611</v>
      </c>
      <c r="B371" s="2">
        <v>46356</v>
      </c>
      <c r="C371" s="2" t="s">
        <v>114</v>
      </c>
      <c r="D371" s="2" t="s">
        <v>112</v>
      </c>
      <c r="E371" s="2">
        <v>1200</v>
      </c>
      <c r="F371" s="2" t="s">
        <v>344</v>
      </c>
      <c r="G371" s="2" t="s">
        <v>345</v>
      </c>
      <c r="H371" s="2">
        <v>5000</v>
      </c>
      <c r="I371" s="2" t="s">
        <v>490</v>
      </c>
      <c r="J371" s="2" t="s">
        <v>33</v>
      </c>
      <c r="K371" s="2" t="s">
        <v>34</v>
      </c>
      <c r="L371" s="2" t="s">
        <v>36</v>
      </c>
      <c r="M371" s="2" t="s">
        <v>35</v>
      </c>
      <c r="N371" s="2" t="s">
        <v>491</v>
      </c>
      <c r="O371" s="2">
        <v>21.196999999999999</v>
      </c>
      <c r="P371" s="2">
        <v>21.196999999999999</v>
      </c>
      <c r="Q371" s="2" t="s">
        <v>125</v>
      </c>
    </row>
    <row r="372" spans="1:17" x14ac:dyDescent="0.35">
      <c r="A372" s="2">
        <v>202611</v>
      </c>
      <c r="B372" s="2">
        <v>46356</v>
      </c>
      <c r="C372" s="2" t="s">
        <v>114</v>
      </c>
      <c r="D372" s="2" t="s">
        <v>112</v>
      </c>
      <c r="E372" s="2">
        <v>1200</v>
      </c>
      <c r="F372" s="2" t="s">
        <v>344</v>
      </c>
      <c r="G372" s="2" t="s">
        <v>345</v>
      </c>
      <c r="H372" s="2">
        <v>6300</v>
      </c>
      <c r="I372" s="2" t="s">
        <v>54</v>
      </c>
      <c r="J372" s="2" t="s">
        <v>48</v>
      </c>
      <c r="K372" s="2" t="s">
        <v>53</v>
      </c>
      <c r="L372" s="2" t="s">
        <v>54</v>
      </c>
      <c r="M372" s="2" t="s">
        <v>35</v>
      </c>
      <c r="N372" s="2" t="s">
        <v>492</v>
      </c>
      <c r="O372" s="2">
        <v>8.3699999999999992</v>
      </c>
      <c r="P372" s="2">
        <v>8.3699999999999992</v>
      </c>
      <c r="Q372" s="2" t="s">
        <v>125</v>
      </c>
    </row>
    <row r="373" spans="1:17" x14ac:dyDescent="0.35">
      <c r="A373" s="2">
        <v>202611</v>
      </c>
      <c r="B373" s="2">
        <v>46356</v>
      </c>
      <c r="C373" s="2" t="s">
        <v>114</v>
      </c>
      <c r="D373" s="2" t="s">
        <v>112</v>
      </c>
      <c r="E373" s="2">
        <v>1200</v>
      </c>
      <c r="F373" s="2" t="s">
        <v>344</v>
      </c>
      <c r="G373" s="2" t="s">
        <v>345</v>
      </c>
      <c r="H373" s="2">
        <v>6050</v>
      </c>
      <c r="I373" s="2" t="s">
        <v>493</v>
      </c>
      <c r="J373" s="2" t="s">
        <v>48</v>
      </c>
      <c r="K373" s="2" t="s">
        <v>49</v>
      </c>
      <c r="L373" s="2" t="s">
        <v>50</v>
      </c>
      <c r="M373" s="2" t="s">
        <v>35</v>
      </c>
      <c r="N373" s="2" t="s">
        <v>494</v>
      </c>
      <c r="O373" s="2">
        <v>5.6</v>
      </c>
      <c r="P373" s="2">
        <v>5.6</v>
      </c>
      <c r="Q373" s="2" t="s">
        <v>125</v>
      </c>
    </row>
    <row r="374" spans="1:17" x14ac:dyDescent="0.35">
      <c r="A374" s="2">
        <v>202611</v>
      </c>
      <c r="B374" s="2">
        <v>46356</v>
      </c>
      <c r="C374" s="2" t="s">
        <v>114</v>
      </c>
      <c r="D374" s="2" t="s">
        <v>112</v>
      </c>
      <c r="E374" s="2">
        <v>1300</v>
      </c>
      <c r="F374" s="2" t="s">
        <v>348</v>
      </c>
      <c r="G374" s="2" t="s">
        <v>349</v>
      </c>
      <c r="H374" s="2">
        <v>3900</v>
      </c>
      <c r="I374" s="2" t="s">
        <v>31</v>
      </c>
      <c r="J374" s="2" t="s">
        <v>13</v>
      </c>
      <c r="K374" s="2" t="s">
        <v>31</v>
      </c>
      <c r="L374" s="2" t="s">
        <v>31</v>
      </c>
      <c r="M374" s="2" t="s">
        <v>15</v>
      </c>
      <c r="N374" s="2" t="s">
        <v>485</v>
      </c>
      <c r="O374" s="2">
        <v>23.641999999999999</v>
      </c>
      <c r="P374" s="2">
        <v>-23.641999999999999</v>
      </c>
      <c r="Q374" s="2" t="s">
        <v>125</v>
      </c>
    </row>
    <row r="375" spans="1:17" x14ac:dyDescent="0.35">
      <c r="A375" s="2">
        <v>202611</v>
      </c>
      <c r="B375" s="2">
        <v>46356</v>
      </c>
      <c r="C375" s="2" t="s">
        <v>114</v>
      </c>
      <c r="D375" s="2" t="s">
        <v>112</v>
      </c>
      <c r="E375" s="2">
        <v>1300</v>
      </c>
      <c r="F375" s="2" t="s">
        <v>348</v>
      </c>
      <c r="G375" s="2" t="s">
        <v>349</v>
      </c>
      <c r="H375" s="2">
        <v>3400</v>
      </c>
      <c r="I375" s="2" t="s">
        <v>486</v>
      </c>
      <c r="J375" s="2" t="s">
        <v>13</v>
      </c>
      <c r="K375" s="2" t="s">
        <v>22</v>
      </c>
      <c r="L375" s="2" t="s">
        <v>23</v>
      </c>
      <c r="M375" s="2" t="s">
        <v>15</v>
      </c>
      <c r="N375" s="2" t="s">
        <v>487</v>
      </c>
      <c r="O375" s="2">
        <v>2.3580000000000001</v>
      </c>
      <c r="P375" s="2">
        <v>-2.3580000000000001</v>
      </c>
      <c r="Q375" s="2" t="s">
        <v>125</v>
      </c>
    </row>
    <row r="376" spans="1:17" x14ac:dyDescent="0.35">
      <c r="A376" s="2">
        <v>202611</v>
      </c>
      <c r="B376" s="2">
        <v>46356</v>
      </c>
      <c r="C376" s="2" t="s">
        <v>114</v>
      </c>
      <c r="D376" s="2" t="s">
        <v>112</v>
      </c>
      <c r="E376" s="2">
        <v>1300</v>
      </c>
      <c r="F376" s="2" t="s">
        <v>348</v>
      </c>
      <c r="G376" s="2" t="s">
        <v>349</v>
      </c>
      <c r="H376" s="2">
        <v>3670</v>
      </c>
      <c r="I376" s="2" t="s">
        <v>488</v>
      </c>
      <c r="J376" s="2" t="s">
        <v>13</v>
      </c>
      <c r="K376" s="2" t="s">
        <v>29</v>
      </c>
      <c r="L376" s="2" t="s">
        <v>30</v>
      </c>
      <c r="M376" s="2" t="s">
        <v>15</v>
      </c>
      <c r="N376" s="2" t="s">
        <v>489</v>
      </c>
      <c r="O376" s="2">
        <v>1.1679999999999999</v>
      </c>
      <c r="P376" s="2">
        <v>-1.1679999999999999</v>
      </c>
      <c r="Q376" s="2" t="s">
        <v>125</v>
      </c>
    </row>
    <row r="377" spans="1:17" x14ac:dyDescent="0.35">
      <c r="A377" s="2">
        <v>202611</v>
      </c>
      <c r="B377" s="2">
        <v>46356</v>
      </c>
      <c r="C377" s="2" t="s">
        <v>114</v>
      </c>
      <c r="D377" s="2" t="s">
        <v>112</v>
      </c>
      <c r="E377" s="2">
        <v>1300</v>
      </c>
      <c r="F377" s="2" t="s">
        <v>348</v>
      </c>
      <c r="G377" s="2" t="s">
        <v>349</v>
      </c>
      <c r="H377" s="2">
        <v>5000</v>
      </c>
      <c r="I377" s="2" t="s">
        <v>490</v>
      </c>
      <c r="J377" s="2" t="s">
        <v>33</v>
      </c>
      <c r="K377" s="2" t="s">
        <v>34</v>
      </c>
      <c r="L377" s="2" t="s">
        <v>36</v>
      </c>
      <c r="M377" s="2" t="s">
        <v>35</v>
      </c>
      <c r="N377" s="2" t="s">
        <v>491</v>
      </c>
      <c r="O377" s="2">
        <v>18.053000000000001</v>
      </c>
      <c r="P377" s="2">
        <v>18.053000000000001</v>
      </c>
      <c r="Q377" s="2" t="s">
        <v>125</v>
      </c>
    </row>
    <row r="378" spans="1:17" x14ac:dyDescent="0.35">
      <c r="A378" s="2">
        <v>202611</v>
      </c>
      <c r="B378" s="2">
        <v>46356</v>
      </c>
      <c r="C378" s="2" t="s">
        <v>114</v>
      </c>
      <c r="D378" s="2" t="s">
        <v>112</v>
      </c>
      <c r="E378" s="2">
        <v>1300</v>
      </c>
      <c r="F378" s="2" t="s">
        <v>348</v>
      </c>
      <c r="G378" s="2" t="s">
        <v>349</v>
      </c>
      <c r="H378" s="2">
        <v>6300</v>
      </c>
      <c r="I378" s="2" t="s">
        <v>54</v>
      </c>
      <c r="J378" s="2" t="s">
        <v>48</v>
      </c>
      <c r="K378" s="2" t="s">
        <v>53</v>
      </c>
      <c r="L378" s="2" t="s">
        <v>54</v>
      </c>
      <c r="M378" s="2" t="s">
        <v>35</v>
      </c>
      <c r="N378" s="2" t="s">
        <v>492</v>
      </c>
      <c r="O378" s="2">
        <v>7.13</v>
      </c>
      <c r="P378" s="2">
        <v>7.13</v>
      </c>
      <c r="Q378" s="2" t="s">
        <v>125</v>
      </c>
    </row>
    <row r="379" spans="1:17" x14ac:dyDescent="0.35">
      <c r="A379" s="2">
        <v>202611</v>
      </c>
      <c r="B379" s="2">
        <v>46356</v>
      </c>
      <c r="C379" s="2" t="s">
        <v>114</v>
      </c>
      <c r="D379" s="2" t="s">
        <v>112</v>
      </c>
      <c r="E379" s="2">
        <v>1300</v>
      </c>
      <c r="F379" s="2" t="s">
        <v>348</v>
      </c>
      <c r="G379" s="2" t="s">
        <v>349</v>
      </c>
      <c r="H379" s="2">
        <v>6050</v>
      </c>
      <c r="I379" s="2" t="s">
        <v>493</v>
      </c>
      <c r="J379" s="2" t="s">
        <v>48</v>
      </c>
      <c r="K379" s="2" t="s">
        <v>49</v>
      </c>
      <c r="L379" s="2" t="s">
        <v>50</v>
      </c>
      <c r="M379" s="2" t="s">
        <v>35</v>
      </c>
      <c r="N379" s="2" t="s">
        <v>494</v>
      </c>
      <c r="O379" s="2">
        <v>3.36</v>
      </c>
      <c r="P379" s="2">
        <v>3.36</v>
      </c>
      <c r="Q379" s="2" t="s">
        <v>125</v>
      </c>
    </row>
    <row r="380" spans="1:17" x14ac:dyDescent="0.35">
      <c r="A380" s="2">
        <v>202611</v>
      </c>
      <c r="B380" s="2">
        <v>46356</v>
      </c>
      <c r="C380" s="2" t="s">
        <v>114</v>
      </c>
      <c r="D380" s="2" t="s">
        <v>112</v>
      </c>
      <c r="E380" s="2">
        <v>1400</v>
      </c>
      <c r="F380" s="2" t="s">
        <v>352</v>
      </c>
      <c r="G380" s="2" t="s">
        <v>353</v>
      </c>
      <c r="H380" s="2">
        <v>3900</v>
      </c>
      <c r="I380" s="2" t="s">
        <v>31</v>
      </c>
      <c r="J380" s="2" t="s">
        <v>13</v>
      </c>
      <c r="K380" s="2" t="s">
        <v>31</v>
      </c>
      <c r="L380" s="2" t="s">
        <v>31</v>
      </c>
      <c r="M380" s="2" t="s">
        <v>15</v>
      </c>
      <c r="N380" s="2" t="s">
        <v>485</v>
      </c>
      <c r="O380" s="2">
        <v>13.362</v>
      </c>
      <c r="P380" s="2">
        <v>-13.362</v>
      </c>
      <c r="Q380" s="2" t="s">
        <v>125</v>
      </c>
    </row>
    <row r="381" spans="1:17" x14ac:dyDescent="0.35">
      <c r="A381" s="2">
        <v>202611</v>
      </c>
      <c r="B381" s="2">
        <v>46356</v>
      </c>
      <c r="C381" s="2" t="s">
        <v>114</v>
      </c>
      <c r="D381" s="2" t="s">
        <v>112</v>
      </c>
      <c r="E381" s="2">
        <v>1400</v>
      </c>
      <c r="F381" s="2" t="s">
        <v>352</v>
      </c>
      <c r="G381" s="2" t="s">
        <v>353</v>
      </c>
      <c r="H381" s="2">
        <v>3400</v>
      </c>
      <c r="I381" s="2" t="s">
        <v>486</v>
      </c>
      <c r="J381" s="2" t="s">
        <v>13</v>
      </c>
      <c r="K381" s="2" t="s">
        <v>22</v>
      </c>
      <c r="L381" s="2" t="s">
        <v>23</v>
      </c>
      <c r="M381" s="2" t="s">
        <v>15</v>
      </c>
      <c r="N381" s="2" t="s">
        <v>487</v>
      </c>
      <c r="O381" s="2">
        <v>1.415</v>
      </c>
      <c r="P381" s="2">
        <v>-1.415</v>
      </c>
      <c r="Q381" s="2" t="s">
        <v>125</v>
      </c>
    </row>
    <row r="382" spans="1:17" x14ac:dyDescent="0.35">
      <c r="A382" s="2">
        <v>202611</v>
      </c>
      <c r="B382" s="2">
        <v>46356</v>
      </c>
      <c r="C382" s="2" t="s">
        <v>114</v>
      </c>
      <c r="D382" s="2" t="s">
        <v>112</v>
      </c>
      <c r="E382" s="2">
        <v>1400</v>
      </c>
      <c r="F382" s="2" t="s">
        <v>352</v>
      </c>
      <c r="G382" s="2" t="s">
        <v>353</v>
      </c>
      <c r="H382" s="2">
        <v>3670</v>
      </c>
      <c r="I382" s="2" t="s">
        <v>488</v>
      </c>
      <c r="J382" s="2" t="s">
        <v>13</v>
      </c>
      <c r="K382" s="2" t="s">
        <v>29</v>
      </c>
      <c r="L382" s="2" t="s">
        <v>30</v>
      </c>
      <c r="M382" s="2" t="s">
        <v>15</v>
      </c>
      <c r="N382" s="2" t="s">
        <v>489</v>
      </c>
      <c r="O382" s="2">
        <v>0.70299999999999996</v>
      </c>
      <c r="P382" s="2">
        <v>-0.70299999999999996</v>
      </c>
      <c r="Q382" s="2" t="s">
        <v>125</v>
      </c>
    </row>
    <row r="383" spans="1:17" x14ac:dyDescent="0.35">
      <c r="A383" s="2">
        <v>202611</v>
      </c>
      <c r="B383" s="2">
        <v>46356</v>
      </c>
      <c r="C383" s="2" t="s">
        <v>114</v>
      </c>
      <c r="D383" s="2" t="s">
        <v>112</v>
      </c>
      <c r="E383" s="2">
        <v>1400</v>
      </c>
      <c r="F383" s="2" t="s">
        <v>352</v>
      </c>
      <c r="G383" s="2" t="s">
        <v>353</v>
      </c>
      <c r="H383" s="2">
        <v>5000</v>
      </c>
      <c r="I383" s="2" t="s">
        <v>490</v>
      </c>
      <c r="J383" s="2" t="s">
        <v>33</v>
      </c>
      <c r="K383" s="2" t="s">
        <v>34</v>
      </c>
      <c r="L383" s="2" t="s">
        <v>36</v>
      </c>
      <c r="M383" s="2" t="s">
        <v>35</v>
      </c>
      <c r="N383" s="2" t="s">
        <v>491</v>
      </c>
      <c r="O383" s="2">
        <v>10.202999999999999</v>
      </c>
      <c r="P383" s="2">
        <v>10.202999999999999</v>
      </c>
      <c r="Q383" s="2" t="s">
        <v>125</v>
      </c>
    </row>
    <row r="384" spans="1:17" x14ac:dyDescent="0.35">
      <c r="A384" s="2">
        <v>202611</v>
      </c>
      <c r="B384" s="2">
        <v>46356</v>
      </c>
      <c r="C384" s="2" t="s">
        <v>114</v>
      </c>
      <c r="D384" s="2" t="s">
        <v>112</v>
      </c>
      <c r="E384" s="2">
        <v>1400</v>
      </c>
      <c r="F384" s="2" t="s">
        <v>352</v>
      </c>
      <c r="G384" s="2" t="s">
        <v>353</v>
      </c>
      <c r="H384" s="2">
        <v>6300</v>
      </c>
      <c r="I384" s="2" t="s">
        <v>54</v>
      </c>
      <c r="J384" s="2" t="s">
        <v>48</v>
      </c>
      <c r="K384" s="2" t="s">
        <v>53</v>
      </c>
      <c r="L384" s="2" t="s">
        <v>54</v>
      </c>
      <c r="M384" s="2" t="s">
        <v>35</v>
      </c>
      <c r="N384" s="2" t="s">
        <v>492</v>
      </c>
      <c r="O384" s="2">
        <v>4.03</v>
      </c>
      <c r="P384" s="2">
        <v>4.03</v>
      </c>
      <c r="Q384" s="2" t="s">
        <v>125</v>
      </c>
    </row>
    <row r="385" spans="1:17" x14ac:dyDescent="0.35">
      <c r="A385" s="2">
        <v>202611</v>
      </c>
      <c r="B385" s="2">
        <v>46356</v>
      </c>
      <c r="C385" s="2" t="s">
        <v>114</v>
      </c>
      <c r="D385" s="2" t="s">
        <v>112</v>
      </c>
      <c r="E385" s="2">
        <v>1400</v>
      </c>
      <c r="F385" s="2" t="s">
        <v>352</v>
      </c>
      <c r="G385" s="2" t="s">
        <v>353</v>
      </c>
      <c r="H385" s="2">
        <v>6050</v>
      </c>
      <c r="I385" s="2" t="s">
        <v>493</v>
      </c>
      <c r="J385" s="2" t="s">
        <v>48</v>
      </c>
      <c r="K385" s="2" t="s">
        <v>49</v>
      </c>
      <c r="L385" s="2" t="s">
        <v>50</v>
      </c>
      <c r="M385" s="2" t="s">
        <v>35</v>
      </c>
      <c r="N385" s="2" t="s">
        <v>494</v>
      </c>
      <c r="O385" s="2">
        <v>1.44</v>
      </c>
      <c r="P385" s="2">
        <v>1.44</v>
      </c>
      <c r="Q385" s="2" t="s">
        <v>125</v>
      </c>
    </row>
    <row r="386" spans="1:17" x14ac:dyDescent="0.35">
      <c r="A386" s="2">
        <v>202611</v>
      </c>
      <c r="B386" s="2">
        <v>46356</v>
      </c>
      <c r="C386" s="2" t="s">
        <v>114</v>
      </c>
      <c r="D386" s="2" t="s">
        <v>112</v>
      </c>
      <c r="E386" s="2">
        <v>1500</v>
      </c>
      <c r="F386" s="2" t="s">
        <v>356</v>
      </c>
      <c r="G386" s="2" t="s">
        <v>357</v>
      </c>
      <c r="H386" s="2">
        <v>3900</v>
      </c>
      <c r="I386" s="2" t="s">
        <v>31</v>
      </c>
      <c r="J386" s="2" t="s">
        <v>13</v>
      </c>
      <c r="K386" s="2" t="s">
        <v>31</v>
      </c>
      <c r="L386" s="2" t="s">
        <v>31</v>
      </c>
      <c r="M386" s="2" t="s">
        <v>15</v>
      </c>
      <c r="N386" s="2" t="s">
        <v>485</v>
      </c>
      <c r="O386" s="2">
        <v>10.28</v>
      </c>
      <c r="P386" s="2">
        <v>-10.28</v>
      </c>
      <c r="Q386" s="2" t="s">
        <v>125</v>
      </c>
    </row>
    <row r="387" spans="1:17" x14ac:dyDescent="0.35">
      <c r="A387" s="2">
        <v>202611</v>
      </c>
      <c r="B387" s="2">
        <v>46356</v>
      </c>
      <c r="C387" s="2" t="s">
        <v>114</v>
      </c>
      <c r="D387" s="2" t="s">
        <v>112</v>
      </c>
      <c r="E387" s="2">
        <v>1500</v>
      </c>
      <c r="F387" s="2" t="s">
        <v>356</v>
      </c>
      <c r="G387" s="2" t="s">
        <v>357</v>
      </c>
      <c r="H387" s="2">
        <v>3400</v>
      </c>
      <c r="I387" s="2" t="s">
        <v>486</v>
      </c>
      <c r="J387" s="2" t="s">
        <v>13</v>
      </c>
      <c r="K387" s="2" t="s">
        <v>22</v>
      </c>
      <c r="L387" s="2" t="s">
        <v>23</v>
      </c>
      <c r="M387" s="2" t="s">
        <v>15</v>
      </c>
      <c r="N387" s="2" t="s">
        <v>487</v>
      </c>
      <c r="O387" s="2">
        <v>0.94299999999999995</v>
      </c>
      <c r="P387" s="2">
        <v>-0.94299999999999995</v>
      </c>
      <c r="Q387" s="2" t="s">
        <v>125</v>
      </c>
    </row>
    <row r="388" spans="1:17" x14ac:dyDescent="0.35">
      <c r="A388" s="2">
        <v>202611</v>
      </c>
      <c r="B388" s="2">
        <v>46356</v>
      </c>
      <c r="C388" s="2" t="s">
        <v>114</v>
      </c>
      <c r="D388" s="2" t="s">
        <v>112</v>
      </c>
      <c r="E388" s="2">
        <v>1500</v>
      </c>
      <c r="F388" s="2" t="s">
        <v>356</v>
      </c>
      <c r="G388" s="2" t="s">
        <v>357</v>
      </c>
      <c r="H388" s="2">
        <v>3670</v>
      </c>
      <c r="I388" s="2" t="s">
        <v>488</v>
      </c>
      <c r="J388" s="2" t="s">
        <v>13</v>
      </c>
      <c r="K388" s="2" t="s">
        <v>29</v>
      </c>
      <c r="L388" s="2" t="s">
        <v>30</v>
      </c>
      <c r="M388" s="2" t="s">
        <v>15</v>
      </c>
      <c r="N388" s="2" t="s">
        <v>489</v>
      </c>
      <c r="O388" s="2">
        <v>0.46600000000000003</v>
      </c>
      <c r="P388" s="2">
        <v>-0.46600000000000003</v>
      </c>
      <c r="Q388" s="2" t="s">
        <v>125</v>
      </c>
    </row>
    <row r="389" spans="1:17" x14ac:dyDescent="0.35">
      <c r="A389" s="2">
        <v>202611</v>
      </c>
      <c r="B389" s="2">
        <v>46356</v>
      </c>
      <c r="C389" s="2" t="s">
        <v>114</v>
      </c>
      <c r="D389" s="2" t="s">
        <v>112</v>
      </c>
      <c r="E389" s="2">
        <v>1500</v>
      </c>
      <c r="F389" s="2" t="s">
        <v>356</v>
      </c>
      <c r="G389" s="2" t="s">
        <v>357</v>
      </c>
      <c r="H389" s="2">
        <v>5000</v>
      </c>
      <c r="I389" s="2" t="s">
        <v>490</v>
      </c>
      <c r="J389" s="2" t="s">
        <v>33</v>
      </c>
      <c r="K389" s="2" t="s">
        <v>34</v>
      </c>
      <c r="L389" s="2" t="s">
        <v>36</v>
      </c>
      <c r="M389" s="2" t="s">
        <v>35</v>
      </c>
      <c r="N389" s="2" t="s">
        <v>491</v>
      </c>
      <c r="O389" s="2">
        <v>7.85</v>
      </c>
      <c r="P389" s="2">
        <v>7.85</v>
      </c>
      <c r="Q389" s="2" t="s">
        <v>125</v>
      </c>
    </row>
    <row r="390" spans="1:17" x14ac:dyDescent="0.35">
      <c r="A390" s="2">
        <v>202611</v>
      </c>
      <c r="B390" s="2">
        <v>46356</v>
      </c>
      <c r="C390" s="2" t="s">
        <v>114</v>
      </c>
      <c r="D390" s="2" t="s">
        <v>112</v>
      </c>
      <c r="E390" s="2">
        <v>1500</v>
      </c>
      <c r="F390" s="2" t="s">
        <v>356</v>
      </c>
      <c r="G390" s="2" t="s">
        <v>357</v>
      </c>
      <c r="H390" s="2">
        <v>6300</v>
      </c>
      <c r="I390" s="2" t="s">
        <v>54</v>
      </c>
      <c r="J390" s="2" t="s">
        <v>48</v>
      </c>
      <c r="K390" s="2" t="s">
        <v>53</v>
      </c>
      <c r="L390" s="2" t="s">
        <v>54</v>
      </c>
      <c r="M390" s="2" t="s">
        <v>35</v>
      </c>
      <c r="N390" s="2" t="s">
        <v>492</v>
      </c>
      <c r="O390" s="2">
        <v>3.1</v>
      </c>
      <c r="P390" s="2">
        <v>3.1</v>
      </c>
      <c r="Q390" s="2" t="s">
        <v>125</v>
      </c>
    </row>
    <row r="391" spans="1:17" x14ac:dyDescent="0.35">
      <c r="A391" s="2">
        <v>202611</v>
      </c>
      <c r="B391" s="2">
        <v>46356</v>
      </c>
      <c r="C391" s="2" t="s">
        <v>114</v>
      </c>
      <c r="D391" s="2" t="s">
        <v>112</v>
      </c>
      <c r="E391" s="2">
        <v>1500</v>
      </c>
      <c r="F391" s="2" t="s">
        <v>356</v>
      </c>
      <c r="G391" s="2" t="s">
        <v>357</v>
      </c>
      <c r="H391" s="2">
        <v>6050</v>
      </c>
      <c r="I391" s="2" t="s">
        <v>493</v>
      </c>
      <c r="J391" s="2" t="s">
        <v>48</v>
      </c>
      <c r="K391" s="2" t="s">
        <v>49</v>
      </c>
      <c r="L391" s="2" t="s">
        <v>50</v>
      </c>
      <c r="M391" s="2" t="s">
        <v>35</v>
      </c>
      <c r="N391" s="2" t="s">
        <v>494</v>
      </c>
      <c r="O391" s="2">
        <v>1.1200000000000001</v>
      </c>
      <c r="P391" s="2">
        <v>1.1200000000000001</v>
      </c>
      <c r="Q391" s="2" t="s">
        <v>125</v>
      </c>
    </row>
    <row r="392" spans="1:17" x14ac:dyDescent="0.35">
      <c r="A392" s="2">
        <v>202611</v>
      </c>
      <c r="B392" s="2">
        <v>46356</v>
      </c>
      <c r="C392" s="2" t="s">
        <v>114</v>
      </c>
      <c r="D392" s="2" t="s">
        <v>112</v>
      </c>
      <c r="E392" s="2">
        <v>1900</v>
      </c>
      <c r="F392" s="2" t="s">
        <v>360</v>
      </c>
      <c r="G392" s="2" t="s">
        <v>361</v>
      </c>
      <c r="H392" s="2">
        <v>3900</v>
      </c>
      <c r="I392" s="2" t="s">
        <v>31</v>
      </c>
      <c r="J392" s="2" t="s">
        <v>13</v>
      </c>
      <c r="K392" s="2" t="s">
        <v>31</v>
      </c>
      <c r="L392" s="2" t="s">
        <v>31</v>
      </c>
      <c r="M392" s="2" t="s">
        <v>15</v>
      </c>
      <c r="N392" s="2" t="s">
        <v>485</v>
      </c>
      <c r="O392" s="2">
        <v>7.1980000000000004</v>
      </c>
      <c r="P392" s="2">
        <v>-7.1980000000000004</v>
      </c>
      <c r="Q392" s="2" t="s">
        <v>125</v>
      </c>
    </row>
    <row r="393" spans="1:17" x14ac:dyDescent="0.35">
      <c r="A393" s="2">
        <v>202611</v>
      </c>
      <c r="B393" s="2">
        <v>46356</v>
      </c>
      <c r="C393" s="2" t="s">
        <v>114</v>
      </c>
      <c r="D393" s="2" t="s">
        <v>112</v>
      </c>
      <c r="E393" s="2">
        <v>1900</v>
      </c>
      <c r="F393" s="2" t="s">
        <v>360</v>
      </c>
      <c r="G393" s="2" t="s">
        <v>361</v>
      </c>
      <c r="H393" s="2">
        <v>3400</v>
      </c>
      <c r="I393" s="2" t="s">
        <v>486</v>
      </c>
      <c r="J393" s="2" t="s">
        <v>13</v>
      </c>
      <c r="K393" s="2" t="s">
        <v>22</v>
      </c>
      <c r="L393" s="2" t="s">
        <v>23</v>
      </c>
      <c r="M393" s="2" t="s">
        <v>15</v>
      </c>
      <c r="N393" s="2" t="s">
        <v>487</v>
      </c>
      <c r="O393" s="2">
        <v>0.28299999999999997</v>
      </c>
      <c r="P393" s="2">
        <v>-0.28299999999999997</v>
      </c>
      <c r="Q393" s="2" t="s">
        <v>125</v>
      </c>
    </row>
    <row r="394" spans="1:17" x14ac:dyDescent="0.35">
      <c r="A394" s="2">
        <v>202611</v>
      </c>
      <c r="B394" s="2">
        <v>46356</v>
      </c>
      <c r="C394" s="2" t="s">
        <v>114</v>
      </c>
      <c r="D394" s="2" t="s">
        <v>112</v>
      </c>
      <c r="E394" s="2">
        <v>1900</v>
      </c>
      <c r="F394" s="2" t="s">
        <v>360</v>
      </c>
      <c r="G394" s="2" t="s">
        <v>361</v>
      </c>
      <c r="H394" s="2">
        <v>3670</v>
      </c>
      <c r="I394" s="2" t="s">
        <v>488</v>
      </c>
      <c r="J394" s="2" t="s">
        <v>13</v>
      </c>
      <c r="K394" s="2" t="s">
        <v>29</v>
      </c>
      <c r="L394" s="2" t="s">
        <v>30</v>
      </c>
      <c r="M394" s="2" t="s">
        <v>15</v>
      </c>
      <c r="N394" s="2" t="s">
        <v>489</v>
      </c>
      <c r="O394" s="2">
        <v>1.5</v>
      </c>
      <c r="P394" s="2">
        <v>-1.5</v>
      </c>
      <c r="Q394" s="2" t="s">
        <v>125</v>
      </c>
    </row>
    <row r="395" spans="1:17" x14ac:dyDescent="0.35">
      <c r="A395" s="2">
        <v>202611</v>
      </c>
      <c r="B395" s="2">
        <v>46356</v>
      </c>
      <c r="C395" s="2" t="s">
        <v>114</v>
      </c>
      <c r="D395" s="2" t="s">
        <v>112</v>
      </c>
      <c r="E395" s="2">
        <v>1900</v>
      </c>
      <c r="F395" s="2" t="s">
        <v>360</v>
      </c>
      <c r="G395" s="2" t="s">
        <v>361</v>
      </c>
      <c r="H395" s="2">
        <v>5000</v>
      </c>
      <c r="I395" s="2" t="s">
        <v>490</v>
      </c>
      <c r="J395" s="2" t="s">
        <v>33</v>
      </c>
      <c r="K395" s="2" t="s">
        <v>34</v>
      </c>
      <c r="L395" s="2" t="s">
        <v>36</v>
      </c>
      <c r="M395" s="2" t="s">
        <v>35</v>
      </c>
      <c r="N395" s="2" t="s">
        <v>491</v>
      </c>
      <c r="O395" s="2">
        <v>6.2779999999999996</v>
      </c>
      <c r="P395" s="2">
        <v>6.2779999999999996</v>
      </c>
      <c r="Q395" s="2" t="s">
        <v>125</v>
      </c>
    </row>
    <row r="396" spans="1:17" x14ac:dyDescent="0.35">
      <c r="A396" s="2">
        <v>202611</v>
      </c>
      <c r="B396" s="2">
        <v>46356</v>
      </c>
      <c r="C396" s="2" t="s">
        <v>114</v>
      </c>
      <c r="D396" s="2" t="s">
        <v>112</v>
      </c>
      <c r="E396" s="2">
        <v>1900</v>
      </c>
      <c r="F396" s="2" t="s">
        <v>360</v>
      </c>
      <c r="G396" s="2" t="s">
        <v>361</v>
      </c>
      <c r="H396" s="2">
        <v>6300</v>
      </c>
      <c r="I396" s="2" t="s">
        <v>54</v>
      </c>
      <c r="J396" s="2" t="s">
        <v>48</v>
      </c>
      <c r="K396" s="2" t="s">
        <v>53</v>
      </c>
      <c r="L396" s="2" t="s">
        <v>54</v>
      </c>
      <c r="M396" s="2" t="s">
        <v>35</v>
      </c>
      <c r="N396" s="2" t="s">
        <v>492</v>
      </c>
      <c r="O396" s="2">
        <v>2.48</v>
      </c>
      <c r="P396" s="2">
        <v>2.48</v>
      </c>
      <c r="Q396" s="2" t="s">
        <v>125</v>
      </c>
    </row>
    <row r="397" spans="1:17" x14ac:dyDescent="0.35">
      <c r="A397" s="2">
        <v>202611</v>
      </c>
      <c r="B397" s="2">
        <v>46356</v>
      </c>
      <c r="C397" s="2" t="s">
        <v>114</v>
      </c>
      <c r="D397" s="2" t="s">
        <v>112</v>
      </c>
      <c r="E397" s="2">
        <v>1900</v>
      </c>
      <c r="F397" s="2" t="s">
        <v>360</v>
      </c>
      <c r="G397" s="2" t="s">
        <v>361</v>
      </c>
      <c r="H397" s="2">
        <v>6050</v>
      </c>
      <c r="I397" s="2" t="s">
        <v>493</v>
      </c>
      <c r="J397" s="2" t="s">
        <v>48</v>
      </c>
      <c r="K397" s="2" t="s">
        <v>49</v>
      </c>
      <c r="L397" s="2" t="s">
        <v>50</v>
      </c>
      <c r="M397" s="2" t="s">
        <v>35</v>
      </c>
      <c r="N397" s="2" t="s">
        <v>494</v>
      </c>
      <c r="O397" s="2">
        <v>1.44</v>
      </c>
      <c r="P397" s="2">
        <v>1.44</v>
      </c>
      <c r="Q397" s="2" t="s">
        <v>125</v>
      </c>
    </row>
    <row r="398" spans="1:17" x14ac:dyDescent="0.35">
      <c r="A398" s="2">
        <v>202612</v>
      </c>
      <c r="B398" s="2">
        <v>46387</v>
      </c>
      <c r="C398" s="2" t="s">
        <v>115</v>
      </c>
      <c r="D398" s="2" t="s">
        <v>112</v>
      </c>
      <c r="E398" s="2">
        <v>1100</v>
      </c>
      <c r="F398" s="2" t="s">
        <v>339</v>
      </c>
      <c r="G398" s="2" t="s">
        <v>340</v>
      </c>
      <c r="H398" s="2">
        <v>3900</v>
      </c>
      <c r="I398" s="2" t="s">
        <v>31</v>
      </c>
      <c r="J398" s="2" t="s">
        <v>13</v>
      </c>
      <c r="K398" s="2" t="s">
        <v>31</v>
      </c>
      <c r="L398" s="2" t="s">
        <v>31</v>
      </c>
      <c r="M398" s="2" t="s">
        <v>15</v>
      </c>
      <c r="N398" s="2" t="s">
        <v>485</v>
      </c>
      <c r="O398" s="2">
        <v>20.58</v>
      </c>
      <c r="P398" s="2">
        <v>-20.58</v>
      </c>
      <c r="Q398" s="2" t="s">
        <v>125</v>
      </c>
    </row>
    <row r="399" spans="1:17" x14ac:dyDescent="0.35">
      <c r="A399" s="2">
        <v>202612</v>
      </c>
      <c r="B399" s="2">
        <v>46387</v>
      </c>
      <c r="C399" s="2" t="s">
        <v>115</v>
      </c>
      <c r="D399" s="2" t="s">
        <v>112</v>
      </c>
      <c r="E399" s="2">
        <v>1100</v>
      </c>
      <c r="F399" s="2" t="s">
        <v>339</v>
      </c>
      <c r="G399" s="2" t="s">
        <v>340</v>
      </c>
      <c r="H399" s="2">
        <v>3400</v>
      </c>
      <c r="I399" s="2" t="s">
        <v>486</v>
      </c>
      <c r="J399" s="2" t="s">
        <v>13</v>
      </c>
      <c r="K399" s="2" t="s">
        <v>22</v>
      </c>
      <c r="L399" s="2" t="s">
        <v>23</v>
      </c>
      <c r="M399" s="2" t="s">
        <v>15</v>
      </c>
      <c r="N399" s="2" t="s">
        <v>487</v>
      </c>
      <c r="O399" s="2">
        <v>2.0030000000000001</v>
      </c>
      <c r="P399" s="2">
        <v>-2.0030000000000001</v>
      </c>
      <c r="Q399" s="2" t="s">
        <v>125</v>
      </c>
    </row>
    <row r="400" spans="1:17" x14ac:dyDescent="0.35">
      <c r="A400" s="2">
        <v>202612</v>
      </c>
      <c r="B400" s="2">
        <v>46387</v>
      </c>
      <c r="C400" s="2" t="s">
        <v>115</v>
      </c>
      <c r="D400" s="2" t="s">
        <v>112</v>
      </c>
      <c r="E400" s="2">
        <v>1100</v>
      </c>
      <c r="F400" s="2" t="s">
        <v>339</v>
      </c>
      <c r="G400" s="2" t="s">
        <v>340</v>
      </c>
      <c r="H400" s="2">
        <v>3670</v>
      </c>
      <c r="I400" s="2" t="s">
        <v>488</v>
      </c>
      <c r="J400" s="2" t="s">
        <v>13</v>
      </c>
      <c r="K400" s="2" t="s">
        <v>29</v>
      </c>
      <c r="L400" s="2" t="s">
        <v>30</v>
      </c>
      <c r="M400" s="2" t="s">
        <v>15</v>
      </c>
      <c r="N400" s="2" t="s">
        <v>489</v>
      </c>
      <c r="O400" s="2">
        <v>0.54400000000000004</v>
      </c>
      <c r="P400" s="2">
        <v>-0.54400000000000004</v>
      </c>
      <c r="Q400" s="2" t="s">
        <v>125</v>
      </c>
    </row>
    <row r="401" spans="1:17" x14ac:dyDescent="0.35">
      <c r="A401" s="2">
        <v>202612</v>
      </c>
      <c r="B401" s="2">
        <v>46387</v>
      </c>
      <c r="C401" s="2" t="s">
        <v>115</v>
      </c>
      <c r="D401" s="2" t="s">
        <v>112</v>
      </c>
      <c r="E401" s="2">
        <v>1100</v>
      </c>
      <c r="F401" s="2" t="s">
        <v>339</v>
      </c>
      <c r="G401" s="2" t="s">
        <v>340</v>
      </c>
      <c r="H401" s="2">
        <v>5000</v>
      </c>
      <c r="I401" s="2" t="s">
        <v>490</v>
      </c>
      <c r="J401" s="2" t="s">
        <v>33</v>
      </c>
      <c r="K401" s="2" t="s">
        <v>34</v>
      </c>
      <c r="L401" s="2" t="s">
        <v>36</v>
      </c>
      <c r="M401" s="2" t="s">
        <v>35</v>
      </c>
      <c r="N401" s="2" t="s">
        <v>491</v>
      </c>
      <c r="O401" s="2">
        <v>12.163</v>
      </c>
      <c r="P401" s="2">
        <v>12.163</v>
      </c>
      <c r="Q401" s="2" t="s">
        <v>125</v>
      </c>
    </row>
    <row r="402" spans="1:17" x14ac:dyDescent="0.35">
      <c r="A402" s="2">
        <v>202612</v>
      </c>
      <c r="B402" s="2">
        <v>46387</v>
      </c>
      <c r="C402" s="2" t="s">
        <v>115</v>
      </c>
      <c r="D402" s="2" t="s">
        <v>112</v>
      </c>
      <c r="E402" s="2">
        <v>1100</v>
      </c>
      <c r="F402" s="2" t="s">
        <v>339</v>
      </c>
      <c r="G402" s="2" t="s">
        <v>340</v>
      </c>
      <c r="H402" s="2">
        <v>6300</v>
      </c>
      <c r="I402" s="2" t="s">
        <v>54</v>
      </c>
      <c r="J402" s="2" t="s">
        <v>48</v>
      </c>
      <c r="K402" s="2" t="s">
        <v>53</v>
      </c>
      <c r="L402" s="2" t="s">
        <v>54</v>
      </c>
      <c r="M402" s="2" t="s">
        <v>35</v>
      </c>
      <c r="N402" s="2" t="s">
        <v>492</v>
      </c>
      <c r="O402" s="2">
        <v>4.37</v>
      </c>
      <c r="P402" s="2">
        <v>4.37</v>
      </c>
      <c r="Q402" s="2" t="s">
        <v>125</v>
      </c>
    </row>
    <row r="403" spans="1:17" x14ac:dyDescent="0.35">
      <c r="A403" s="2">
        <v>202612</v>
      </c>
      <c r="B403" s="2">
        <v>46387</v>
      </c>
      <c r="C403" s="2" t="s">
        <v>115</v>
      </c>
      <c r="D403" s="2" t="s">
        <v>112</v>
      </c>
      <c r="E403" s="2">
        <v>1100</v>
      </c>
      <c r="F403" s="2" t="s">
        <v>339</v>
      </c>
      <c r="G403" s="2" t="s">
        <v>340</v>
      </c>
      <c r="H403" s="2">
        <v>6050</v>
      </c>
      <c r="I403" s="2" t="s">
        <v>493</v>
      </c>
      <c r="J403" s="2" t="s">
        <v>48</v>
      </c>
      <c r="K403" s="2" t="s">
        <v>49</v>
      </c>
      <c r="L403" s="2" t="s">
        <v>50</v>
      </c>
      <c r="M403" s="2" t="s">
        <v>35</v>
      </c>
      <c r="N403" s="2" t="s">
        <v>494</v>
      </c>
      <c r="O403" s="2">
        <v>2.4700000000000002</v>
      </c>
      <c r="P403" s="2">
        <v>2.4700000000000002</v>
      </c>
      <c r="Q403" s="2" t="s">
        <v>125</v>
      </c>
    </row>
    <row r="404" spans="1:17" x14ac:dyDescent="0.35">
      <c r="A404" s="2">
        <v>202612</v>
      </c>
      <c r="B404" s="2">
        <v>46387</v>
      </c>
      <c r="C404" s="2" t="s">
        <v>115</v>
      </c>
      <c r="D404" s="2" t="s">
        <v>112</v>
      </c>
      <c r="E404" s="2">
        <v>1200</v>
      </c>
      <c r="F404" s="2" t="s">
        <v>344</v>
      </c>
      <c r="G404" s="2" t="s">
        <v>345</v>
      </c>
      <c r="H404" s="2">
        <v>3900</v>
      </c>
      <c r="I404" s="2" t="s">
        <v>31</v>
      </c>
      <c r="J404" s="2" t="s">
        <v>13</v>
      </c>
      <c r="K404" s="2" t="s">
        <v>31</v>
      </c>
      <c r="L404" s="2" t="s">
        <v>31</v>
      </c>
      <c r="M404" s="2" t="s">
        <v>15</v>
      </c>
      <c r="N404" s="2" t="s">
        <v>485</v>
      </c>
      <c r="O404" s="2">
        <v>27.785</v>
      </c>
      <c r="P404" s="2">
        <v>-27.785</v>
      </c>
      <c r="Q404" s="2" t="s">
        <v>125</v>
      </c>
    </row>
    <row r="405" spans="1:17" x14ac:dyDescent="0.35">
      <c r="A405" s="2">
        <v>202612</v>
      </c>
      <c r="B405" s="2">
        <v>46387</v>
      </c>
      <c r="C405" s="2" t="s">
        <v>115</v>
      </c>
      <c r="D405" s="2" t="s">
        <v>112</v>
      </c>
      <c r="E405" s="2">
        <v>1200</v>
      </c>
      <c r="F405" s="2" t="s">
        <v>344</v>
      </c>
      <c r="G405" s="2" t="s">
        <v>345</v>
      </c>
      <c r="H405" s="2">
        <v>3400</v>
      </c>
      <c r="I405" s="2" t="s">
        <v>486</v>
      </c>
      <c r="J405" s="2" t="s">
        <v>13</v>
      </c>
      <c r="K405" s="2" t="s">
        <v>22</v>
      </c>
      <c r="L405" s="2" t="s">
        <v>23</v>
      </c>
      <c r="M405" s="2" t="s">
        <v>15</v>
      </c>
      <c r="N405" s="2" t="s">
        <v>487</v>
      </c>
      <c r="O405" s="2">
        <v>4.3710000000000004</v>
      </c>
      <c r="P405" s="2">
        <v>-4.3710000000000004</v>
      </c>
      <c r="Q405" s="2" t="s">
        <v>125</v>
      </c>
    </row>
    <row r="406" spans="1:17" x14ac:dyDescent="0.35">
      <c r="A406" s="2">
        <v>202612</v>
      </c>
      <c r="B406" s="2">
        <v>46387</v>
      </c>
      <c r="C406" s="2" t="s">
        <v>115</v>
      </c>
      <c r="D406" s="2" t="s">
        <v>112</v>
      </c>
      <c r="E406" s="2">
        <v>1200</v>
      </c>
      <c r="F406" s="2" t="s">
        <v>344</v>
      </c>
      <c r="G406" s="2" t="s">
        <v>345</v>
      </c>
      <c r="H406" s="2">
        <v>3670</v>
      </c>
      <c r="I406" s="2" t="s">
        <v>488</v>
      </c>
      <c r="J406" s="2" t="s">
        <v>13</v>
      </c>
      <c r="K406" s="2" t="s">
        <v>29</v>
      </c>
      <c r="L406" s="2" t="s">
        <v>30</v>
      </c>
      <c r="M406" s="2" t="s">
        <v>15</v>
      </c>
      <c r="N406" s="2" t="s">
        <v>489</v>
      </c>
      <c r="O406" s="2">
        <v>1.367</v>
      </c>
      <c r="P406" s="2">
        <v>-1.367</v>
      </c>
      <c r="Q406" s="2" t="s">
        <v>125</v>
      </c>
    </row>
    <row r="407" spans="1:17" x14ac:dyDescent="0.35">
      <c r="A407" s="2">
        <v>202612</v>
      </c>
      <c r="B407" s="2">
        <v>46387</v>
      </c>
      <c r="C407" s="2" t="s">
        <v>115</v>
      </c>
      <c r="D407" s="2" t="s">
        <v>112</v>
      </c>
      <c r="E407" s="2">
        <v>1200</v>
      </c>
      <c r="F407" s="2" t="s">
        <v>344</v>
      </c>
      <c r="G407" s="2" t="s">
        <v>345</v>
      </c>
      <c r="H407" s="2">
        <v>5000</v>
      </c>
      <c r="I407" s="2" t="s">
        <v>490</v>
      </c>
      <c r="J407" s="2" t="s">
        <v>33</v>
      </c>
      <c r="K407" s="2" t="s">
        <v>34</v>
      </c>
      <c r="L407" s="2" t="s">
        <v>36</v>
      </c>
      <c r="M407" s="2" t="s">
        <v>35</v>
      </c>
      <c r="N407" s="2" t="s">
        <v>491</v>
      </c>
      <c r="O407" s="2">
        <v>17.280999999999999</v>
      </c>
      <c r="P407" s="2">
        <v>17.280999999999999</v>
      </c>
      <c r="Q407" s="2" t="s">
        <v>125</v>
      </c>
    </row>
    <row r="408" spans="1:17" x14ac:dyDescent="0.35">
      <c r="A408" s="2">
        <v>202612</v>
      </c>
      <c r="B408" s="2">
        <v>46387</v>
      </c>
      <c r="C408" s="2" t="s">
        <v>115</v>
      </c>
      <c r="D408" s="2" t="s">
        <v>112</v>
      </c>
      <c r="E408" s="2">
        <v>1200</v>
      </c>
      <c r="F408" s="2" t="s">
        <v>344</v>
      </c>
      <c r="G408" s="2" t="s">
        <v>345</v>
      </c>
      <c r="H408" s="2">
        <v>6300</v>
      </c>
      <c r="I408" s="2" t="s">
        <v>54</v>
      </c>
      <c r="J408" s="2" t="s">
        <v>48</v>
      </c>
      <c r="K408" s="2" t="s">
        <v>53</v>
      </c>
      <c r="L408" s="2" t="s">
        <v>54</v>
      </c>
      <c r="M408" s="2" t="s">
        <v>35</v>
      </c>
      <c r="N408" s="2" t="s">
        <v>492</v>
      </c>
      <c r="O408" s="2">
        <v>6.21</v>
      </c>
      <c r="P408" s="2">
        <v>6.21</v>
      </c>
      <c r="Q408" s="2" t="s">
        <v>125</v>
      </c>
    </row>
    <row r="409" spans="1:17" x14ac:dyDescent="0.35">
      <c r="A409" s="2">
        <v>202612</v>
      </c>
      <c r="B409" s="2">
        <v>46387</v>
      </c>
      <c r="C409" s="2" t="s">
        <v>115</v>
      </c>
      <c r="D409" s="2" t="s">
        <v>112</v>
      </c>
      <c r="E409" s="2">
        <v>1200</v>
      </c>
      <c r="F409" s="2" t="s">
        <v>344</v>
      </c>
      <c r="G409" s="2" t="s">
        <v>345</v>
      </c>
      <c r="H409" s="2">
        <v>6050</v>
      </c>
      <c r="I409" s="2" t="s">
        <v>493</v>
      </c>
      <c r="J409" s="2" t="s">
        <v>48</v>
      </c>
      <c r="K409" s="2" t="s">
        <v>49</v>
      </c>
      <c r="L409" s="2" t="s">
        <v>50</v>
      </c>
      <c r="M409" s="2" t="s">
        <v>35</v>
      </c>
      <c r="N409" s="2" t="s">
        <v>494</v>
      </c>
      <c r="O409" s="2">
        <v>4.55</v>
      </c>
      <c r="P409" s="2">
        <v>4.55</v>
      </c>
      <c r="Q409" s="2" t="s">
        <v>125</v>
      </c>
    </row>
    <row r="410" spans="1:17" x14ac:dyDescent="0.35">
      <c r="A410" s="2">
        <v>202612</v>
      </c>
      <c r="B410" s="2">
        <v>46387</v>
      </c>
      <c r="C410" s="2" t="s">
        <v>115</v>
      </c>
      <c r="D410" s="2" t="s">
        <v>112</v>
      </c>
      <c r="E410" s="2">
        <v>1300</v>
      </c>
      <c r="F410" s="2" t="s">
        <v>348</v>
      </c>
      <c r="G410" s="2" t="s">
        <v>349</v>
      </c>
      <c r="H410" s="2">
        <v>3900</v>
      </c>
      <c r="I410" s="2" t="s">
        <v>31</v>
      </c>
      <c r="J410" s="2" t="s">
        <v>13</v>
      </c>
      <c r="K410" s="2" t="s">
        <v>31</v>
      </c>
      <c r="L410" s="2" t="s">
        <v>31</v>
      </c>
      <c r="M410" s="2" t="s">
        <v>15</v>
      </c>
      <c r="N410" s="2" t="s">
        <v>485</v>
      </c>
      <c r="O410" s="2">
        <v>23.664999999999999</v>
      </c>
      <c r="P410" s="2">
        <v>-23.664999999999999</v>
      </c>
      <c r="Q410" s="2" t="s">
        <v>125</v>
      </c>
    </row>
    <row r="411" spans="1:17" x14ac:dyDescent="0.35">
      <c r="A411" s="2">
        <v>202612</v>
      </c>
      <c r="B411" s="2">
        <v>46387</v>
      </c>
      <c r="C411" s="2" t="s">
        <v>115</v>
      </c>
      <c r="D411" s="2" t="s">
        <v>112</v>
      </c>
      <c r="E411" s="2">
        <v>1300</v>
      </c>
      <c r="F411" s="2" t="s">
        <v>348</v>
      </c>
      <c r="G411" s="2" t="s">
        <v>349</v>
      </c>
      <c r="H411" s="2">
        <v>3400</v>
      </c>
      <c r="I411" s="2" t="s">
        <v>486</v>
      </c>
      <c r="J411" s="2" t="s">
        <v>13</v>
      </c>
      <c r="K411" s="2" t="s">
        <v>22</v>
      </c>
      <c r="L411" s="2" t="s">
        <v>23</v>
      </c>
      <c r="M411" s="2" t="s">
        <v>15</v>
      </c>
      <c r="N411" s="2" t="s">
        <v>487</v>
      </c>
      <c r="O411" s="2">
        <v>2.2759999999999998</v>
      </c>
      <c r="P411" s="2">
        <v>-2.2759999999999998</v>
      </c>
      <c r="Q411" s="2" t="s">
        <v>125</v>
      </c>
    </row>
    <row r="412" spans="1:17" x14ac:dyDescent="0.35">
      <c r="A412" s="2">
        <v>202612</v>
      </c>
      <c r="B412" s="2">
        <v>46387</v>
      </c>
      <c r="C412" s="2" t="s">
        <v>115</v>
      </c>
      <c r="D412" s="2" t="s">
        <v>112</v>
      </c>
      <c r="E412" s="2">
        <v>1300</v>
      </c>
      <c r="F412" s="2" t="s">
        <v>348</v>
      </c>
      <c r="G412" s="2" t="s">
        <v>349</v>
      </c>
      <c r="H412" s="2">
        <v>3670</v>
      </c>
      <c r="I412" s="2" t="s">
        <v>488</v>
      </c>
      <c r="J412" s="2" t="s">
        <v>13</v>
      </c>
      <c r="K412" s="2" t="s">
        <v>29</v>
      </c>
      <c r="L412" s="2" t="s">
        <v>30</v>
      </c>
      <c r="M412" s="2" t="s">
        <v>15</v>
      </c>
      <c r="N412" s="2" t="s">
        <v>489</v>
      </c>
      <c r="O412" s="2">
        <v>1.032</v>
      </c>
      <c r="P412" s="2">
        <v>-1.032</v>
      </c>
      <c r="Q412" s="2" t="s">
        <v>125</v>
      </c>
    </row>
    <row r="413" spans="1:17" x14ac:dyDescent="0.35">
      <c r="A413" s="2">
        <v>202612</v>
      </c>
      <c r="B413" s="2">
        <v>46387</v>
      </c>
      <c r="C413" s="2" t="s">
        <v>115</v>
      </c>
      <c r="D413" s="2" t="s">
        <v>112</v>
      </c>
      <c r="E413" s="2">
        <v>1300</v>
      </c>
      <c r="F413" s="2" t="s">
        <v>348</v>
      </c>
      <c r="G413" s="2" t="s">
        <v>349</v>
      </c>
      <c r="H413" s="2">
        <v>5000</v>
      </c>
      <c r="I413" s="2" t="s">
        <v>490</v>
      </c>
      <c r="J413" s="2" t="s">
        <v>33</v>
      </c>
      <c r="K413" s="2" t="s">
        <v>34</v>
      </c>
      <c r="L413" s="2" t="s">
        <v>36</v>
      </c>
      <c r="M413" s="2" t="s">
        <v>35</v>
      </c>
      <c r="N413" s="2" t="s">
        <v>491</v>
      </c>
      <c r="O413" s="2">
        <v>14.718999999999999</v>
      </c>
      <c r="P413" s="2">
        <v>14.718999999999999</v>
      </c>
      <c r="Q413" s="2" t="s">
        <v>125</v>
      </c>
    </row>
    <row r="414" spans="1:17" x14ac:dyDescent="0.35">
      <c r="A414" s="2">
        <v>202612</v>
      </c>
      <c r="B414" s="2">
        <v>46387</v>
      </c>
      <c r="C414" s="2" t="s">
        <v>115</v>
      </c>
      <c r="D414" s="2" t="s">
        <v>112</v>
      </c>
      <c r="E414" s="2">
        <v>1300</v>
      </c>
      <c r="F414" s="2" t="s">
        <v>348</v>
      </c>
      <c r="G414" s="2" t="s">
        <v>349</v>
      </c>
      <c r="H414" s="2">
        <v>6300</v>
      </c>
      <c r="I414" s="2" t="s">
        <v>54</v>
      </c>
      <c r="J414" s="2" t="s">
        <v>48</v>
      </c>
      <c r="K414" s="2" t="s">
        <v>53</v>
      </c>
      <c r="L414" s="2" t="s">
        <v>54</v>
      </c>
      <c r="M414" s="2" t="s">
        <v>35</v>
      </c>
      <c r="N414" s="2" t="s">
        <v>492</v>
      </c>
      <c r="O414" s="2">
        <v>5.29</v>
      </c>
      <c r="P414" s="2">
        <v>5.29</v>
      </c>
      <c r="Q414" s="2" t="s">
        <v>125</v>
      </c>
    </row>
    <row r="415" spans="1:17" x14ac:dyDescent="0.35">
      <c r="A415" s="2">
        <v>202612</v>
      </c>
      <c r="B415" s="2">
        <v>46387</v>
      </c>
      <c r="C415" s="2" t="s">
        <v>115</v>
      </c>
      <c r="D415" s="2" t="s">
        <v>112</v>
      </c>
      <c r="E415" s="2">
        <v>1300</v>
      </c>
      <c r="F415" s="2" t="s">
        <v>348</v>
      </c>
      <c r="G415" s="2" t="s">
        <v>349</v>
      </c>
      <c r="H415" s="2">
        <v>6050</v>
      </c>
      <c r="I415" s="2" t="s">
        <v>493</v>
      </c>
      <c r="J415" s="2" t="s">
        <v>48</v>
      </c>
      <c r="K415" s="2" t="s">
        <v>49</v>
      </c>
      <c r="L415" s="2" t="s">
        <v>50</v>
      </c>
      <c r="M415" s="2" t="s">
        <v>35</v>
      </c>
      <c r="N415" s="2" t="s">
        <v>494</v>
      </c>
      <c r="O415" s="2">
        <v>2.73</v>
      </c>
      <c r="P415" s="2">
        <v>2.73</v>
      </c>
      <c r="Q415" s="2" t="s">
        <v>125</v>
      </c>
    </row>
    <row r="416" spans="1:17" x14ac:dyDescent="0.35">
      <c r="A416" s="2">
        <v>202612</v>
      </c>
      <c r="B416" s="2">
        <v>46387</v>
      </c>
      <c r="C416" s="2" t="s">
        <v>115</v>
      </c>
      <c r="D416" s="2" t="s">
        <v>112</v>
      </c>
      <c r="E416" s="2">
        <v>1400</v>
      </c>
      <c r="F416" s="2" t="s">
        <v>352</v>
      </c>
      <c r="G416" s="2" t="s">
        <v>353</v>
      </c>
      <c r="H416" s="2">
        <v>3900</v>
      </c>
      <c r="I416" s="2" t="s">
        <v>31</v>
      </c>
      <c r="J416" s="2" t="s">
        <v>13</v>
      </c>
      <c r="K416" s="2" t="s">
        <v>31</v>
      </c>
      <c r="L416" s="2" t="s">
        <v>31</v>
      </c>
      <c r="M416" s="2" t="s">
        <v>15</v>
      </c>
      <c r="N416" s="2" t="s">
        <v>485</v>
      </c>
      <c r="O416" s="2">
        <v>13.375</v>
      </c>
      <c r="P416" s="2">
        <v>-13.375</v>
      </c>
      <c r="Q416" s="2" t="s">
        <v>125</v>
      </c>
    </row>
    <row r="417" spans="1:17" x14ac:dyDescent="0.35">
      <c r="A417" s="2">
        <v>202612</v>
      </c>
      <c r="B417" s="2">
        <v>46387</v>
      </c>
      <c r="C417" s="2" t="s">
        <v>115</v>
      </c>
      <c r="D417" s="2" t="s">
        <v>112</v>
      </c>
      <c r="E417" s="2">
        <v>1400</v>
      </c>
      <c r="F417" s="2" t="s">
        <v>352</v>
      </c>
      <c r="G417" s="2" t="s">
        <v>353</v>
      </c>
      <c r="H417" s="2">
        <v>3400</v>
      </c>
      <c r="I417" s="2" t="s">
        <v>486</v>
      </c>
      <c r="J417" s="2" t="s">
        <v>13</v>
      </c>
      <c r="K417" s="2" t="s">
        <v>22</v>
      </c>
      <c r="L417" s="2" t="s">
        <v>23</v>
      </c>
      <c r="M417" s="2" t="s">
        <v>15</v>
      </c>
      <c r="N417" s="2" t="s">
        <v>487</v>
      </c>
      <c r="O417" s="2">
        <v>1.3660000000000001</v>
      </c>
      <c r="P417" s="2">
        <v>-1.3660000000000001</v>
      </c>
      <c r="Q417" s="2" t="s">
        <v>125</v>
      </c>
    </row>
    <row r="418" spans="1:17" x14ac:dyDescent="0.35">
      <c r="A418" s="2">
        <v>202612</v>
      </c>
      <c r="B418" s="2">
        <v>46387</v>
      </c>
      <c r="C418" s="2" t="s">
        <v>115</v>
      </c>
      <c r="D418" s="2" t="s">
        <v>112</v>
      </c>
      <c r="E418" s="2">
        <v>1400</v>
      </c>
      <c r="F418" s="2" t="s">
        <v>352</v>
      </c>
      <c r="G418" s="2" t="s">
        <v>353</v>
      </c>
      <c r="H418" s="2">
        <v>3670</v>
      </c>
      <c r="I418" s="2" t="s">
        <v>488</v>
      </c>
      <c r="J418" s="2" t="s">
        <v>13</v>
      </c>
      <c r="K418" s="2" t="s">
        <v>29</v>
      </c>
      <c r="L418" s="2" t="s">
        <v>30</v>
      </c>
      <c r="M418" s="2" t="s">
        <v>15</v>
      </c>
      <c r="N418" s="2" t="s">
        <v>489</v>
      </c>
      <c r="O418" s="2">
        <v>0.621</v>
      </c>
      <c r="P418" s="2">
        <v>-0.621</v>
      </c>
      <c r="Q418" s="2" t="s">
        <v>125</v>
      </c>
    </row>
    <row r="419" spans="1:17" x14ac:dyDescent="0.35">
      <c r="A419" s="2">
        <v>202612</v>
      </c>
      <c r="B419" s="2">
        <v>46387</v>
      </c>
      <c r="C419" s="2" t="s">
        <v>115</v>
      </c>
      <c r="D419" s="2" t="s">
        <v>112</v>
      </c>
      <c r="E419" s="2">
        <v>1400</v>
      </c>
      <c r="F419" s="2" t="s">
        <v>352</v>
      </c>
      <c r="G419" s="2" t="s">
        <v>353</v>
      </c>
      <c r="H419" s="2">
        <v>5000</v>
      </c>
      <c r="I419" s="2" t="s">
        <v>490</v>
      </c>
      <c r="J419" s="2" t="s">
        <v>33</v>
      </c>
      <c r="K419" s="2" t="s">
        <v>34</v>
      </c>
      <c r="L419" s="2" t="s">
        <v>36</v>
      </c>
      <c r="M419" s="2" t="s">
        <v>35</v>
      </c>
      <c r="N419" s="2" t="s">
        <v>491</v>
      </c>
      <c r="O419" s="2">
        <v>8.3190000000000008</v>
      </c>
      <c r="P419" s="2">
        <v>8.3190000000000008</v>
      </c>
      <c r="Q419" s="2" t="s">
        <v>125</v>
      </c>
    </row>
    <row r="420" spans="1:17" x14ac:dyDescent="0.35">
      <c r="A420" s="2">
        <v>202612</v>
      </c>
      <c r="B420" s="2">
        <v>46387</v>
      </c>
      <c r="C420" s="2" t="s">
        <v>115</v>
      </c>
      <c r="D420" s="2" t="s">
        <v>112</v>
      </c>
      <c r="E420" s="2">
        <v>1400</v>
      </c>
      <c r="F420" s="2" t="s">
        <v>352</v>
      </c>
      <c r="G420" s="2" t="s">
        <v>353</v>
      </c>
      <c r="H420" s="2">
        <v>6300</v>
      </c>
      <c r="I420" s="2" t="s">
        <v>54</v>
      </c>
      <c r="J420" s="2" t="s">
        <v>48</v>
      </c>
      <c r="K420" s="2" t="s">
        <v>53</v>
      </c>
      <c r="L420" s="2" t="s">
        <v>54</v>
      </c>
      <c r="M420" s="2" t="s">
        <v>35</v>
      </c>
      <c r="N420" s="2" t="s">
        <v>492</v>
      </c>
      <c r="O420" s="2">
        <v>2.99</v>
      </c>
      <c r="P420" s="2">
        <v>2.99</v>
      </c>
      <c r="Q420" s="2" t="s">
        <v>125</v>
      </c>
    </row>
    <row r="421" spans="1:17" x14ac:dyDescent="0.35">
      <c r="A421" s="2">
        <v>202612</v>
      </c>
      <c r="B421" s="2">
        <v>46387</v>
      </c>
      <c r="C421" s="2" t="s">
        <v>115</v>
      </c>
      <c r="D421" s="2" t="s">
        <v>112</v>
      </c>
      <c r="E421" s="2">
        <v>1400</v>
      </c>
      <c r="F421" s="2" t="s">
        <v>352</v>
      </c>
      <c r="G421" s="2" t="s">
        <v>353</v>
      </c>
      <c r="H421" s="2">
        <v>6050</v>
      </c>
      <c r="I421" s="2" t="s">
        <v>493</v>
      </c>
      <c r="J421" s="2" t="s">
        <v>48</v>
      </c>
      <c r="K421" s="2" t="s">
        <v>49</v>
      </c>
      <c r="L421" s="2" t="s">
        <v>50</v>
      </c>
      <c r="M421" s="2" t="s">
        <v>35</v>
      </c>
      <c r="N421" s="2" t="s">
        <v>494</v>
      </c>
      <c r="O421" s="2">
        <v>1.17</v>
      </c>
      <c r="P421" s="2">
        <v>1.17</v>
      </c>
      <c r="Q421" s="2" t="s">
        <v>125</v>
      </c>
    </row>
    <row r="422" spans="1:17" x14ac:dyDescent="0.35">
      <c r="A422" s="2">
        <v>202612</v>
      </c>
      <c r="B422" s="2">
        <v>46387</v>
      </c>
      <c r="C422" s="2" t="s">
        <v>115</v>
      </c>
      <c r="D422" s="2" t="s">
        <v>112</v>
      </c>
      <c r="E422" s="2">
        <v>1500</v>
      </c>
      <c r="F422" s="2" t="s">
        <v>356</v>
      </c>
      <c r="G422" s="2" t="s">
        <v>357</v>
      </c>
      <c r="H422" s="2">
        <v>3900</v>
      </c>
      <c r="I422" s="2" t="s">
        <v>31</v>
      </c>
      <c r="J422" s="2" t="s">
        <v>13</v>
      </c>
      <c r="K422" s="2" t="s">
        <v>31</v>
      </c>
      <c r="L422" s="2" t="s">
        <v>31</v>
      </c>
      <c r="M422" s="2" t="s">
        <v>15</v>
      </c>
      <c r="N422" s="2" t="s">
        <v>485</v>
      </c>
      <c r="O422" s="2">
        <v>10.29</v>
      </c>
      <c r="P422" s="2">
        <v>-10.29</v>
      </c>
      <c r="Q422" s="2" t="s">
        <v>125</v>
      </c>
    </row>
    <row r="423" spans="1:17" x14ac:dyDescent="0.35">
      <c r="A423" s="2">
        <v>202612</v>
      </c>
      <c r="B423" s="2">
        <v>46387</v>
      </c>
      <c r="C423" s="2" t="s">
        <v>115</v>
      </c>
      <c r="D423" s="2" t="s">
        <v>112</v>
      </c>
      <c r="E423" s="2">
        <v>1500</v>
      </c>
      <c r="F423" s="2" t="s">
        <v>356</v>
      </c>
      <c r="G423" s="2" t="s">
        <v>357</v>
      </c>
      <c r="H423" s="2">
        <v>3400</v>
      </c>
      <c r="I423" s="2" t="s">
        <v>486</v>
      </c>
      <c r="J423" s="2" t="s">
        <v>13</v>
      </c>
      <c r="K423" s="2" t="s">
        <v>22</v>
      </c>
      <c r="L423" s="2" t="s">
        <v>23</v>
      </c>
      <c r="M423" s="2" t="s">
        <v>15</v>
      </c>
      <c r="N423" s="2" t="s">
        <v>487</v>
      </c>
      <c r="O423" s="2">
        <v>0.91100000000000003</v>
      </c>
      <c r="P423" s="2">
        <v>-0.91100000000000003</v>
      </c>
      <c r="Q423" s="2" t="s">
        <v>125</v>
      </c>
    </row>
    <row r="424" spans="1:17" x14ac:dyDescent="0.35">
      <c r="A424" s="2">
        <v>202612</v>
      </c>
      <c r="B424" s="2">
        <v>46387</v>
      </c>
      <c r="C424" s="2" t="s">
        <v>115</v>
      </c>
      <c r="D424" s="2" t="s">
        <v>112</v>
      </c>
      <c r="E424" s="2">
        <v>1500</v>
      </c>
      <c r="F424" s="2" t="s">
        <v>356</v>
      </c>
      <c r="G424" s="2" t="s">
        <v>357</v>
      </c>
      <c r="H424" s="2">
        <v>3670</v>
      </c>
      <c r="I424" s="2" t="s">
        <v>488</v>
      </c>
      <c r="J424" s="2" t="s">
        <v>13</v>
      </c>
      <c r="K424" s="2" t="s">
        <v>29</v>
      </c>
      <c r="L424" s="2" t="s">
        <v>30</v>
      </c>
      <c r="M424" s="2" t="s">
        <v>15</v>
      </c>
      <c r="N424" s="2" t="s">
        <v>489</v>
      </c>
      <c r="O424" s="2">
        <v>0.41099999999999998</v>
      </c>
      <c r="P424" s="2">
        <v>-0.41099999999999998</v>
      </c>
      <c r="Q424" s="2" t="s">
        <v>125</v>
      </c>
    </row>
    <row r="425" spans="1:17" x14ac:dyDescent="0.35">
      <c r="A425" s="2">
        <v>202612</v>
      </c>
      <c r="B425" s="2">
        <v>46387</v>
      </c>
      <c r="C425" s="2" t="s">
        <v>115</v>
      </c>
      <c r="D425" s="2" t="s">
        <v>112</v>
      </c>
      <c r="E425" s="2">
        <v>1500</v>
      </c>
      <c r="F425" s="2" t="s">
        <v>356</v>
      </c>
      <c r="G425" s="2" t="s">
        <v>357</v>
      </c>
      <c r="H425" s="2">
        <v>5000</v>
      </c>
      <c r="I425" s="2" t="s">
        <v>490</v>
      </c>
      <c r="J425" s="2" t="s">
        <v>33</v>
      </c>
      <c r="K425" s="2" t="s">
        <v>34</v>
      </c>
      <c r="L425" s="2" t="s">
        <v>36</v>
      </c>
      <c r="M425" s="2" t="s">
        <v>35</v>
      </c>
      <c r="N425" s="2" t="s">
        <v>491</v>
      </c>
      <c r="O425" s="2">
        <v>6.4</v>
      </c>
      <c r="P425" s="2">
        <v>6.4</v>
      </c>
      <c r="Q425" s="2" t="s">
        <v>125</v>
      </c>
    </row>
    <row r="426" spans="1:17" x14ac:dyDescent="0.35">
      <c r="A426" s="2">
        <v>202612</v>
      </c>
      <c r="B426" s="2">
        <v>46387</v>
      </c>
      <c r="C426" s="2" t="s">
        <v>115</v>
      </c>
      <c r="D426" s="2" t="s">
        <v>112</v>
      </c>
      <c r="E426" s="2">
        <v>1500</v>
      </c>
      <c r="F426" s="2" t="s">
        <v>356</v>
      </c>
      <c r="G426" s="2" t="s">
        <v>357</v>
      </c>
      <c r="H426" s="2">
        <v>6300</v>
      </c>
      <c r="I426" s="2" t="s">
        <v>54</v>
      </c>
      <c r="J426" s="2" t="s">
        <v>48</v>
      </c>
      <c r="K426" s="2" t="s">
        <v>53</v>
      </c>
      <c r="L426" s="2" t="s">
        <v>54</v>
      </c>
      <c r="M426" s="2" t="s">
        <v>35</v>
      </c>
      <c r="N426" s="2" t="s">
        <v>492</v>
      </c>
      <c r="O426" s="2">
        <v>2.2999999999999998</v>
      </c>
      <c r="P426" s="2">
        <v>2.2999999999999998</v>
      </c>
      <c r="Q426" s="2" t="s">
        <v>125</v>
      </c>
    </row>
    <row r="427" spans="1:17" x14ac:dyDescent="0.35">
      <c r="A427" s="2">
        <v>202612</v>
      </c>
      <c r="B427" s="2">
        <v>46387</v>
      </c>
      <c r="C427" s="2" t="s">
        <v>115</v>
      </c>
      <c r="D427" s="2" t="s">
        <v>112</v>
      </c>
      <c r="E427" s="2">
        <v>1500</v>
      </c>
      <c r="F427" s="2" t="s">
        <v>356</v>
      </c>
      <c r="G427" s="2" t="s">
        <v>357</v>
      </c>
      <c r="H427" s="2">
        <v>6050</v>
      </c>
      <c r="I427" s="2" t="s">
        <v>493</v>
      </c>
      <c r="J427" s="2" t="s">
        <v>48</v>
      </c>
      <c r="K427" s="2" t="s">
        <v>49</v>
      </c>
      <c r="L427" s="2" t="s">
        <v>50</v>
      </c>
      <c r="M427" s="2" t="s">
        <v>35</v>
      </c>
      <c r="N427" s="2" t="s">
        <v>494</v>
      </c>
      <c r="O427" s="2">
        <v>0.91</v>
      </c>
      <c r="P427" s="2">
        <v>0.91</v>
      </c>
      <c r="Q427" s="2" t="s">
        <v>125</v>
      </c>
    </row>
    <row r="428" spans="1:17" x14ac:dyDescent="0.35">
      <c r="A428" s="2">
        <v>202612</v>
      </c>
      <c r="B428" s="2">
        <v>46387</v>
      </c>
      <c r="C428" s="2" t="s">
        <v>115</v>
      </c>
      <c r="D428" s="2" t="s">
        <v>112</v>
      </c>
      <c r="E428" s="2">
        <v>1900</v>
      </c>
      <c r="F428" s="2" t="s">
        <v>360</v>
      </c>
      <c r="G428" s="2" t="s">
        <v>361</v>
      </c>
      <c r="H428" s="2">
        <v>3900</v>
      </c>
      <c r="I428" s="2" t="s">
        <v>31</v>
      </c>
      <c r="J428" s="2" t="s">
        <v>13</v>
      </c>
      <c r="K428" s="2" t="s">
        <v>31</v>
      </c>
      <c r="L428" s="2" t="s">
        <v>31</v>
      </c>
      <c r="M428" s="2" t="s">
        <v>15</v>
      </c>
      <c r="N428" s="2" t="s">
        <v>485</v>
      </c>
      <c r="O428" s="2">
        <v>7.2050000000000001</v>
      </c>
      <c r="P428" s="2">
        <v>-7.2050000000000001</v>
      </c>
      <c r="Q428" s="2" t="s">
        <v>125</v>
      </c>
    </row>
    <row r="429" spans="1:17" x14ac:dyDescent="0.35">
      <c r="A429" s="2">
        <v>202612</v>
      </c>
      <c r="B429" s="2">
        <v>46387</v>
      </c>
      <c r="C429" s="2" t="s">
        <v>115</v>
      </c>
      <c r="D429" s="2" t="s">
        <v>112</v>
      </c>
      <c r="E429" s="2">
        <v>1900</v>
      </c>
      <c r="F429" s="2" t="s">
        <v>360</v>
      </c>
      <c r="G429" s="2" t="s">
        <v>361</v>
      </c>
      <c r="H429" s="2">
        <v>3400</v>
      </c>
      <c r="I429" s="2" t="s">
        <v>486</v>
      </c>
      <c r="J429" s="2" t="s">
        <v>13</v>
      </c>
      <c r="K429" s="2" t="s">
        <v>22</v>
      </c>
      <c r="L429" s="2" t="s">
        <v>23</v>
      </c>
      <c r="M429" s="2" t="s">
        <v>15</v>
      </c>
      <c r="N429" s="2" t="s">
        <v>487</v>
      </c>
      <c r="O429" s="2">
        <v>0.27300000000000002</v>
      </c>
      <c r="P429" s="2">
        <v>-0.27300000000000002</v>
      </c>
      <c r="Q429" s="2" t="s">
        <v>125</v>
      </c>
    </row>
    <row r="430" spans="1:17" x14ac:dyDescent="0.35">
      <c r="A430" s="2">
        <v>202612</v>
      </c>
      <c r="B430" s="2">
        <v>46387</v>
      </c>
      <c r="C430" s="2" t="s">
        <v>115</v>
      </c>
      <c r="D430" s="2" t="s">
        <v>112</v>
      </c>
      <c r="E430" s="2">
        <v>1900</v>
      </c>
      <c r="F430" s="2" t="s">
        <v>360</v>
      </c>
      <c r="G430" s="2" t="s">
        <v>361</v>
      </c>
      <c r="H430" s="2">
        <v>3670</v>
      </c>
      <c r="I430" s="2" t="s">
        <v>488</v>
      </c>
      <c r="J430" s="2" t="s">
        <v>13</v>
      </c>
      <c r="K430" s="2" t="s">
        <v>29</v>
      </c>
      <c r="L430" s="2" t="s">
        <v>30</v>
      </c>
      <c r="M430" s="2" t="s">
        <v>15</v>
      </c>
      <c r="N430" s="2" t="s">
        <v>489</v>
      </c>
      <c r="O430" s="2">
        <v>1.325</v>
      </c>
      <c r="P430" s="2">
        <v>-1.325</v>
      </c>
      <c r="Q430" s="2" t="s">
        <v>125</v>
      </c>
    </row>
    <row r="431" spans="1:17" x14ac:dyDescent="0.35">
      <c r="A431" s="2">
        <v>202612</v>
      </c>
      <c r="B431" s="2">
        <v>46387</v>
      </c>
      <c r="C431" s="2" t="s">
        <v>115</v>
      </c>
      <c r="D431" s="2" t="s">
        <v>112</v>
      </c>
      <c r="E431" s="2">
        <v>1900</v>
      </c>
      <c r="F431" s="2" t="s">
        <v>360</v>
      </c>
      <c r="G431" s="2" t="s">
        <v>361</v>
      </c>
      <c r="H431" s="2">
        <v>5000</v>
      </c>
      <c r="I431" s="2" t="s">
        <v>490</v>
      </c>
      <c r="J431" s="2" t="s">
        <v>33</v>
      </c>
      <c r="K431" s="2" t="s">
        <v>34</v>
      </c>
      <c r="L431" s="2" t="s">
        <v>36</v>
      </c>
      <c r="M431" s="2" t="s">
        <v>35</v>
      </c>
      <c r="N431" s="2" t="s">
        <v>491</v>
      </c>
      <c r="O431" s="2">
        <v>5.1189999999999998</v>
      </c>
      <c r="P431" s="2">
        <v>5.1189999999999998</v>
      </c>
      <c r="Q431" s="2" t="s">
        <v>125</v>
      </c>
    </row>
    <row r="432" spans="1:17" x14ac:dyDescent="0.35">
      <c r="A432" s="2">
        <v>202612</v>
      </c>
      <c r="B432" s="2">
        <v>46387</v>
      </c>
      <c r="C432" s="2" t="s">
        <v>115</v>
      </c>
      <c r="D432" s="2" t="s">
        <v>112</v>
      </c>
      <c r="E432" s="2">
        <v>1900</v>
      </c>
      <c r="F432" s="2" t="s">
        <v>360</v>
      </c>
      <c r="G432" s="2" t="s">
        <v>361</v>
      </c>
      <c r="H432" s="2">
        <v>6300</v>
      </c>
      <c r="I432" s="2" t="s">
        <v>54</v>
      </c>
      <c r="J432" s="2" t="s">
        <v>48</v>
      </c>
      <c r="K432" s="2" t="s">
        <v>53</v>
      </c>
      <c r="L432" s="2" t="s">
        <v>54</v>
      </c>
      <c r="M432" s="2" t="s">
        <v>35</v>
      </c>
      <c r="N432" s="2" t="s">
        <v>492</v>
      </c>
      <c r="O432" s="2">
        <v>1.84</v>
      </c>
      <c r="P432" s="2">
        <v>1.84</v>
      </c>
      <c r="Q432" s="2" t="s">
        <v>125</v>
      </c>
    </row>
    <row r="433" spans="1:17" x14ac:dyDescent="0.35">
      <c r="A433" s="2">
        <v>202612</v>
      </c>
      <c r="B433" s="2">
        <v>46387</v>
      </c>
      <c r="C433" s="2" t="s">
        <v>115</v>
      </c>
      <c r="D433" s="2" t="s">
        <v>112</v>
      </c>
      <c r="E433" s="2">
        <v>1900</v>
      </c>
      <c r="F433" s="2" t="s">
        <v>360</v>
      </c>
      <c r="G433" s="2" t="s">
        <v>361</v>
      </c>
      <c r="H433" s="2">
        <v>6050</v>
      </c>
      <c r="I433" s="2" t="s">
        <v>493</v>
      </c>
      <c r="J433" s="2" t="s">
        <v>48</v>
      </c>
      <c r="K433" s="2" t="s">
        <v>49</v>
      </c>
      <c r="L433" s="2" t="s">
        <v>50</v>
      </c>
      <c r="M433" s="2" t="s">
        <v>35</v>
      </c>
      <c r="N433" s="2" t="s">
        <v>494</v>
      </c>
      <c r="O433" s="2">
        <v>1.17</v>
      </c>
      <c r="P433" s="2">
        <v>1.17</v>
      </c>
      <c r="Q433" s="2" t="s">
        <v>125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CF48E-B5A0-4340-B54B-0E37E4A84586}">
  <dimension ref="A1:J30"/>
  <sheetViews>
    <sheetView tabSelected="1" workbookViewId="0">
      <pane ySplit="9" topLeftCell="A10" activePane="bottomLeft" state="frozen"/>
      <selection pane="bottomLeft" activeCell="B10" sqref="B10"/>
    </sheetView>
  </sheetViews>
  <sheetFormatPr defaultRowHeight="14.5" x14ac:dyDescent="0.35"/>
  <cols>
    <col min="1" max="2" width="13.08984375" customWidth="1"/>
    <col min="3" max="3" width="20.90625" customWidth="1"/>
    <col min="4" max="4" width="29.08984375" customWidth="1"/>
    <col min="5" max="5" width="17.26953125" customWidth="1"/>
    <col min="6" max="6" width="54.54296875" customWidth="1"/>
    <col min="7" max="7" width="20" customWidth="1"/>
    <col min="8" max="8" width="16" customWidth="1"/>
    <col min="9" max="9" width="37.26953125" customWidth="1"/>
    <col min="10" max="10" width="16.7265625" customWidth="1"/>
  </cols>
  <sheetData>
    <row r="1" spans="1:10" ht="28" customHeight="1" x14ac:dyDescent="0.35">
      <c r="A1" s="27" t="s">
        <v>530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8" customHeight="1" x14ac:dyDescent="0.35">
      <c r="A2" s="27"/>
      <c r="B2" s="27"/>
      <c r="C2" s="27"/>
      <c r="D2" s="27"/>
      <c r="E2" s="27"/>
      <c r="F2" s="27"/>
      <c r="G2" s="27"/>
      <c r="H2" s="27"/>
      <c r="I2" s="27"/>
      <c r="J2" s="27"/>
    </row>
    <row r="3" spans="1:10" ht="22" customHeight="1" x14ac:dyDescent="0.35">
      <c r="A3" s="28" t="s">
        <v>531</v>
      </c>
      <c r="B3" s="28"/>
      <c r="C3" s="28"/>
      <c r="D3" s="28"/>
      <c r="E3" s="28"/>
      <c r="F3" s="28"/>
      <c r="G3" s="28"/>
      <c r="H3" s="28"/>
      <c r="I3" s="28"/>
      <c r="J3" s="28"/>
    </row>
    <row r="4" spans="1:10" x14ac:dyDescent="0.3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24" customHeight="1" x14ac:dyDescent="0.35">
      <c r="A5" s="29" t="s">
        <v>532</v>
      </c>
      <c r="B5" s="29"/>
      <c r="C5" s="29" t="s">
        <v>533</v>
      </c>
      <c r="D5" s="29"/>
      <c r="E5" s="29" t="s">
        <v>534</v>
      </c>
      <c r="F5" s="29"/>
      <c r="G5" s="30" t="s">
        <v>535</v>
      </c>
      <c r="H5" s="30"/>
      <c r="I5" s="30" t="s">
        <v>536</v>
      </c>
      <c r="J5" s="30"/>
    </row>
    <row r="6" spans="1:10" ht="24" customHeight="1" x14ac:dyDescent="0.5">
      <c r="A6" s="34">
        <f>FactFacultyKPI!J8</f>
        <v>-11</v>
      </c>
      <c r="B6" s="34"/>
      <c r="C6" s="35">
        <f>ABS(SUM(FactAction!D2:D6)-SUM(FactAction!E2:E6))</f>
        <v>6</v>
      </c>
      <c r="D6" s="35"/>
      <c r="E6" s="35">
        <f>SUMIFS('Avvik budsjett actual'!I2:I37,'Avvik budsjett actual'!D2:D37,5000,'Avvik budsjett actual'!I2:I37,"&gt;0")</f>
        <v>14.555</v>
      </c>
      <c r="F6" s="35"/>
      <c r="G6" s="35">
        <f>SUMIFS('Avvik budsjett actual'!I2:I37,'Avvik budsjett actual'!D2:D37,3400,'Avvik budsjett actual'!I2:I37,"&gt;0")</f>
        <v>3.8420000000000005</v>
      </c>
      <c r="H6" s="35"/>
      <c r="I6" s="36">
        <f>COUNTIF(B10:B19,"Høy")</f>
        <v>7</v>
      </c>
      <c r="J6" s="36"/>
    </row>
    <row r="7" spans="1:10" x14ac:dyDescent="0.35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x14ac:dyDescent="0.35">
      <c r="A8" s="26" t="s">
        <v>537</v>
      </c>
      <c r="B8" s="26"/>
      <c r="C8" s="26"/>
      <c r="D8" s="26"/>
      <c r="E8" s="26"/>
      <c r="F8" s="26"/>
      <c r="G8" s="26"/>
      <c r="H8" s="26"/>
      <c r="I8" s="26"/>
      <c r="J8" s="26"/>
    </row>
    <row r="9" spans="1:10" x14ac:dyDescent="0.35">
      <c r="A9" s="1" t="s">
        <v>538</v>
      </c>
      <c r="B9" s="1" t="s">
        <v>539</v>
      </c>
      <c r="C9" s="1" t="s">
        <v>540</v>
      </c>
      <c r="D9" s="1" t="s">
        <v>541</v>
      </c>
      <c r="E9" s="1" t="s">
        <v>542</v>
      </c>
      <c r="F9" s="1" t="s">
        <v>543</v>
      </c>
      <c r="G9" s="1" t="s">
        <v>544</v>
      </c>
      <c r="H9" s="1" t="s">
        <v>369</v>
      </c>
      <c r="I9" s="1" t="s">
        <v>545</v>
      </c>
      <c r="J9" s="1" t="s">
        <v>370</v>
      </c>
    </row>
    <row r="10" spans="1:10" ht="43.5" x14ac:dyDescent="0.35">
      <c r="A10" s="31" t="s">
        <v>546</v>
      </c>
      <c r="B10" s="31" t="s">
        <v>547</v>
      </c>
      <c r="C10" s="1" t="s">
        <v>548</v>
      </c>
      <c r="D10" s="33" t="s">
        <v>549</v>
      </c>
      <c r="E10" s="32">
        <f>FactFacultyKPI!J8</f>
        <v>-11</v>
      </c>
      <c r="F10" s="33" t="s">
        <v>550</v>
      </c>
      <c r="G10" s="1" t="s">
        <v>551</v>
      </c>
      <c r="H10" s="31" t="s">
        <v>552</v>
      </c>
      <c r="I10" s="33" t="s">
        <v>553</v>
      </c>
      <c r="J10" s="31" t="s">
        <v>554</v>
      </c>
    </row>
    <row r="11" spans="1:10" ht="29" x14ac:dyDescent="0.35">
      <c r="A11" s="31" t="s">
        <v>555</v>
      </c>
      <c r="B11" s="31" t="s">
        <v>547</v>
      </c>
      <c r="C11" s="1" t="s">
        <v>361</v>
      </c>
      <c r="D11" s="33" t="s">
        <v>556</v>
      </c>
      <c r="E11" s="32">
        <f>FactFacultyKPI!J7</f>
        <v>-8.6999999999999993</v>
      </c>
      <c r="F11" s="33" t="s">
        <v>557</v>
      </c>
      <c r="G11" s="1" t="s">
        <v>376</v>
      </c>
      <c r="H11" s="31" t="s">
        <v>558</v>
      </c>
      <c r="I11" s="33" t="s">
        <v>559</v>
      </c>
      <c r="J11" s="31" t="s">
        <v>560</v>
      </c>
    </row>
    <row r="12" spans="1:10" ht="43.5" x14ac:dyDescent="0.35">
      <c r="A12" s="31" t="s">
        <v>561</v>
      </c>
      <c r="B12" s="31" t="s">
        <v>547</v>
      </c>
      <c r="C12" s="1" t="s">
        <v>349</v>
      </c>
      <c r="D12" s="33" t="s">
        <v>562</v>
      </c>
      <c r="E12" s="32">
        <f>FactFacultyKPI!J4</f>
        <v>-5.3</v>
      </c>
      <c r="F12" s="33" t="s">
        <v>563</v>
      </c>
      <c r="G12" s="1" t="s">
        <v>350</v>
      </c>
      <c r="H12" s="31" t="s">
        <v>564</v>
      </c>
      <c r="I12" s="33" t="s">
        <v>565</v>
      </c>
      <c r="J12" s="31" t="s">
        <v>560</v>
      </c>
    </row>
    <row r="13" spans="1:10" ht="43.5" x14ac:dyDescent="0.35">
      <c r="A13" s="31" t="s">
        <v>566</v>
      </c>
      <c r="B13" s="31" t="s">
        <v>547</v>
      </c>
      <c r="C13" s="1" t="s">
        <v>345</v>
      </c>
      <c r="D13" s="33" t="s">
        <v>567</v>
      </c>
      <c r="E13" s="32">
        <f>FactFacultyKPI!J3</f>
        <v>-1.9</v>
      </c>
      <c r="F13" s="33" t="s">
        <v>568</v>
      </c>
      <c r="G13" s="1" t="s">
        <v>346</v>
      </c>
      <c r="H13" s="31" t="s">
        <v>558</v>
      </c>
      <c r="I13" s="33" t="s">
        <v>569</v>
      </c>
      <c r="J13" s="31" t="s">
        <v>383</v>
      </c>
    </row>
    <row r="14" spans="1:10" ht="29" x14ac:dyDescent="0.35">
      <c r="A14" s="31" t="s">
        <v>570</v>
      </c>
      <c r="B14" s="31" t="s">
        <v>571</v>
      </c>
      <c r="C14" s="1" t="s">
        <v>357</v>
      </c>
      <c r="D14" s="33" t="s">
        <v>572</v>
      </c>
      <c r="E14" s="32">
        <f>FactFacultyKPI!J6</f>
        <v>-0.3</v>
      </c>
      <c r="F14" s="33" t="s">
        <v>573</v>
      </c>
      <c r="G14" s="1" t="s">
        <v>358</v>
      </c>
      <c r="H14" s="31" t="s">
        <v>564</v>
      </c>
      <c r="I14" s="33" t="s">
        <v>574</v>
      </c>
      <c r="J14" s="31" t="s">
        <v>575</v>
      </c>
    </row>
    <row r="15" spans="1:10" ht="43.5" x14ac:dyDescent="0.35">
      <c r="A15" s="31" t="s">
        <v>576</v>
      </c>
      <c r="B15" s="31" t="s">
        <v>577</v>
      </c>
      <c r="C15" s="1" t="s">
        <v>340</v>
      </c>
      <c r="D15" s="33" t="s">
        <v>578</v>
      </c>
      <c r="E15" s="32">
        <f>FactFacultyKPI!J2</f>
        <v>2.2000000000000002</v>
      </c>
      <c r="F15" s="33" t="s">
        <v>579</v>
      </c>
      <c r="G15" s="1" t="s">
        <v>342</v>
      </c>
      <c r="H15" s="31" t="s">
        <v>558</v>
      </c>
      <c r="I15" s="33" t="s">
        <v>580</v>
      </c>
      <c r="J15" s="31" t="s">
        <v>581</v>
      </c>
    </row>
    <row r="16" spans="1:10" ht="43.5" x14ac:dyDescent="0.35">
      <c r="A16" s="31" t="s">
        <v>582</v>
      </c>
      <c r="B16" s="31" t="s">
        <v>577</v>
      </c>
      <c r="C16" s="1" t="s">
        <v>353</v>
      </c>
      <c r="D16" s="33" t="s">
        <v>583</v>
      </c>
      <c r="E16" s="32">
        <f>FactFacultyKPI!J5</f>
        <v>3</v>
      </c>
      <c r="F16" s="33" t="s">
        <v>584</v>
      </c>
      <c r="G16" s="1" t="s">
        <v>354</v>
      </c>
      <c r="H16" s="31" t="s">
        <v>585</v>
      </c>
      <c r="I16" s="33" t="s">
        <v>586</v>
      </c>
      <c r="J16" s="31" t="s">
        <v>587</v>
      </c>
    </row>
    <row r="17" spans="1:10" ht="43.5" x14ac:dyDescent="0.35">
      <c r="A17" s="31" t="s">
        <v>588</v>
      </c>
      <c r="B17" s="31" t="s">
        <v>547</v>
      </c>
      <c r="C17" s="1" t="s">
        <v>589</v>
      </c>
      <c r="D17" s="33" t="s">
        <v>590</v>
      </c>
      <c r="E17" s="32">
        <f>SUMIFS('Avvik budsjett actual'!I2:I37,'Avvik budsjett actual'!D2:D37,5000,'Avvik budsjett actual'!I2:I37,"&gt;0")</f>
        <v>14.555</v>
      </c>
      <c r="F17" s="33" t="s">
        <v>591</v>
      </c>
      <c r="G17" s="1" t="s">
        <v>592</v>
      </c>
      <c r="H17" s="31" t="s">
        <v>552</v>
      </c>
      <c r="I17" s="33" t="s">
        <v>593</v>
      </c>
      <c r="J17" s="31" t="s">
        <v>554</v>
      </c>
    </row>
    <row r="18" spans="1:10" ht="29" x14ac:dyDescent="0.35">
      <c r="A18" s="31" t="s">
        <v>594</v>
      </c>
      <c r="B18" s="31" t="s">
        <v>547</v>
      </c>
      <c r="C18" s="1" t="s">
        <v>595</v>
      </c>
      <c r="D18" s="33" t="s">
        <v>596</v>
      </c>
      <c r="E18" s="32">
        <f>SUMIFS('Avvik budsjett actual'!I2:I37,'Avvik budsjett actual'!D2:D37,3400,'Avvik budsjett actual'!I2:I37,"&gt;0")</f>
        <v>3.8420000000000005</v>
      </c>
      <c r="F18" s="33" t="s">
        <v>597</v>
      </c>
      <c r="G18" s="1" t="s">
        <v>598</v>
      </c>
      <c r="H18" s="31" t="s">
        <v>558</v>
      </c>
      <c r="I18" s="33" t="s">
        <v>599</v>
      </c>
      <c r="J18" s="31" t="s">
        <v>383</v>
      </c>
    </row>
    <row r="19" spans="1:10" ht="29" x14ac:dyDescent="0.35">
      <c r="A19" s="31" t="s">
        <v>600</v>
      </c>
      <c r="B19" s="31" t="s">
        <v>547</v>
      </c>
      <c r="C19" s="1" t="s">
        <v>601</v>
      </c>
      <c r="D19" s="33" t="s">
        <v>602</v>
      </c>
      <c r="E19" s="32">
        <f>ABS(SUM(FactAction!D2:D6)-SUM(FactAction!E2:E6))</f>
        <v>6</v>
      </c>
      <c r="F19" s="33" t="s">
        <v>603</v>
      </c>
      <c r="G19" s="1" t="s">
        <v>551</v>
      </c>
      <c r="H19" s="31" t="s">
        <v>552</v>
      </c>
      <c r="I19" s="33" t="s">
        <v>604</v>
      </c>
      <c r="J19" s="31" t="s">
        <v>605</v>
      </c>
    </row>
    <row r="20" spans="1:10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3">
    <mergeCell ref="I5:J5"/>
    <mergeCell ref="I6:J6"/>
    <mergeCell ref="A8:J8"/>
    <mergeCell ref="A1:J2"/>
    <mergeCell ref="A3:J3"/>
    <mergeCell ref="A5:B5"/>
    <mergeCell ref="A6:B6"/>
    <mergeCell ref="C5:D5"/>
    <mergeCell ref="C6:D6"/>
    <mergeCell ref="E5:F5"/>
    <mergeCell ref="E6:F6"/>
    <mergeCell ref="G5:H5"/>
    <mergeCell ref="G6:H6"/>
  </mergeCells>
  <conditionalFormatting sqref="B10:B19">
    <cfRule type="expression" dxfId="5" priority="1">
      <formula>$B10="Høy"</formula>
    </cfRule>
  </conditionalFormatting>
  <conditionalFormatting sqref="B10:B19">
    <cfRule type="expression" dxfId="4" priority="2">
      <formula>$B10="Middels"</formula>
    </cfRule>
  </conditionalFormatting>
  <conditionalFormatting sqref="B10:B19">
    <cfRule type="expression" dxfId="3" priority="3">
      <formula>$B10="Lav"</formula>
    </cfRule>
  </conditionalFormatting>
  <conditionalFormatting sqref="J10:J19">
    <cfRule type="expression" dxfId="2" priority="4">
      <formula>LEFT($J10,1)="🔴"</formula>
    </cfRule>
  </conditionalFormatting>
  <conditionalFormatting sqref="J10:J19">
    <cfRule type="expression" dxfId="1" priority="5">
      <formula>LEFT($J10,1)="🟡"</formula>
    </cfRule>
  </conditionalFormatting>
  <conditionalFormatting sqref="J10:J19">
    <cfRule type="expression" dxfId="0" priority="6">
      <formula>LEFT($J10,1)="🟢"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Overordnet rapport</vt:lpstr>
      <vt:lpstr>Fakultetsrapport</vt:lpstr>
      <vt:lpstr>DimAccountHierarchy</vt:lpstr>
      <vt:lpstr>DimDate</vt:lpstr>
      <vt:lpstr>DimForecastVersion</vt:lpstr>
      <vt:lpstr>DimKPI</vt:lpstr>
      <vt:lpstr>DimOrganization</vt:lpstr>
      <vt:lpstr>FactAction</vt:lpstr>
      <vt:lpstr>FactEVM</vt:lpstr>
      <vt:lpstr>FactFacultyKPI</vt:lpstr>
      <vt:lpstr>FactFTE</vt:lpstr>
      <vt:lpstr>FactStudents</vt:lpstr>
      <vt:lpstr>Relationships</vt:lpstr>
      <vt:lpstr>Avvik budsjett actual</vt:lpstr>
      <vt:lpstr>EVM sammendrag</vt:lpstr>
      <vt:lpstr>FactBudget</vt:lpstr>
      <vt:lpstr>FactGL</vt:lpstr>
      <vt:lpstr>YTD regnskap</vt:lpstr>
      <vt:lpstr>Anbefalte tiltak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Ellingsen</dc:creator>
  <cp:lastModifiedBy>Frank Ellingsen</cp:lastModifiedBy>
  <dcterms:created xsi:type="dcterms:W3CDTF">2026-09-27T12:28:15Z</dcterms:created>
  <dcterms:modified xsi:type="dcterms:W3CDTF">2026-09-27T15:47:46Z</dcterms:modified>
</cp:coreProperties>
</file>