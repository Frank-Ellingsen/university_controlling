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rank\Desktop\UIA2\HHU\"/>
    </mc:Choice>
  </mc:AlternateContent>
  <xr:revisionPtr revIDLastSave="0" documentId="13_ncr:1_{0BB25519-F38D-48DF-B96F-AE02ED0FEE47}" xr6:coauthVersionLast="47" xr6:coauthVersionMax="47" xr10:uidLastSave="{00000000-0000-0000-0000-000000000000}"/>
  <bookViews>
    <workbookView xWindow="-120" yWindow="-16320" windowWidth="29040" windowHeight="15720" xr2:uid="{42CB6622-B1BC-4A21-A0FB-DBE4D087FF10}"/>
  </bookViews>
  <sheets>
    <sheet name="Executive Report" sheetId="35" r:id="rId1"/>
    <sheet name="Unit Analysis" sheetId="37" r:id="rId2"/>
    <sheet name="Variance Actions" sheetId="39" r:id="rId3"/>
    <sheet name="2027 Plan Report" sheetId="38" r:id="rId4"/>
    <sheet name="Budget Process 2027" sheetId="40" r:id="rId5"/>
    <sheet name="Forecast Methods 2027" sheetId="41" r:id="rId6"/>
    <sheet name="Model Guide" sheetId="34" r:id="rId7"/>
    <sheet name="gr_data" sheetId="16" r:id="rId8"/>
    <sheet name="bud2026" sheetId="14" r:id="rId9"/>
    <sheet name="bud2027" sheetId="15" r:id="rId10"/>
    <sheet name="org_data" sheetId="1" r:id="rId11"/>
    <sheet name="meta_data" sheetId="2" r:id="rId12"/>
    <sheet name="bud_prosess" sheetId="3" r:id="rId13"/>
    <sheet name="bud_prosess2" sheetId="4" r:id="rId14"/>
    <sheet name="bud_metoder" sheetId="5" r:id="rId15"/>
    <sheet name="bud_metoder2" sheetId="6" r:id="rId16"/>
    <sheet name="meta_data2" sheetId="7" r:id="rId17"/>
    <sheet name="DimAccountHierarchy" sheetId="17" r:id="rId18"/>
    <sheet name="DimDate" sheetId="18" r:id="rId19"/>
    <sheet name="DimDate_2027" sheetId="19" r:id="rId20"/>
    <sheet name="DimForecastVersion" sheetId="20" r:id="rId21"/>
    <sheet name="DimOrganization" sheetId="21" r:id="rId22"/>
    <sheet name="Relationships" sheetId="22" r:id="rId23"/>
    <sheet name="FactAction" sheetId="23" r:id="rId24"/>
    <sheet name="FactAction_2027" sheetId="24" r:id="rId25"/>
    <sheet name="FactEVM" sheetId="25" r:id="rId26"/>
    <sheet name="FactFTE" sheetId="26" r:id="rId27"/>
    <sheet name="FactFTE_2027" sheetId="27" r:id="rId28"/>
    <sheet name="FactStudents" sheetId="28" r:id="rId29"/>
    <sheet name="FactStudents_2027" sheetId="29" r:id="rId30"/>
    <sheet name="FactBudget" sheetId="30" r:id="rId31"/>
    <sheet name="FactBudget_2027" sheetId="31" r:id="rId32"/>
    <sheet name="FactGL" sheetId="32" r:id="rId33"/>
    <sheet name="DAX Measures" sheetId="33" r:id="rId34"/>
    <sheet name="Chart Data" sheetId="36" state="hidden"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5" i="41" l="1"/>
  <c r="M5" i="40"/>
  <c r="J5" i="40" a="1"/>
  <c r="J5" i="40" s="1"/>
  <c r="G5" i="40"/>
  <c r="D5" i="40"/>
  <c r="A5" i="40" a="1"/>
  <c r="A5" i="40" s="1"/>
  <c r="E21" i="39"/>
  <c r="D21" i="39"/>
  <c r="E20" i="39"/>
  <c r="D20" i="39"/>
  <c r="E19" i="39"/>
  <c r="D19" i="39"/>
  <c r="E18" i="39"/>
  <c r="D18" i="39"/>
  <c r="E17" i="39"/>
  <c r="D17" i="39"/>
  <c r="E16" i="39"/>
  <c r="D16" i="39"/>
  <c r="E15" i="39"/>
  <c r="D15" i="39"/>
  <c r="E14" i="39"/>
  <c r="D14" i="39"/>
  <c r="E13" i="39"/>
  <c r="D13" i="39"/>
  <c r="F13" i="39" s="1"/>
  <c r="H13" i="39" s="1"/>
  <c r="E12" i="39"/>
  <c r="D12" i="39"/>
  <c r="E11" i="39"/>
  <c r="D11" i="39"/>
  <c r="G5" i="39"/>
  <c r="A5" i="39"/>
  <c r="G16" i="37"/>
  <c r="G15" i="37"/>
  <c r="G14" i="37"/>
  <c r="G13" i="37"/>
  <c r="I15" i="38"/>
  <c r="H15" i="38"/>
  <c r="G15" i="38"/>
  <c r="F15" i="38"/>
  <c r="C15" i="38" a="1"/>
  <c r="C15" i="38" s="1"/>
  <c r="I14" i="38"/>
  <c r="H14" i="38"/>
  <c r="G14" i="38"/>
  <c r="F14" i="38"/>
  <c r="C14" i="38" a="1"/>
  <c r="C14" i="38" s="1"/>
  <c r="I13" i="38"/>
  <c r="H13" i="38"/>
  <c r="G13" i="38"/>
  <c r="F13" i="38"/>
  <c r="C13" i="38" a="1"/>
  <c r="C13" i="38" s="1"/>
  <c r="I12" i="38"/>
  <c r="H12" i="38"/>
  <c r="G12" i="38"/>
  <c r="F12" i="38"/>
  <c r="C12" i="38" a="1"/>
  <c r="C12" i="38" s="1"/>
  <c r="M5" i="38"/>
  <c r="J5" i="38" a="1"/>
  <c r="J5" i="38" s="1"/>
  <c r="G5" i="38"/>
  <c r="D5" i="38"/>
  <c r="A5" i="38" a="1"/>
  <c r="A5" i="38" s="1"/>
  <c r="F16" i="37"/>
  <c r="F15" i="37"/>
  <c r="F14" i="37"/>
  <c r="F13" i="37"/>
  <c r="J8" i="37"/>
  <c r="I8" i="37"/>
  <c r="H8" i="37"/>
  <c r="G8" i="37"/>
  <c r="F8" i="37"/>
  <c r="E8" i="37"/>
  <c r="D8" i="37"/>
  <c r="C8" i="37"/>
  <c r="J7" i="37"/>
  <c r="I7" i="37"/>
  <c r="H7" i="37"/>
  <c r="G7" i="37"/>
  <c r="F7" i="37"/>
  <c r="E7" i="37"/>
  <c r="D7" i="37"/>
  <c r="C7" i="37"/>
  <c r="J6" i="37"/>
  <c r="I6" i="37"/>
  <c r="H6" i="37"/>
  <c r="G6" i="37"/>
  <c r="F6" i="37"/>
  <c r="E6" i="37"/>
  <c r="D6" i="37"/>
  <c r="C6" i="37"/>
  <c r="J5" i="37"/>
  <c r="I5" i="37"/>
  <c r="H5" i="37"/>
  <c r="G5" i="37"/>
  <c r="F5" i="37"/>
  <c r="E5" i="37"/>
  <c r="D5" i="37"/>
  <c r="C5" i="37"/>
  <c r="M7" i="35"/>
  <c r="M5" i="35"/>
  <c r="J7" i="35"/>
  <c r="J5" i="35"/>
  <c r="G7" i="35"/>
  <c r="G5" i="35"/>
  <c r="D7" i="35"/>
  <c r="D5" i="35"/>
  <c r="A7" i="35"/>
  <c r="A5" i="35"/>
  <c r="B9" i="34"/>
  <c r="B8" i="34"/>
  <c r="B7" i="34" a="1"/>
  <c r="B7" i="34" s="1"/>
  <c r="B6" i="34"/>
  <c r="B5" i="34"/>
  <c r="F12" i="39" l="1"/>
  <c r="H12" i="39" s="1"/>
  <c r="F16" i="39"/>
  <c r="G16" i="39" s="1"/>
  <c r="F20" i="39"/>
  <c r="F17" i="39"/>
  <c r="H17" i="39" s="1"/>
  <c r="F21" i="39"/>
  <c r="F14" i="39"/>
  <c r="H14" i="39" s="1"/>
  <c r="F18" i="39"/>
  <c r="F11" i="39"/>
  <c r="F15" i="39"/>
  <c r="H15" i="39" s="1"/>
  <c r="F19" i="39"/>
  <c r="H19" i="39" s="1"/>
  <c r="K7" i="36"/>
  <c r="E5" i="39"/>
  <c r="C5" i="39"/>
  <c r="K2" i="36"/>
  <c r="G20" i="39"/>
  <c r="K11" i="36"/>
  <c r="K6" i="36"/>
  <c r="G15" i="39"/>
  <c r="K4" i="36"/>
  <c r="G13" i="39"/>
  <c r="K8" i="36"/>
  <c r="G19" i="39"/>
  <c r="K10" i="36"/>
  <c r="G12" i="39"/>
  <c r="K3" i="36"/>
  <c r="D15" i="38"/>
  <c r="E15" i="38" s="1"/>
  <c r="D14" i="38"/>
  <c r="E14" i="38" s="1"/>
  <c r="D13" i="38"/>
  <c r="E13" i="38" s="1"/>
  <c r="D12" i="38"/>
  <c r="E12" i="38" s="1"/>
  <c r="G11" i="39" l="1"/>
  <c r="H11" i="39" s="1"/>
  <c r="H21" i="39"/>
  <c r="K9" i="36"/>
  <c r="G14" i="39"/>
  <c r="G18" i="39"/>
  <c r="H18" i="39" s="1"/>
  <c r="K5" i="36"/>
  <c r="H20" i="39"/>
  <c r="H16" i="39"/>
  <c r="G21" i="39"/>
  <c r="K12" i="36"/>
  <c r="G17"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<sst xmlns="http://schemas.openxmlformats.org/spreadsheetml/2006/main" count="10102" uniqueCount="2735">
  <si>
    <t>Use Case: Seniorrådgiver / Senior Controller ved Handelshøyskolen (HHU) – Universitetet i Agder</t>
  </si>
  <si>
    <t>1. Stillingsprofil &amp; Strategisk Kontekst</t>
  </si>
  <si>
    <t>+----------------------------------------------------------------------------------------------------+</t>
  </si>
  <si>
    <t>|  ORGANISATORISK PLASSERING OG RAPPORTERINGSLINJE                                                  |</t>
  </si>
  <si>
    <t>|  Universitetsdirektør / Sentral Økonomiavdeling  &lt;---&gt;  Dekan &amp; Fakultetsstyre ved HHU              |</t>
  </si>
  <si>
    <t>|                                                               │                                    |</t>
  </si>
  <si>
    <t>|                                                     Fakultetsdirektør                              |</t>
  </si>
  <si>
    <t>|                                         Seniorrådgiver / Senior Controller (Kode 1364)            |</t>
  </si>
  <si>
    <t>|                                 Økonomiteam, Instituttledere &amp; Prosjektledere (BOA)               |</t>
  </si>
  <si>
    <t>2. Kjerneproblem &amp; Strategiske Utfordringer (The Scenario)</t>
  </si>
  <si>
    <t>3. Operasjonell Arbeidsflyt for Seniorrådgiveren</t>
  </si>
  <si>
    <t xml:space="preserve">   [ FASE 1: DATAINTEGRASJON ]     Hent bilag fra Unit4 ERP (FactGL), UBW Planlegger, FS og SAP Lønn</t>
  </si>
  <si>
    <t xml:space="preserve">                │</t>
  </si>
  <si>
    <t xml:space="preserve">                ▼</t>
  </si>
  <si>
    <t xml:space="preserve">   [ FASE 2: DRIVERANALYSE ]       Evaluer Lønnsandel %, Frikjøpsgrad, SPE60-produksjon og TDI Overhead</t>
  </si>
  <si>
    <t xml:space="preserve">   [ FASE 3: PROGNOSE &amp; LE ]       Oppdater Latest Estimate (LE) per tertial (T1/T2/T3 Cutoff)</t>
  </si>
  <si>
    <t xml:space="preserve">   [ FASE 4: BESLUTNINGSSTØTTE ]   Legg frem 2–3 handlingsalternativer for Dekan og Fakultetsdirektør</t>
  </si>
  <si>
    <t xml:space="preserve">   [ FASE 5: POWER BI RAG ]        Publiser oppdaterte nøkkeltall og FactAction-tiltak i Power BI</t>
  </si>
  <si>
    <t>Fase 1: Månedlig regnskaps- og balansekontroll (Unit4 ERP &amp; SRS)</t>
  </si>
  <si>
    <t>Fase 2: Driverbasert bemannings- og frikjøpsanalyse</t>
  </si>
  <si>
    <t>Fase 3: Rullende prognoser (Latest Estimate – LE) &amp; Bærekraftsbro</t>
  </si>
  <si>
    <t>Ved tertialrapportering (T1/T2/T3) bygger seniorrådgiveren en avstemmingsbro fra bokført regnskap (Actuals YTD M01–M09) via forventet ressursbruk i Q4 (ETC) til endelig helårsprognose (LE / EAC).</t>
  </si>
  <si>
    <t>Analyser om fakultetets lønnsandel overstiger målet om maksimalt 65,0 % av inntektene (HHU ligger på 64,9 % av total inntekt / 65,4 % av kostnader).</t>
  </si>
  <si>
    <t>Fase 4: Beslutningsstøtte til Fakultetsledelsen</t>
  </si>
  <si>
    <t>Når det oppstår avvik, unngår seniorrådgiveren passiv tallrapportering og presenterer i stedet konkrete handlingsalternativer med konsekvensanalyse:</t>
  </si>
  <si>
    <t>4. Power BI Cockpit &amp; DAX-målekoder for HHU</t>
  </si>
  <si>
    <t>+---------------------------------------------------------------------------------------------------+</t>
  </si>
  <si>
    <t>|  POWER BI DASHBOARD — HANDELSHØYSKOLEN VED UIA (HHU)                                               |</t>
  </si>
  <si>
    <t>| [ CARD 1: Total Inntekt ]    [ CARD 2: Netto Resultat ]  [ CARD 3: Bemanningsvolum ] [ CARD 4: SPE60 ] |</t>
  </si>
  <si>
    <t>| 276,6 MNOK (Budsj: 0.0%)    +2,2 MNOK (Grønn 🟢)        230 ÅV (155 UF / 75 TA)     3 120 SPE60     |</t>
  </si>
  <si>
    <t>| (YoY +2.8% | MoM +0.4%)     (Overskudd til formål)      (Lønnsandel: 65.4%)         (22.3 Stud/UF)  |</t>
  </si>
  <si>
    <t>Spesifikke DAX-målekoder for HHU-analyser:</t>
  </si>
  <si>
    <t>// 1. HHU Samlet Inntekt (MNOK)</t>
  </si>
  <si>
    <t xml:space="preserve">HHU Total Revenue = </t>
  </si>
  <si>
    <t>CALCULATE(</t>
  </si>
  <si>
    <t xml:space="preserve">    [Forecast LE (EAC)],</t>
  </si>
  <si>
    <t xml:space="preserve">    'DimOrganization'[Fakultetsnavn] = "Handelshøyskolen ved UiA (HHU)",</t>
  </si>
  <si>
    <t xml:space="preserve">    'DimAccountHierarchy'[Nivaa1_Navn] = "Salgs- og driftsinntekt"</t>
  </si>
  <si>
    <t>)</t>
  </si>
  <si>
    <t>// 2. HHU Lønnsandel % av Totale Driftskostnader</t>
  </si>
  <si>
    <t xml:space="preserve">HHU Lønnsandel % = </t>
  </si>
  <si>
    <t>VAR Lonn = CALCULATE([Forecast LE (EAC)], 'DimOrganization'[Fakultetsnavn] = "Handelshøyskolen ved UiA (HHU)", 'DimAccountHierarchy'[Nivaa1_Navn] = "Lønnskostnad")</t>
  </si>
  <si>
    <t>VAR TotalKost = CALCULATE([Forecast LE (EAC)], 'DimOrganization'[Fakultetsnavn] = "Handelshøyskolen ved UiA (HHU)", 'DimAccountHierarchy'[Kontotype] = "Kostnad")</t>
  </si>
  <si>
    <t>RETURN DIVIDE(Lonn, TotalKost, 0)</t>
  </si>
  <si>
    <t>// 3. HHU Studenter pr Faglig Årsverk (Lærertetthet)</t>
  </si>
  <si>
    <t xml:space="preserve">HHU Studenter pr UF-Årsverk = </t>
  </si>
  <si>
    <t>VAR Studenter = CALCULATE(SUM('FactStudents'[RegistrerteStudenter]), 'DimOrganization'[Fakultetsnavn] = "Handelshøyskolen ved UiA (HHU)")</t>
  </si>
  <si>
    <t>VAR UF = CALCULATE(SUM('FactFTE'[Aarsverk]), 'DimOrganization'[Fakultetsnavn] = "Handelshøyskolen ved UiA (HHU)", 'FactFTE'[Stillingstype] = "UF")</t>
  </si>
  <si>
    <t>RETURN DIVIDE(Studenter, UF, 0)</t>
  </si>
  <si>
    <t>// 4. HHU Frikjøpsdekningsgrad (BOA / Total Lønn)</t>
  </si>
  <si>
    <t xml:space="preserve">HHU BOA Frikjøpsgrad = </t>
  </si>
  <si>
    <t>VAR BOALonn = CALCULATE(SUM('FactGL'[Belop_signert]), 'DimOrganization'[Fakultetsnavn] = "Handelshøyskolen ved UiA (HHU)", 'DimAccountHierarchy'[Nivaa1_Navn] = "Lønnskostnad", 'DimOrganization'[Virksomhetstype] = "BOA")</t>
  </si>
  <si>
    <t>VAR TotalLonn = CALCULATE(SUM('FactGL'[Belop_signert]), 'DimOrganization'[Fakultetsnavn] = "Handelshøyskolen ved UiA (HHU)", 'DimAccountHierarchy'[Nivaa1_Navn] = "Lønnskostnad")</t>
  </si>
  <si>
    <t>RETURN DIVIDE(BOALonn, TotalLonn, 0)</t>
  </si>
  <si>
    <t>// 5. HHU RAG Status (Resultat &amp; Berekraft)</t>
  </si>
  <si>
    <t xml:space="preserve">HHU RAG Status = </t>
  </si>
  <si>
    <t>VAR Resultat = CALCULATE([Sluttavvik (VAC)], 'DimOrganization'[Fakultetsnavn] = "Handelshøyskolen ved UiA (HHU)")</t>
  </si>
  <si>
    <t>RETURN</t>
  </si>
  <si>
    <t>IF(Resultat &gt;= 0, "🟢 Overskudd / I henhold til ramme",</t>
  </si>
  <si>
    <t xml:space="preserve">    IF(Resultat &gt;= -2.0, "🟡 Moderat merforbruk (&lt; 2 MNOK)", "🔴 Kritisk merforbruk (&gt; 2 MNOK)")</t>
  </si>
  <si>
    <t>5. Leveranser og Suksesskriterier for Seniorrådgiveren</t>
  </si>
  <si>
    <t>Område</t>
  </si>
  <si>
    <t>Mål og Kvalitetskrav</t>
  </si>
  <si>
    <t>Evaluering &amp; Dokumentasjon</t>
  </si>
  <si>
    <t>Kvalitetssikring av Budsjett</t>
  </si>
  <si>
    <t>Konsolidere HHUs årsbudsjett i UBW Planlegger med korrekte sosiale kostnader, realistisk vakansfaktor og avstemt studiepoengprognose.</t>
  </si>
  <si>
    <t>Sjekkliste for systemfrys i Q4 fullført uten avvik.</t>
  </si>
  <si>
    <t>BOA- og TDI-oppfølging</t>
  </si>
  <si>
    <t>Sikre 100 % korrekt periodisering etter SRS 10 for NFR/EU-bidrag og full overhead-dekning på oppdragskontrakter.</t>
  </si>
  <si>
    <t>Null uidentifiserte avsetningstap ved tertialavslutning.</t>
  </si>
  <si>
    <t>Beslutningsstøtte til Dekan</t>
  </si>
  <si>
    <t>Utarbeide tertialvise månedsrapporter med "So What?"-analyse, RAG-status og 2–3 konkrete handlingsalternativer ved avvik.</t>
  </si>
  <si>
    <t>Presentert for dekan og instituttledere i dialogmøter.</t>
  </si>
  <si>
    <t>Power BI Cockpit</t>
  </si>
  <si>
    <t>Opprettholde rollestyrt tilgang (RLS) på fakultets- og instituttnivå, og sikre oppdaterte Power BI-dashbord i tråd med 3-30-300-regelen og Tufte-</t>
  </si>
  <si>
    <r>
      <t>Handelshøyskolen ved UiA (HHU) er internasjonalt AACSB-akkreditert, organisert i tre institutter (</t>
    </r>
    <r>
      <rPr>
        <i/>
        <sz val="9"/>
        <color rgb="FF303030"/>
        <rFont val="Arial"/>
        <family val="2"/>
      </rPr>
      <t>Ledelse og innovasjon</t>
    </r>
    <r>
      <rPr>
        <sz val="9"/>
        <color rgb="FF303030"/>
        <rFont val="Arial"/>
        <family val="2"/>
      </rPr>
      <t xml:space="preserve">, </t>
    </r>
    <r>
      <rPr>
        <i/>
        <sz val="9"/>
        <color rgb="FF303030"/>
        <rFont val="Arial"/>
        <family val="2"/>
      </rPr>
      <t>Rettsvitenskap</t>
    </r>
    <r>
      <rPr>
        <sz val="9"/>
        <color rgb="FF303030"/>
        <rFont val="Arial"/>
        <family val="2"/>
      </rPr>
      <t xml:space="preserve">, </t>
    </r>
    <r>
      <rPr>
        <i/>
        <sz val="9"/>
        <color rgb="FF303030"/>
        <rFont val="Arial"/>
        <family val="2"/>
      </rPr>
      <t>Økonomi</t>
    </r>
    <r>
      <rPr>
        <sz val="9"/>
        <color rgb="FF303030"/>
        <rFont val="Arial"/>
        <family val="2"/>
      </rPr>
      <t xml:space="preserve">) samt fakultetsadministrasjonen, med Hovedarbeidssted på Campus Kristiansand. Fakultetet håndterer om lag 3 450 registrerte studenter (3 120 SPE60-ekvivalenter), 230 årsverk (155 faglige UF-årsverk og 75 teknisk-administrative TA-årsverk) og en samlet helårsramme i 2026 på </t>
    </r>
    <r>
      <rPr>
        <b/>
        <sz val="9"/>
        <color rgb="FF303030"/>
        <rFont val="Arial"/>
        <family val="2"/>
      </rPr>
      <t>276,6 MNOK</t>
    </r>
    <r>
      <rPr>
        <sz val="9"/>
        <color rgb="FF303030"/>
        <rFont val="Arial"/>
        <family val="2"/>
      </rPr>
      <t xml:space="preserve"> i inntekter mot </t>
    </r>
    <r>
      <rPr>
        <b/>
        <sz val="9"/>
        <color rgb="FF303030"/>
        <rFont val="Arial"/>
        <family val="2"/>
      </rPr>
      <t>274,4 MNOK</t>
    </r>
    <r>
      <rPr>
        <sz val="9"/>
        <color rgb="FF303030"/>
        <rFont val="Arial"/>
        <family val="2"/>
      </rPr>
      <t xml:space="preserve"> i kostnader (netto avvik/overskudd: </t>
    </r>
    <r>
      <rPr>
        <b/>
        <sz val="9"/>
        <color rgb="FF303030"/>
        <rFont val="Arial"/>
        <family val="2"/>
      </rPr>
      <t>+2,2 MNOK</t>
    </r>
    <r>
      <rPr>
        <sz val="9"/>
        <color rgb="FF303030"/>
        <rFont val="Arial"/>
        <family val="2"/>
      </rPr>
      <t>).</t>
    </r>
  </si>
  <si>
    <r>
      <t xml:space="preserve">Stillingen som </t>
    </r>
    <r>
      <rPr>
        <b/>
        <sz val="9"/>
        <color rgb="FF303030"/>
        <rFont val="Arial"/>
        <family val="2"/>
      </rPr>
      <t>Seniorrådgiver / Senior Controller (stillingskode 1364)</t>
    </r>
    <r>
      <rPr>
        <sz val="9"/>
        <color rgb="FF303030"/>
        <rFont val="Arial"/>
        <family val="2"/>
      </rPr>
      <t xml:space="preserve"> inngår i fakultetets økonomiteam i fakultetsadministrasjonen, rapporterer direkte til fakultetsdirektøren, og leverer strategisk beslutningsstøtte til dekan, instituttledere og sentral økonomiavdeling.</t>
    </r>
  </si>
  <si>
    <r>
      <t xml:space="preserve">Selv om HHU leverer et positivt regnskapsresultat på </t>
    </r>
    <r>
      <rPr>
        <b/>
        <sz val="9"/>
        <color rgb="FF303030"/>
        <rFont val="Arial"/>
        <family val="2"/>
      </rPr>
      <t>+2,2 MNOK</t>
    </r>
    <r>
      <rPr>
        <sz val="9"/>
        <color rgb="FF303030"/>
        <rFont val="Arial"/>
        <family val="2"/>
      </rPr>
      <t xml:space="preserve"> i 2026, avdekker driveranalysen fire underliggende strukturelle utfordringer som krever aktiv oppfølging fra seniorrådgiveren:</t>
    </r>
  </si>
  <si>
    <r>
      <t>Høy studenttetthet og KDs 2025-finansieringsmodell (Kategori 1):</t>
    </r>
    <r>
      <rPr>
        <sz val="9"/>
        <color rgb="FF303030"/>
        <rFont val="Arial"/>
        <family val="2"/>
      </rPr>
      <t xml:space="preserve"> HHUs studier (økonomi, ledelse, juss) plasseres i KDs </t>
    </r>
    <r>
      <rPr>
        <b/>
        <sz val="9"/>
        <color rgb="FF303030"/>
        <rFont val="Arial"/>
        <family val="2"/>
      </rPr>
      <t>Kategori 1</t>
    </r>
    <r>
      <rPr>
        <sz val="9"/>
        <color rgb="FF303030"/>
        <rFont val="Arial"/>
        <family val="2"/>
      </rPr>
      <t xml:space="preserve"> (54 550 NOK per 60 SPE). Fakultetet har en lærertetthet på </t>
    </r>
    <r>
      <rPr>
        <b/>
        <sz val="9"/>
        <color rgb="FF303030"/>
        <rFont val="Arial"/>
        <family val="2"/>
      </rPr>
      <t>22,3 studenter per UF-årsverk</t>
    </r>
    <r>
      <rPr>
        <sz val="9"/>
        <color rgb="FF303030"/>
        <rFont val="Arial"/>
        <family val="2"/>
      </rPr>
      <t>. Under nettobudsjetteringsprinsippet vil volumendringer kun utløse Kategori 1-satser, som i praksis ikke dekker de reelle undervisnings- og oppfølgingskostnadene ved nye studieplasser.</t>
    </r>
  </si>
  <si>
    <r>
      <t>Krav om AACSB-akkreditering vs. avviklet publiseringsinsentiv:</t>
    </r>
    <r>
      <rPr>
        <sz val="9"/>
        <color rgb="FF303030"/>
        <rFont val="Arial"/>
        <family val="2"/>
      </rPr>
      <t xml:space="preserve"> KDs nye finansieringsmodell fra 2025 har innlemmet tidligere resultatuttelling for publisering og BOA i basisbevilgningen. HHU må opprettholde høy forskningsinnsats (publiseringspoeng per vitenskapelig ansatt) for å beholde sin internasjonale AACSB-akkreditering, uten at økt publisering gir automatisk inntektsvekst fra staten.</t>
    </r>
  </si>
  <si>
    <r>
      <t>Prosjektøkonomi og frikjøp (BOA &amp; TDI-modellen):</t>
    </r>
    <r>
      <rPr>
        <sz val="9"/>
        <color rgb="FF303030"/>
        <rFont val="Arial"/>
        <family val="2"/>
      </rPr>
      <t xml:space="preserve"> For å frigjøre faglig kapasitet og finansiere rekrutteringsstillinger (PhD/Postdok) må seniorrådgiveren stimulere til økt frikjøp (</t>
    </r>
    <r>
      <rPr>
        <i/>
        <sz val="9"/>
        <color rgb="FF303030"/>
        <rFont val="Arial"/>
        <family val="2"/>
      </rPr>
      <t>buy-out</t>
    </r>
    <r>
      <rPr>
        <sz val="9"/>
        <color rgb="FF303030"/>
        <rFont val="Arial"/>
        <family val="2"/>
      </rPr>
      <t xml:space="preserve">) i NFR- og EU-prosjekter. Dette krever presis bruk av </t>
    </r>
    <r>
      <rPr>
        <b/>
        <sz val="9"/>
        <color rgb="FF303030"/>
        <rFont val="Arial"/>
        <family val="2"/>
      </rPr>
      <t>TDI-modellen</t>
    </r>
    <r>
      <rPr>
        <sz val="9"/>
        <color rgb="FF303030"/>
        <rFont val="Arial"/>
        <family val="2"/>
      </rPr>
      <t xml:space="preserve"> for å sikre full dekning av direkte kostnader og indirekte felleskostnader (overhead på ca. 22 %) etter SRS 10 (motsatt sammenstilling).</t>
    </r>
  </si>
  <si>
    <r>
      <t>Risikostyring på etter- og videreutdanning (EVU / Oppdrag etter SRS 9):</t>
    </r>
    <r>
      <rPr>
        <sz val="9"/>
        <color rgb="FF303030"/>
        <rFont val="Arial"/>
        <family val="2"/>
      </rPr>
      <t xml:space="preserve"> Ved oppdragsutdanninger (f.eks. </t>
    </r>
    <r>
      <rPr>
        <i/>
        <sz val="9"/>
        <color rgb="FF303030"/>
        <rFont val="Arial"/>
        <family val="2"/>
      </rPr>
      <t>EVU001</t>
    </r>
    <r>
      <rPr>
        <sz val="9"/>
        <color rgb="FF303030"/>
        <rFont val="Arial"/>
        <family val="2"/>
      </rPr>
      <t>) hvor oppdragsgiver krever spesifikke leveranser, må inntektsføringen skje etter fullføringsgrad (SRS 9). Merforbruk på oppdrag utløser krav om umiddelbar avsetning for forventet tap (konto 7790/2800).</t>
    </r>
  </si>
  <si>
    <r>
      <t>SRS 10 (Bidragsforskning - NFR/EU):</t>
    </r>
    <r>
      <rPr>
        <sz val="9"/>
        <color rgb="FF303030"/>
        <rFont val="Arial"/>
        <family val="2"/>
      </rPr>
      <t xml:space="preserve"> Avstem at bevilgningsinntekter på konto 3400/3420 inntektsføres eksakt i takt med påløpte prosjektkostnader, og at mottatt forskuddsbetaling balanseføres korrekt på konto 2180.</t>
    </r>
  </si>
  <si>
    <r>
      <t>SRS 9 (Oppdrag &amp; EVU):</t>
    </r>
    <r>
      <rPr>
        <sz val="9"/>
        <color rgb="FF303030"/>
        <rFont val="Arial"/>
        <family val="2"/>
      </rPr>
      <t xml:space="preserve"> Kontroller at oppdragsforskning på konto 3630 og EVU på konto 3600 inntektsføres etter faktiske milepæler, og at eventuelle tapsbringende prosjekter avsettes umiddelbart.</t>
    </r>
  </si>
  <si>
    <r>
      <t>Internkontroll &amp; BtB (Behov til betaling):</t>
    </r>
    <r>
      <rPr>
        <sz val="9"/>
        <color rgb="FF303030"/>
        <rFont val="Arial"/>
        <family val="2"/>
      </rPr>
      <t xml:space="preserve"> Verifiser attestasjon og anvisning på konsulentkjøp (konto 6700–6730) og reiseregninger (konto 7130) i tråd med FOA og UiAs fullmaktsmatrise.</t>
    </r>
  </si>
  <si>
    <r>
      <t>Vakansestyring:</t>
    </r>
    <r>
      <rPr>
        <sz val="9"/>
        <color rgb="FF303030"/>
        <rFont val="Arial"/>
        <family val="2"/>
      </rPr>
      <t xml:space="preserve"> Gjennomgå alle ledige stillinger på instituttene. Vurder om 3–6 måneders rekrutteringstid og en vakansfaktor på 3–5 % er lagt inn i UBW Planlegger for å forhindre overbudsjettering av fast lønn (konto 5000).</t>
    </r>
  </si>
  <si>
    <r>
      <t>Frikjøpsbalanse (Buy-out):</t>
    </r>
    <r>
      <rPr>
        <sz val="9"/>
        <color rgb="FF303030"/>
        <rFont val="Arial"/>
        <family val="2"/>
      </rPr>
      <t xml:space="preserve"> Beregn om vitenskapelig ansatte som er lagt inn med f.eks. 20 % frikjøp i NFR-prosjekter faktisk avlastes i undervisningsplanen, slik at lønnskostnaden reelt overføres fra basis til ekstern finansiering.</t>
    </r>
  </si>
  <si>
    <r>
      <t>Svak controller-rapportering:</t>
    </r>
    <r>
      <rPr>
        <sz val="9"/>
        <color rgb="FF303030"/>
        <rFont val="Arial"/>
        <family val="2"/>
      </rPr>
      <t xml:space="preserve"> </t>
    </r>
    <r>
      <rPr>
        <i/>
        <sz val="9"/>
        <color rgb="FF303030"/>
        <rFont val="Arial"/>
        <family val="2"/>
      </rPr>
      <t>"HHU har et merforbruk på driftsmidler på 400 000 kr på Institutt for økonomi per T2."</t>
    </r>
  </si>
  <si>
    <r>
      <t>Sterk controller-rapportering (Seniorrådgiverkode 1364):</t>
    </r>
    <r>
      <rPr>
        <sz val="9"/>
        <color rgb="FF303030"/>
        <rFont val="Arial"/>
        <family val="2"/>
      </rPr>
      <t xml:space="preserve"> </t>
    </r>
    <r>
      <rPr>
        <i/>
        <sz val="9"/>
        <color rgb="FF303030"/>
        <rFont val="Arial"/>
        <family val="2"/>
      </rPr>
      <t>"Merforbruket skyldes forsinket frikjøpsinntektsføring på et NFR-prosjekt. For å beskytte fakultetets nettoresultat på +2,2 MNOK anbefales det å: 1) fremskynde bilagsføringen av NFR-prosjektet iht. SRS 10, og 2) holde én administrativ vakans åpen i Q4. Dette vil sikre at HHU opprettholder sitt positive bidrag til UiAs samlede balanse."</t>
    </r>
  </si>
  <si>
    <r>
      <t xml:space="preserve">Seniorrådgiveren benytter den etablerte Power BI-modellen (stjerneskjema med </t>
    </r>
    <r>
      <rPr>
        <sz val="9"/>
        <color rgb="FF303030"/>
        <rFont val="Google Sans Code"/>
        <family val="3"/>
      </rPr>
      <t>FactGL</t>
    </r>
    <r>
      <rPr>
        <sz val="9"/>
        <color rgb="FF303030"/>
        <rFont val="Arial"/>
        <family val="2"/>
      </rPr>
      <t xml:space="preserve">, </t>
    </r>
    <r>
      <rPr>
        <sz val="9"/>
        <color rgb="FF303030"/>
        <rFont val="Google Sans Code"/>
        <family val="3"/>
      </rPr>
      <t>FactFTE</t>
    </r>
    <r>
      <rPr>
        <sz val="9"/>
        <color rgb="FF303030"/>
        <rFont val="Arial"/>
        <family val="2"/>
      </rPr>
      <t xml:space="preserve">, </t>
    </r>
    <r>
      <rPr>
        <sz val="9"/>
        <color rgb="FF303030"/>
        <rFont val="Google Sans Code"/>
        <family val="3"/>
      </rPr>
      <t>FactStudents</t>
    </r>
    <r>
      <rPr>
        <sz val="9"/>
        <color rgb="FF303030"/>
        <rFont val="Arial"/>
        <family val="2"/>
      </rPr>
      <t xml:space="preserve">, </t>
    </r>
    <r>
      <rPr>
        <sz val="9"/>
        <color rgb="FF303030"/>
        <rFont val="Google Sans Code"/>
        <family val="3"/>
      </rPr>
      <t>DimOrganization</t>
    </r>
    <r>
      <rPr>
        <sz val="9"/>
        <color rgb="FF303030"/>
        <rFont val="Arial"/>
        <family val="2"/>
      </rPr>
      <t xml:space="preserve">, </t>
    </r>
    <r>
      <rPr>
        <sz val="9"/>
        <color rgb="FF303030"/>
        <rFont val="Google Sans Code"/>
        <family val="3"/>
      </rPr>
      <t>DimAccountHierarchy</t>
    </r>
    <r>
      <rPr>
        <sz val="9"/>
        <color rgb="FF303030"/>
        <rFont val="Arial"/>
        <family val="2"/>
      </rPr>
      <t>) for å levere et målgruppetilpasset dashbord til dekan og instituttledere.</t>
    </r>
  </si>
  <si>
    <r>
      <t>complete, realistic CSV dataset</t>
    </r>
    <r>
      <rPr>
        <sz val="11"/>
        <color theme="1"/>
        <rFont val="Aptos Narrow"/>
        <family val="2"/>
        <scheme val="minor"/>
      </rPr>
      <t xml:space="preserve">, along with </t>
    </r>
    <r>
      <rPr>
        <b/>
        <sz val="11"/>
        <color theme="1"/>
        <rFont val="Aptos Narrow"/>
        <family val="2"/>
        <scheme val="minor"/>
      </rPr>
      <t>two technical architecture diagrams</t>
    </r>
    <r>
      <rPr>
        <sz val="11"/>
        <color theme="1"/>
        <rFont val="Aptos Narrow"/>
        <family val="2"/>
        <scheme val="minor"/>
      </rPr>
      <t xml:space="preserve"> tailored specifically to the </t>
    </r>
    <r>
      <rPr>
        <b/>
        <sz val="11"/>
        <color theme="1"/>
        <rFont val="Aptos Narrow"/>
        <family val="2"/>
        <scheme val="minor"/>
      </rPr>
      <t>Handelshøyskolen ved UiA (HHU)</t>
    </r>
    <r>
      <rPr>
        <sz val="11"/>
        <color theme="1"/>
        <rFont val="Aptos Narrow"/>
        <family val="2"/>
        <scheme val="minor"/>
      </rPr>
      <t xml:space="preserve"> financial and operational ecosystem for the 2026 budget year (with </t>
    </r>
    <r>
      <rPr>
        <b/>
        <sz val="11"/>
        <color theme="1"/>
        <rFont val="Aptos Narrow"/>
        <family val="2"/>
        <scheme val="minor"/>
      </rPr>
      <t>Actuals as of September 30, 2026 / M01–M09</t>
    </r>
    <r>
      <rPr>
        <sz val="11"/>
        <color theme="1"/>
        <rFont val="Aptos Narrow"/>
        <family val="2"/>
        <scheme val="minor"/>
      </rPr>
      <t xml:space="preserve"> and </t>
    </r>
    <r>
      <rPr>
        <b/>
        <sz val="11"/>
        <color theme="1"/>
        <rFont val="Aptos Narrow"/>
        <family val="2"/>
        <scheme val="minor"/>
      </rPr>
      <t>Q4 Forecast / M10–M12</t>
    </r>
    <r>
      <rPr>
        <sz val="11"/>
        <color theme="1"/>
        <rFont val="Aptos Narrow"/>
        <family val="2"/>
        <scheme val="minor"/>
      </rPr>
      <t>).</t>
    </r>
  </si>
  <si>
    <r>
      <t xml:space="preserve">All 11 CSV files and both high-resolution diagram images have been generated and published to your </t>
    </r>
    <r>
      <rPr>
        <b/>
        <sz val="11"/>
        <color theme="1"/>
        <rFont val="Aptos Narrow"/>
        <family val="2"/>
        <scheme val="minor"/>
      </rPr>
      <t>Studio panel</t>
    </r>
    <r>
      <rPr>
        <sz val="11"/>
        <color theme="1"/>
        <rFont val="Aptos Narrow"/>
        <family val="2"/>
        <scheme val="minor"/>
      </rPr>
      <t>.</t>
    </r>
  </si>
  <si>
    <t>1. Overview of Generated CSV Dataset (Published to Studio)</t>
  </si>
  <si>
    <r>
      <t>The dataset is formatted with semi-colon (</t>
    </r>
    <r>
      <rPr>
        <sz val="10"/>
        <color theme="1"/>
        <rFont val="Arial Unicode MS"/>
      </rPr>
      <t>;</t>
    </r>
    <r>
      <rPr>
        <sz val="11"/>
        <color theme="1"/>
        <rFont val="Aptos Narrow"/>
        <family val="2"/>
        <scheme val="minor"/>
      </rPr>
      <t>) delimiters and UTF-8 BOM encoding for direct import into Power BI Desktop or Excel [1, 2].</t>
    </r>
  </si>
  <si>
    <t>CSV Filename</t>
  </si>
  <si>
    <t>Table Type</t>
  </si>
  <si>
    <t>Key Contents &amp; HHU-Specific Specifics</t>
  </si>
  <si>
    <t>FactGL.csv</t>
  </si>
  <si>
    <t>Fact Table</t>
  </si>
  <si>
    <r>
      <t xml:space="preserve">Monthly general ledger entries [1]. Contains </t>
    </r>
    <r>
      <rPr>
        <b/>
        <sz val="11"/>
        <color theme="1"/>
        <rFont val="Aptos Narrow"/>
        <family val="2"/>
        <scheme val="minor"/>
      </rPr>
      <t>Actuals (M01–M09)</t>
    </r>
    <r>
      <rPr>
        <sz val="11"/>
        <color theme="1"/>
        <rFont val="Aptos Narrow"/>
        <family val="2"/>
        <scheme val="minor"/>
      </rPr>
      <t xml:space="preserve"> and </t>
    </r>
    <r>
      <rPr>
        <b/>
        <sz val="11"/>
        <color theme="1"/>
        <rFont val="Aptos Narrow"/>
        <family val="2"/>
        <scheme val="minor"/>
      </rPr>
      <t>Forecast Q4 (M10–M12)</t>
    </r>
    <r>
      <rPr>
        <sz val="11"/>
        <color theme="1"/>
        <rFont val="Aptos Narrow"/>
        <family val="2"/>
        <scheme val="minor"/>
      </rPr>
      <t xml:space="preserve"> [1]. Includes HHU transactions for AACSB accreditation audits (Konto 6700 / Project </t>
    </r>
    <r>
      <rPr>
        <sz val="10"/>
        <color theme="1"/>
        <rFont val="Arial Unicode MS"/>
      </rPr>
      <t>AACSB01</t>
    </r>
    <r>
      <rPr>
        <sz val="11"/>
        <color theme="1"/>
        <rFont val="Aptos Narrow"/>
        <family val="2"/>
        <scheme val="minor"/>
      </rPr>
      <t>), EVU001 contract loss provisions (Konto 7790 / SRS 9) [1], and NFR research buy-out (Konto 3400/5000 / SRS 10) [1].</t>
    </r>
  </si>
  <si>
    <t>FactBudget.csv</t>
  </si>
  <si>
    <r>
      <t>Approved 2026 annual budget (</t>
    </r>
    <r>
      <rPr>
        <b/>
        <sz val="11"/>
        <color theme="1"/>
        <rFont val="Aptos Narrow"/>
        <family val="2"/>
        <scheme val="minor"/>
      </rPr>
      <t>BUD2026</t>
    </r>
    <r>
      <rPr>
        <sz val="11"/>
        <color theme="1"/>
        <rFont val="Aptos Narrow"/>
        <family val="2"/>
        <scheme val="minor"/>
      </rPr>
      <t>) periodized by month, department, and account line [1, 3].</t>
    </r>
  </si>
  <si>
    <t>FactFTE.csv</t>
  </si>
  <si>
    <r>
      <t xml:space="preserve">Monthly staffing tracking [1]. For HHU: </t>
    </r>
    <r>
      <rPr>
        <b/>
        <sz val="11"/>
        <color theme="1"/>
        <rFont val="Aptos Narrow"/>
        <family val="2"/>
        <scheme val="minor"/>
      </rPr>
      <t>155 UF FTEs</t>
    </r>
    <r>
      <rPr>
        <sz val="11"/>
        <color theme="1"/>
        <rFont val="Aptos Narrow"/>
        <family val="2"/>
        <scheme val="minor"/>
      </rPr>
      <t xml:space="preserve"> (vitenskapelige) [2], </t>
    </r>
    <r>
      <rPr>
        <b/>
        <sz val="11"/>
        <color theme="1"/>
        <rFont val="Aptos Narrow"/>
        <family val="2"/>
        <scheme val="minor"/>
      </rPr>
      <t>75 TA FTEs</t>
    </r>
    <r>
      <rPr>
        <sz val="11"/>
        <color theme="1"/>
        <rFont val="Aptos Narrow"/>
        <family val="2"/>
        <scheme val="minor"/>
      </rPr>
      <t xml:space="preserve"> (teknisk-administrative) [2], </t>
    </r>
    <r>
      <rPr>
        <b/>
        <sz val="11"/>
        <color theme="1"/>
        <rFont val="Aptos Narrow"/>
        <family val="2"/>
        <scheme val="minor"/>
      </rPr>
      <t>252 staff members</t>
    </r>
    <r>
      <rPr>
        <sz val="11"/>
        <color theme="1"/>
        <rFont val="Aptos Narrow"/>
        <family val="2"/>
        <scheme val="minor"/>
      </rPr>
      <t>, vacancy counts, and monthly salary expenses [1].</t>
    </r>
  </si>
  <si>
    <t>FactStudents.csv</t>
  </si>
  <si>
    <r>
      <t xml:space="preserve">Student metrics and credit production [1]. Tracks HHU’s </t>
    </r>
    <r>
      <rPr>
        <b/>
        <sz val="11"/>
        <color theme="1"/>
        <rFont val="Aptos Narrow"/>
        <family val="2"/>
        <scheme val="minor"/>
      </rPr>
      <t>3,450 registered students</t>
    </r>
    <r>
      <rPr>
        <sz val="11"/>
        <color theme="1"/>
        <rFont val="Aptos Narrow"/>
        <family val="2"/>
        <scheme val="minor"/>
      </rPr>
      <t xml:space="preserve">, </t>
    </r>
    <r>
      <rPr>
        <b/>
        <sz val="11"/>
        <color theme="1"/>
        <rFont val="Aptos Narrow"/>
        <family val="2"/>
        <scheme val="minor"/>
      </rPr>
      <t>3,120 SPE60</t>
    </r>
    <r>
      <rPr>
        <sz val="11"/>
        <color theme="1"/>
        <rFont val="Aptos Narrow"/>
        <family val="2"/>
        <scheme val="minor"/>
      </rPr>
      <t xml:space="preserve"> (helårsstudenter), </t>
    </r>
    <r>
      <rPr>
        <b/>
        <sz val="11"/>
        <color theme="1"/>
        <rFont val="Aptos Narrow"/>
        <family val="2"/>
        <scheme val="minor"/>
      </rPr>
      <t>KD Category 1 rates</t>
    </r>
    <r>
      <rPr>
        <sz val="11"/>
        <color theme="1"/>
        <rFont val="Aptos Narrow"/>
        <family val="2"/>
        <scheme val="minor"/>
      </rPr>
      <t xml:space="preserve"> (54,550 NOK/60 SPE), and student-to-faculty ratio (</t>
    </r>
    <r>
      <rPr>
        <b/>
        <sz val="11"/>
        <color theme="1"/>
        <rFont val="Aptos Narrow"/>
        <family val="2"/>
        <scheme val="minor"/>
      </rPr>
      <t>22.3 students/UF</t>
    </r>
    <r>
      <rPr>
        <sz val="11"/>
        <color theme="1"/>
        <rFont val="Aptos Narrow"/>
        <family val="2"/>
        <scheme val="minor"/>
      </rPr>
      <t>) [2, 4].</t>
    </r>
  </si>
  <si>
    <t>FactEVM.csv</t>
  </si>
  <si>
    <r>
      <t xml:space="preserve">Earned Value parameters per month [1, 5]. BAC = </t>
    </r>
    <r>
      <rPr>
        <b/>
        <sz val="11"/>
        <color theme="1"/>
        <rFont val="Aptos Narrow"/>
        <family val="2"/>
        <scheme val="minor"/>
      </rPr>
      <t>1,433.0 MNOK</t>
    </r>
    <r>
      <rPr>
        <sz val="11"/>
        <color theme="1"/>
        <rFont val="Aptos Narrow"/>
        <family val="2"/>
        <scheme val="minor"/>
      </rPr>
      <t xml:space="preserve">, EAC = </t>
    </r>
    <r>
      <rPr>
        <b/>
        <sz val="11"/>
        <color theme="1"/>
        <rFont val="Aptos Narrow"/>
        <family val="2"/>
        <scheme val="minor"/>
      </rPr>
      <t>1,444.0 MNOK</t>
    </r>
    <r>
      <rPr>
        <sz val="11"/>
        <color theme="1"/>
        <rFont val="Aptos Narrow"/>
        <family val="2"/>
        <scheme val="minor"/>
      </rPr>
      <t xml:space="preserve">, ETC = </t>
    </r>
    <r>
      <rPr>
        <b/>
        <sz val="11"/>
        <color theme="1"/>
        <rFont val="Aptos Narrow"/>
        <family val="2"/>
        <scheme val="minor"/>
      </rPr>
      <t>100.0 MNOK</t>
    </r>
    <r>
      <rPr>
        <sz val="11"/>
        <color theme="1"/>
        <rFont val="Aptos Narrow"/>
        <family val="2"/>
        <scheme val="minor"/>
      </rPr>
      <t xml:space="preserve"> [2, 5], CPI = </t>
    </r>
    <r>
      <rPr>
        <b/>
        <sz val="11"/>
        <color theme="1"/>
        <rFont val="Aptos Narrow"/>
        <family val="2"/>
        <scheme val="minor"/>
      </rPr>
      <t>0.95</t>
    </r>
    <r>
      <rPr>
        <sz val="11"/>
        <color theme="1"/>
        <rFont val="Aptos Narrow"/>
        <family val="2"/>
        <scheme val="minor"/>
      </rPr>
      <t xml:space="preserve">, SPI = </t>
    </r>
    <r>
      <rPr>
        <b/>
        <sz val="11"/>
        <color theme="1"/>
        <rFont val="Aptos Narrow"/>
        <family val="2"/>
        <scheme val="minor"/>
      </rPr>
      <t>0.92</t>
    </r>
    <r>
      <rPr>
        <sz val="11"/>
        <color theme="1"/>
        <rFont val="Aptos Narrow"/>
        <family val="2"/>
        <scheme val="minor"/>
      </rPr>
      <t xml:space="preserve">, VAC = </t>
    </r>
    <r>
      <rPr>
        <b/>
        <sz val="11"/>
        <color theme="1"/>
        <rFont val="Aptos Narrow"/>
        <family val="2"/>
        <scheme val="minor"/>
      </rPr>
      <t>-11.0 MNOK</t>
    </r>
    <r>
      <rPr>
        <sz val="11"/>
        <color theme="1"/>
        <rFont val="Aptos Narrow"/>
        <family val="2"/>
        <scheme val="minor"/>
      </rPr>
      <t xml:space="preserve"> [2, 5].</t>
    </r>
  </si>
  <si>
    <t>FactAction.csv</t>
  </si>
  <si>
    <r>
      <t>Restructuring action tracker [1]. Includes HHU administrative vacancy freeze (</t>
    </r>
    <r>
      <rPr>
        <sz val="10"/>
        <color theme="1"/>
        <rFont val="Arial Unicode MS"/>
      </rPr>
      <t>T001</t>
    </r>
    <r>
      <rPr>
        <sz val="11"/>
        <color theme="1"/>
        <rFont val="Aptos Narrow"/>
        <family val="2"/>
        <scheme val="minor"/>
      </rPr>
      <t>), academic reallocation (</t>
    </r>
    <r>
      <rPr>
        <sz val="10"/>
        <color theme="1"/>
        <rFont val="Arial Unicode MS"/>
      </rPr>
      <t>T002</t>
    </r>
    <r>
      <rPr>
        <sz val="11"/>
        <color theme="1"/>
        <rFont val="Aptos Narrow"/>
        <family val="2"/>
        <scheme val="minor"/>
      </rPr>
      <t>), and EVU portfolio expansion (</t>
    </r>
    <r>
      <rPr>
        <sz val="10"/>
        <color theme="1"/>
        <rFont val="Arial Unicode MS"/>
      </rPr>
      <t>T003</t>
    </r>
    <r>
      <rPr>
        <sz val="11"/>
        <color theme="1"/>
        <rFont val="Aptos Narrow"/>
        <family val="2"/>
        <scheme val="minor"/>
      </rPr>
      <t>) [2, 6].</t>
    </r>
  </si>
  <si>
    <t>DimOrganization.csv</t>
  </si>
  <si>
    <t>Dimension</t>
  </si>
  <si>
    <r>
      <t xml:space="preserve">Hierarchical organization structure [1]. Level 1: UiA [2]; Level 2: HHU, TEK, HEL, SAM, HUM, ADM [2]; Level 3 (HHU): </t>
    </r>
    <r>
      <rPr>
        <i/>
        <sz val="11"/>
        <color theme="1"/>
        <rFont val="Aptos Narrow"/>
        <family val="2"/>
        <scheme val="minor"/>
      </rPr>
      <t>Institutt for ledelse og innovasjon</t>
    </r>
    <r>
      <rPr>
        <sz val="11"/>
        <color theme="1"/>
        <rFont val="Aptos Narrow"/>
        <family val="2"/>
        <scheme val="minor"/>
      </rPr>
      <t xml:space="preserve"> (</t>
    </r>
    <r>
      <rPr>
        <sz val="10"/>
        <color theme="1"/>
        <rFont val="Arial Unicode MS"/>
      </rPr>
      <t>I001</t>
    </r>
    <r>
      <rPr>
        <sz val="11"/>
        <color theme="1"/>
        <rFont val="Aptos Narrow"/>
        <family val="2"/>
        <scheme val="minor"/>
      </rPr>
      <t xml:space="preserve">), </t>
    </r>
    <r>
      <rPr>
        <i/>
        <sz val="11"/>
        <color theme="1"/>
        <rFont val="Aptos Narrow"/>
        <family val="2"/>
        <scheme val="minor"/>
      </rPr>
      <t>Institutt for rettsvitenskap</t>
    </r>
    <r>
      <rPr>
        <sz val="11"/>
        <color theme="1"/>
        <rFont val="Aptos Narrow"/>
        <family val="2"/>
        <scheme val="minor"/>
      </rPr>
      <t xml:space="preserve"> (</t>
    </r>
    <r>
      <rPr>
        <sz val="10"/>
        <color theme="1"/>
        <rFont val="Arial Unicode MS"/>
      </rPr>
      <t>I002</t>
    </r>
    <r>
      <rPr>
        <sz val="11"/>
        <color theme="1"/>
        <rFont val="Aptos Narrow"/>
        <family val="2"/>
        <scheme val="minor"/>
      </rPr>
      <t xml:space="preserve">), </t>
    </r>
    <r>
      <rPr>
        <i/>
        <sz val="11"/>
        <color theme="1"/>
        <rFont val="Aptos Narrow"/>
        <family val="2"/>
        <scheme val="minor"/>
      </rPr>
      <t>Institutt for økonomi</t>
    </r>
    <r>
      <rPr>
        <sz val="11"/>
        <color theme="1"/>
        <rFont val="Aptos Narrow"/>
        <family val="2"/>
        <scheme val="minor"/>
      </rPr>
      <t xml:space="preserve"> (</t>
    </r>
    <r>
      <rPr>
        <sz val="10"/>
        <color theme="1"/>
        <rFont val="Arial Unicode MS"/>
      </rPr>
      <t>I003</t>
    </r>
    <r>
      <rPr>
        <sz val="11"/>
        <color theme="1"/>
        <rFont val="Aptos Narrow"/>
        <family val="2"/>
        <scheme val="minor"/>
      </rPr>
      <t xml:space="preserve">), </t>
    </r>
    <r>
      <rPr>
        <i/>
        <sz val="11"/>
        <color theme="1"/>
        <rFont val="Aptos Narrow"/>
        <family val="2"/>
        <scheme val="minor"/>
      </rPr>
      <t>HHU Fakultetsadministrasjon</t>
    </r>
    <r>
      <rPr>
        <sz val="11"/>
        <color theme="1"/>
        <rFont val="Aptos Narrow"/>
        <family val="2"/>
        <scheme val="minor"/>
      </rPr>
      <t xml:space="preserve"> (</t>
    </r>
    <r>
      <rPr>
        <sz val="10"/>
        <color theme="1"/>
        <rFont val="Arial Unicode MS"/>
      </rPr>
      <t>I004</t>
    </r>
    <r>
      <rPr>
        <sz val="11"/>
        <color theme="1"/>
        <rFont val="Aptos Narrow"/>
        <family val="2"/>
        <scheme val="minor"/>
      </rPr>
      <t>).</t>
    </r>
  </si>
  <si>
    <t>DimAccountHierarchy.csv</t>
  </si>
  <si>
    <t>DFØ R-102 standard chart of accounts hierarchy for state accrual accounting (SRS) [1, 7].</t>
  </si>
  <si>
    <t>DimDate.csv</t>
  </si>
  <si>
    <r>
      <t xml:space="preserve">2026 calendar dimension marking M01–M09 as </t>
    </r>
    <r>
      <rPr>
        <sz val="10"/>
        <color theme="1"/>
        <rFont val="Arial Unicode MS"/>
      </rPr>
      <t>Actual</t>
    </r>
    <r>
      <rPr>
        <sz val="11"/>
        <color theme="1"/>
        <rFont val="Aptos Narrow"/>
        <family val="2"/>
        <scheme val="minor"/>
      </rPr>
      <t xml:space="preserve"> (</t>
    </r>
    <r>
      <rPr>
        <sz val="10"/>
        <color theme="1"/>
        <rFont val="Arial Unicode MS"/>
      </rPr>
      <t>ErActualYTD = TRUE</t>
    </r>
    <r>
      <rPr>
        <sz val="11"/>
        <color theme="1"/>
        <rFont val="Aptos Narrow"/>
        <family val="2"/>
        <scheme val="minor"/>
      </rPr>
      <t xml:space="preserve">) and M10–M12 as </t>
    </r>
    <r>
      <rPr>
        <sz val="10"/>
        <color theme="1"/>
        <rFont val="Arial Unicode MS"/>
      </rPr>
      <t>Forecast</t>
    </r>
    <r>
      <rPr>
        <sz val="11"/>
        <color theme="1"/>
        <rFont val="Aptos Narrow"/>
        <family val="2"/>
        <scheme val="minor"/>
      </rPr>
      <t xml:space="preserve"> [1, 3].</t>
    </r>
  </si>
  <si>
    <t>DimForecastVersion.csv</t>
  </si>
  <si>
    <r>
      <t>Version metadata (</t>
    </r>
    <r>
      <rPr>
        <sz val="10"/>
        <color theme="1"/>
        <rFont val="Arial Unicode MS"/>
      </rPr>
      <t>BUD2026</t>
    </r>
    <r>
      <rPr>
        <sz val="11"/>
        <color theme="1"/>
        <rFont val="Aptos Narrow"/>
        <family val="2"/>
        <scheme val="minor"/>
      </rPr>
      <t xml:space="preserve">, </t>
    </r>
    <r>
      <rPr>
        <sz val="10"/>
        <color theme="1"/>
        <rFont val="Arial Unicode MS"/>
      </rPr>
      <t>ACTUAL_YTD_SEP2026</t>
    </r>
    <r>
      <rPr>
        <sz val="11"/>
        <color theme="1"/>
        <rFont val="Aptos Narrow"/>
        <family val="2"/>
        <scheme val="minor"/>
      </rPr>
      <t xml:space="preserve">, </t>
    </r>
    <r>
      <rPr>
        <sz val="10"/>
        <color theme="1"/>
        <rFont val="Arial Unicode MS"/>
      </rPr>
      <t>FC_Q4_2026</t>
    </r>
    <r>
      <rPr>
        <sz val="11"/>
        <color theme="1"/>
        <rFont val="Aptos Narrow"/>
        <family val="2"/>
        <scheme val="minor"/>
      </rPr>
      <t xml:space="preserve">, </t>
    </r>
    <r>
      <rPr>
        <sz val="10"/>
        <color theme="1"/>
        <rFont val="Arial Unicode MS"/>
      </rPr>
      <t>LE_2026</t>
    </r>
    <r>
      <rPr>
        <sz val="11"/>
        <color theme="1"/>
        <rFont val="Aptos Narrow"/>
        <family val="2"/>
        <scheme val="minor"/>
      </rPr>
      <t>) [1, 3].</t>
    </r>
  </si>
  <si>
    <t>Relationships.csv</t>
  </si>
  <si>
    <t>Documentation</t>
  </si>
  <si>
    <t>Cardinality and cross-filtering rules ($1:*$ single direction) for setting up the Power BI semantic model [1].</t>
  </si>
  <si>
    <t>2. Specific HHU Issues Represented in the Data</t>
  </si>
  <si>
    <r>
      <t>1. KD 2025 Category 1 Funding Bottleneck:</t>
    </r>
    <r>
      <rPr>
        <sz val="11"/>
        <color theme="1"/>
        <rFont val="Aptos Narrow"/>
        <family val="2"/>
        <scheme val="minor"/>
      </rPr>
      <t xml:space="preserve"> HHU produces </t>
    </r>
    <r>
      <rPr>
        <b/>
        <sz val="11"/>
        <color theme="1"/>
        <rFont val="Aptos Narrow"/>
        <family val="2"/>
        <scheme val="minor"/>
      </rPr>
      <t>3,120 SPE60</t>
    </r>
    <r>
      <rPr>
        <sz val="11"/>
        <color theme="1"/>
        <rFont val="Aptos Narrow"/>
        <family val="2"/>
        <scheme val="minor"/>
      </rPr>
      <t xml:space="preserve"> across its three institutes (</t>
    </r>
    <r>
      <rPr>
        <i/>
        <sz val="11"/>
        <color theme="1"/>
        <rFont val="Aptos Narrow"/>
        <family val="2"/>
        <scheme val="minor"/>
      </rPr>
      <t>Ledelse og innovasjon</t>
    </r>
    <r>
      <rPr>
        <sz val="11"/>
        <color theme="1"/>
        <rFont val="Aptos Narrow"/>
        <family val="2"/>
        <scheme val="minor"/>
      </rPr>
      <t xml:space="preserve">, </t>
    </r>
    <r>
      <rPr>
        <i/>
        <sz val="11"/>
        <color theme="1"/>
        <rFont val="Aptos Narrow"/>
        <family val="2"/>
        <scheme val="minor"/>
      </rPr>
      <t>Rettsvitenskap</t>
    </r>
    <r>
      <rPr>
        <sz val="11"/>
        <color theme="1"/>
        <rFont val="Aptos Narrow"/>
        <family val="2"/>
        <scheme val="minor"/>
      </rPr>
      <t xml:space="preserve">, </t>
    </r>
    <r>
      <rPr>
        <i/>
        <sz val="11"/>
        <color theme="1"/>
        <rFont val="Aptos Narrow"/>
        <family val="2"/>
        <scheme val="minor"/>
      </rPr>
      <t>Økonomi</t>
    </r>
    <r>
      <rPr>
        <sz val="11"/>
        <color theme="1"/>
        <rFont val="Aptos Narrow"/>
        <family val="2"/>
        <scheme val="minor"/>
      </rPr>
      <t xml:space="preserve">) [2]. Because business/law studies fall under </t>
    </r>
    <r>
      <rPr>
        <b/>
        <sz val="11"/>
        <color theme="1"/>
        <rFont val="Aptos Narrow"/>
        <family val="2"/>
        <scheme val="minor"/>
      </rPr>
      <t>KD Category 1</t>
    </r>
    <r>
      <rPr>
        <sz val="11"/>
        <color theme="1"/>
        <rFont val="Aptos Narrow"/>
        <family val="2"/>
        <scheme val="minor"/>
      </rPr>
      <t xml:space="preserve"> (54,550 NOK per 60 SPE) [4] and HHU operates at </t>
    </r>
    <r>
      <rPr>
        <b/>
        <sz val="11"/>
        <color theme="1"/>
        <rFont val="Aptos Narrow"/>
        <family val="2"/>
        <scheme val="minor"/>
      </rPr>
      <t>22.3 students per UF FTE</t>
    </r>
    <r>
      <rPr>
        <sz val="11"/>
        <color theme="1"/>
        <rFont val="Aptos Narrow"/>
        <family val="2"/>
        <scheme val="minor"/>
      </rPr>
      <t xml:space="preserve"> [2], marginal volume expansion does not cover clinical/seminar teaching costs [4].</t>
    </r>
  </si>
  <si>
    <r>
      <t>2. AACSB Accreditation Costs:</t>
    </r>
    <r>
      <rPr>
        <sz val="11"/>
        <color theme="1"/>
        <rFont val="Aptos Narrow"/>
        <family val="2"/>
        <scheme val="minor"/>
      </rPr>
      <t xml:space="preserve"> Account </t>
    </r>
    <r>
      <rPr>
        <sz val="10"/>
        <color theme="1"/>
        <rFont val="Arial Unicode MS"/>
      </rPr>
      <t>6700</t>
    </r>
    <r>
      <rPr>
        <sz val="11"/>
        <color theme="1"/>
        <rFont val="Aptos Narrow"/>
        <family val="2"/>
        <scheme val="minor"/>
      </rPr>
      <t xml:space="preserve"> and Project </t>
    </r>
    <r>
      <rPr>
        <sz val="10"/>
        <color theme="1"/>
        <rFont val="Arial Unicode MS"/>
      </rPr>
      <t>AACSB01</t>
    </r>
    <r>
      <rPr>
        <sz val="11"/>
        <color theme="1"/>
        <rFont val="Aptos Narrow"/>
        <family val="2"/>
        <scheme val="minor"/>
      </rPr>
      <t xml:space="preserve"> capture 450,000 NOK in international review audit fees and consultant support in M03 and M09 to maintain HHU's international accreditation.</t>
    </r>
  </si>
  <si>
    <r>
      <t>3. SRS 9 Contract Loss Provision (EVU001):</t>
    </r>
    <r>
      <rPr>
        <sz val="11"/>
        <color theme="1"/>
        <rFont val="Aptos Narrow"/>
        <family val="2"/>
        <scheme val="minor"/>
      </rPr>
      <t xml:space="preserve"> Account </t>
    </r>
    <r>
      <rPr>
        <sz val="10"/>
        <color theme="1"/>
        <rFont val="Arial Unicode MS"/>
      </rPr>
      <t>7790</t>
    </r>
    <r>
      <rPr>
        <sz val="11"/>
        <color theme="1"/>
        <rFont val="Aptos Narrow"/>
        <family val="2"/>
        <scheme val="minor"/>
      </rPr>
      <t xml:space="preserve"> records a </t>
    </r>
    <r>
      <rPr>
        <b/>
        <sz val="11"/>
        <color theme="1"/>
        <rFont val="Aptos Narrow"/>
        <family val="2"/>
        <scheme val="minor"/>
      </rPr>
      <t>350,000 NOK loss provision</t>
    </r>
    <r>
      <rPr>
        <sz val="11"/>
        <color theme="1"/>
        <rFont val="Aptos Narrow"/>
        <family val="2"/>
        <scheme val="minor"/>
      </rPr>
      <t xml:space="preserve"> in M09 for project </t>
    </r>
    <r>
      <rPr>
        <sz val="10"/>
        <color theme="1"/>
        <rFont val="Arial Unicode MS"/>
      </rPr>
      <t>EVU001</t>
    </r>
    <r>
      <rPr>
        <sz val="11"/>
        <color theme="1"/>
        <rFont val="Aptos Narrow"/>
        <family val="2"/>
        <scheme val="minor"/>
      </rPr>
      <t xml:space="preserve"> (custom corporate executive program) due to delivery overruns, complying with SRS 9 onerous contract rules [1].</t>
    </r>
  </si>
  <si>
    <r>
      <t>4. SRS 10 NFR Research Buy-out (Frikjøp):</t>
    </r>
    <r>
      <rPr>
        <sz val="11"/>
        <color theme="1"/>
        <rFont val="Aptos Narrow"/>
        <family val="2"/>
        <scheme val="minor"/>
      </rPr>
      <t xml:space="preserve"> Accounts </t>
    </r>
    <r>
      <rPr>
        <sz val="10"/>
        <color theme="1"/>
        <rFont val="Arial Unicode MS"/>
      </rPr>
      <t>3400</t>
    </r>
    <r>
      <rPr>
        <sz val="11"/>
        <color theme="1"/>
        <rFont val="Aptos Narrow"/>
        <family val="2"/>
        <scheme val="minor"/>
      </rPr>
      <t xml:space="preserve"> and </t>
    </r>
    <r>
      <rPr>
        <sz val="10"/>
        <color theme="1"/>
        <rFont val="Arial Unicode MS"/>
      </rPr>
      <t>5000</t>
    </r>
    <r>
      <rPr>
        <sz val="11"/>
        <color theme="1"/>
        <rFont val="Aptos Narrow"/>
        <family val="2"/>
        <scheme val="minor"/>
      </rPr>
      <t xml:space="preserve"> on project </t>
    </r>
    <r>
      <rPr>
        <sz val="10"/>
        <color theme="1"/>
        <rFont val="Arial Unicode MS"/>
      </rPr>
      <t>NFR001</t>
    </r>
    <r>
      <rPr>
        <sz val="11"/>
        <color theme="1"/>
        <rFont val="Aptos Narrow"/>
        <family val="2"/>
        <scheme val="minor"/>
      </rPr>
      <t xml:space="preserve"> reflect research buy-out where external grant revenue matches project expenses [1, 8].</t>
    </r>
  </si>
  <si>
    <r>
      <t>5. Positive Net Surplus (+2.2 MNOK):</t>
    </r>
    <r>
      <rPr>
        <sz val="11"/>
        <color theme="1"/>
        <rFont val="Aptos Narrow"/>
        <family val="2"/>
        <scheme val="minor"/>
      </rPr>
      <t xml:space="preserve"> HHU delivers total revenues of </t>
    </r>
    <r>
      <rPr>
        <b/>
        <sz val="11"/>
        <color theme="1"/>
        <rFont val="Aptos Narrow"/>
        <family val="2"/>
        <scheme val="minor"/>
      </rPr>
      <t>276.6 MNOK</t>
    </r>
    <r>
      <rPr>
        <sz val="11"/>
        <color theme="1"/>
        <rFont val="Aptos Narrow"/>
        <family val="2"/>
        <scheme val="minor"/>
      </rPr>
      <t xml:space="preserve"> against expenses of </t>
    </r>
    <r>
      <rPr>
        <b/>
        <sz val="11"/>
        <color theme="1"/>
        <rFont val="Aptos Narrow"/>
        <family val="2"/>
        <scheme val="minor"/>
      </rPr>
      <t>274.4 MNOK</t>
    </r>
    <r>
      <rPr>
        <sz val="11"/>
        <color theme="1"/>
        <rFont val="Aptos Narrow"/>
        <family val="2"/>
        <scheme val="minor"/>
      </rPr>
      <t xml:space="preserve">, contributing </t>
    </r>
    <r>
      <rPr>
        <b/>
        <sz val="11"/>
        <color theme="1"/>
        <rFont val="Aptos Narrow"/>
        <family val="2"/>
        <scheme val="minor"/>
      </rPr>
      <t>+2.2 MNOK</t>
    </r>
    <r>
      <rPr>
        <sz val="11"/>
        <color theme="1"/>
        <rFont val="Aptos Narrow"/>
        <family val="2"/>
        <scheme val="minor"/>
      </rPr>
      <t xml:space="preserve"> in positive operating margin to offset central deficits [2].</t>
    </r>
  </si>
  <si>
    <t>3. Data Workflow Diagram: Ingestion, ETL &amp; Reporting</t>
  </si>
  <si>
    <r>
      <t xml:space="preserve">The visual image </t>
    </r>
    <r>
      <rPr>
        <b/>
        <sz val="11"/>
        <color theme="1"/>
        <rFont val="Aptos Narrow"/>
        <family val="2"/>
        <scheme val="minor"/>
      </rPr>
      <t>data_workflow_ingestion_reporting.png</t>
    </r>
    <r>
      <rPr>
        <sz val="11"/>
        <color theme="1"/>
        <rFont val="Aptos Narrow"/>
        <family val="2"/>
        <scheme val="minor"/>
      </rPr>
      <t xml:space="preserve"> is published in Studio. Below is the workflow breakdown:</t>
    </r>
  </si>
  <si>
    <t>| UiA DATA INGESTION &amp; REPORTING PIPELINE WORKFLOW                                                 |</t>
  </si>
  <si>
    <t xml:space="preserve">  [ PHASE 1: SOURCE LAYER (Kildesystemer) ]</t>
  </si>
  <si>
    <t xml:space="preserve">  ├── Unit4 ERP (BOTT)        ──&gt; General Ledger, BOA Projects, e-Commerce (FactGL) [1]</t>
  </si>
  <si>
    <t xml:space="preserve">  ├── Unit4 UBW Planlegger    ──&gt; Approved Budgets (BUD2026) &amp; Forecasts (FactBudget) [1]</t>
  </si>
  <si>
    <t xml:space="preserve">  ├── SAP / BOTT Lønn         ──&gt; Monthly Payroll &amp; FTE Staffing Snapshot (FactFTE) [1]</t>
  </si>
  <si>
    <t xml:space="preserve">  ├── FS (Felles Studentsys)  ──&gt; Registered Students &amp; SPE60 Credits (FactStudents) [1]</t>
  </si>
  <si>
    <t xml:space="preserve">  └── Manual Logs / Excel     ──&gt; Restructuring Action Tracker (FactAction) [1]</t>
  </si>
  <si>
    <t xml:space="preserve">            │</t>
  </si>
  <si>
    <t xml:space="preserve">            ▼</t>
  </si>
  <si>
    <t xml:space="preserve">  [ PHASE 2: ETL &amp; INTEGRATION LAYER ]</t>
  </si>
  <si>
    <t xml:space="preserve">  ├── Azure Data Factory / SSIS ──&gt; Automated nightly batch &amp; API extractions [1]</t>
  </si>
  <si>
    <t xml:space="preserve">  ├── Data Cleaning &amp; Validation──&gt; Org keys, SRS accounting compliance &amp; account validation [1]</t>
  </si>
  <si>
    <t xml:space="preserve">  └── Staging Dataflows        ──&gt; Mapping accounts to DFØ R-102 hierarchy [1, 7]</t>
  </si>
  <si>
    <t xml:space="preserve">  [ PHASE 3: STORAGE &amp; STAGING LAYER ]</t>
  </si>
  <si>
    <t xml:space="preserve">  ├── SQL Data Warehouse (ODS)  ──&gt; Central Star Schema repository [1]</t>
  </si>
  <si>
    <t xml:space="preserve">  ├── 6 Fact Tables             ──&gt; FactGL, FactBudget, FactFTE, FactStudents, FactEVM, FactAction [1]</t>
  </si>
  <si>
    <t xml:space="preserve">  └── 5 Dimension Tables        ──&gt; DimOrganization, DimAccountHierarchy, DimDate, etc. [1]</t>
  </si>
  <si>
    <t xml:space="preserve">  [ PHASE 4: PRESENTATION &amp; REPORTING LAYER ]</t>
  </si>
  <si>
    <t xml:space="preserve">  ├── Power BI Tabular Model    ──&gt; DAX Measures, RAG Status &amp; Temporal Context (YoY/MoM) [1, 3]</t>
  </si>
  <si>
    <t xml:space="preserve">  ├── Power BI Service (Cloud)  ──&gt; Row-Level Security (RLS) per faculty/department [1]</t>
  </si>
  <si>
    <t xml:space="preserve">  ├── Dekanens Dashbord         ──&gt; 3-30-300 Executive visual interface [1, 9]</t>
  </si>
  <si>
    <t xml:space="preserve">  └── HHU Cockpit &amp; Excel       ──&gt; Senior Controller drill-down analysis [1]</t>
  </si>
  <si>
    <t>4. Power BI Data Model Diagram (Star Schema Architecture)</t>
  </si>
  <si>
    <r>
      <t xml:space="preserve">The visual image </t>
    </r>
    <r>
      <rPr>
        <b/>
        <sz val="11"/>
        <color theme="1"/>
        <rFont val="Aptos Narrow"/>
        <family val="2"/>
        <scheme val="minor"/>
      </rPr>
      <t>powerbi_datamodel_diagram.png</t>
    </r>
    <r>
      <rPr>
        <sz val="11"/>
        <color theme="1"/>
        <rFont val="Aptos Narrow"/>
        <family val="2"/>
        <scheme val="minor"/>
      </rPr>
      <t xml:space="preserve"> is published in Studio. The semantic model follows a </t>
    </r>
    <r>
      <rPr>
        <b/>
        <sz val="11"/>
        <color theme="1"/>
        <rFont val="Aptos Narrow"/>
        <family val="2"/>
        <scheme val="minor"/>
      </rPr>
      <t>Star Schema</t>
    </r>
    <r>
      <rPr>
        <sz val="11"/>
        <color theme="1"/>
        <rFont val="Aptos Narrow"/>
        <family val="2"/>
        <scheme val="minor"/>
      </rPr>
      <t xml:space="preserve"> with $1:*$ single-direction relationships [1]:</t>
    </r>
  </si>
  <si>
    <t>| POWER BI SEMANTIC MODEL (STAR SCHEMA ARCHITECTURE)                                               |</t>
  </si>
  <si>
    <t xml:space="preserve">        [ DimOrganization ]         [ DimAccountHierarchy ]         [ DimDate ]         [ DimForecastVersion ]</t>
  </si>
  <si>
    <t xml:space="preserve">         (PK: OrgKode)               (PK: Konto)                 (PK: DatoNokkel)    (PK: VersjonKode)</t>
  </si>
  <si>
    <t xml:space="preserve">               │                          │                           │                     │</t>
  </si>
  <si>
    <t xml:space="preserve">               │ (1)                      │ (1)                       │ (1)                 │ (1)</t>
  </si>
  <si>
    <t xml:space="preserve">               ├──────────────────────────┼───────────────────────────┼─────────────────────┘</t>
  </si>
  <si>
    <t xml:space="preserve">               │                          │                           │</t>
  </si>
  <si>
    <t xml:space="preserve">               ▼ (*)                      ▼ (*)                       ▼ (*)</t>
  </si>
  <si>
    <t xml:space="preserve">    +───────────────────+      +───────────────────+       +───────────────────+</t>
  </si>
  <si>
    <t xml:space="preserve">    |      FactGL       |      |    FactBudget     |       |      FactFTE      |</t>
  </si>
  <si>
    <t xml:space="preserve">    | (FK: OrgKode)     |      | (FK: OrgKode)     |       | (FK: OrgKode)     |</t>
  </si>
  <si>
    <t xml:space="preserve">    | (FK: Konto)       |      | (FK: Konto)       |       | (FK: DatoNokkel)  |</t>
  </si>
  <si>
    <t xml:space="preserve">    | (FK: DatoNokkel)  |      | (FK: DatoNokkel)  |       | [UF/TA, ÅV, Lønn] |</t>
  </si>
  <si>
    <t xml:space="preserve">    |   FactStudents    |      |      FactEVM      |       |    FactAction     |</t>
  </si>
  <si>
    <t xml:space="preserve">    | (FK: OrgKode)     |      | (FK: DatoNokkel)  |       | (FK: OrgKode)     |</t>
  </si>
  <si>
    <t xml:space="preserve">    | (FK: DatoNokkel)  |      | [PV, EV, AC, BAC, |       | [Effekt, Status,  |</t>
  </si>
  <si>
    <t xml:space="preserve">    | [Studenter, SPE]  |      |  EAC, CPI, SPI]   |       |  Ansvarlig]       |</t>
  </si>
  <si>
    <t>Use Case: 2027 Budgeting &amp; Financial Planning for Handelshøyskolen ved UiA (HHU)</t>
  </si>
  <si>
    <t>1. Strategic Context &amp; Organizational Framework</t>
  </si>
  <si>
    <r>
      <t xml:space="preserve">Handelshøyskolen ved UiA (HHU) is an internationally </t>
    </r>
    <r>
      <rPr>
        <b/>
        <sz val="11"/>
        <color rgb="FF1B1B1C"/>
        <rFont val="Arial"/>
        <family val="2"/>
      </rPr>
      <t>AACSB-accredited</t>
    </r>
    <r>
      <rPr>
        <sz val="11"/>
        <color rgb="FF1B1B1C"/>
        <rFont val="Arial"/>
        <family val="2"/>
      </rPr>
      <t xml:space="preserve"> business school at the University of Agder, organized into three academic departments (</t>
    </r>
    <r>
      <rPr>
        <i/>
        <sz val="11"/>
        <color rgb="FF1B1B1C"/>
        <rFont val="Arial"/>
        <family val="2"/>
      </rPr>
      <t>Institutt for ledelse og innovasjon</t>
    </r>
    <r>
      <rPr>
        <sz val="11"/>
        <color rgb="FF1B1B1C"/>
        <rFont val="Arial"/>
        <family val="2"/>
      </rPr>
      <t xml:space="preserve">, </t>
    </r>
    <r>
      <rPr>
        <i/>
        <sz val="11"/>
        <color rgb="FF1B1B1C"/>
        <rFont val="Arial"/>
        <family val="2"/>
      </rPr>
      <t>Institutt for rettsvitenskap</t>
    </r>
    <r>
      <rPr>
        <sz val="11"/>
        <color rgb="FF1B1B1C"/>
        <rFont val="Arial"/>
        <family val="2"/>
      </rPr>
      <t xml:space="preserve">, and </t>
    </r>
    <r>
      <rPr>
        <i/>
        <sz val="11"/>
        <color rgb="FF1B1B1C"/>
        <rFont val="Arial"/>
        <family val="2"/>
      </rPr>
      <t>Institutt for økonomi</t>
    </r>
    <r>
      <rPr>
        <sz val="11"/>
        <color rgb="FF1B1B1C"/>
        <rFont val="Arial"/>
        <family val="2"/>
      </rPr>
      <t>) plus the faculty administration on Campus Kristiansand.</t>
    </r>
  </si>
  <si>
    <r>
      <t xml:space="preserve">HHU operates with a 2026 baseline of </t>
    </r>
    <r>
      <rPr>
        <b/>
        <sz val="11"/>
        <color rgb="FF1B1B1C"/>
        <rFont val="Arial"/>
        <family val="2"/>
      </rPr>
      <t>3,450 registered students</t>
    </r>
    <r>
      <rPr>
        <sz val="11"/>
        <color rgb="FF1B1B1C"/>
        <rFont val="Arial"/>
        <family val="2"/>
      </rPr>
      <t xml:space="preserve"> (</t>
    </r>
    <r>
      <rPr>
        <b/>
        <sz val="11"/>
        <color rgb="FF1B1B1C"/>
        <rFont val="Arial"/>
        <family val="2"/>
      </rPr>
      <t>3,120 SPE60 credit-equivalents</t>
    </r>
    <r>
      <rPr>
        <sz val="11"/>
        <color rgb="FF1B1B1C"/>
        <rFont val="Arial"/>
        <family val="2"/>
      </rPr>
      <t xml:space="preserve">), </t>
    </r>
    <r>
      <rPr>
        <b/>
        <sz val="11"/>
        <color rgb="FF1B1B1C"/>
        <rFont val="Arial"/>
        <family val="2"/>
      </rPr>
      <t>230 FTEs</t>
    </r>
    <r>
      <rPr>
        <sz val="11"/>
        <color rgb="FF1B1B1C"/>
        <rFont val="Arial"/>
        <family val="2"/>
      </rPr>
      <t xml:space="preserve"> (</t>
    </r>
    <r>
      <rPr>
        <b/>
        <sz val="11"/>
        <color rgb="FF1B1B1C"/>
        <rFont val="Arial"/>
        <family val="2"/>
      </rPr>
      <t>155 academic/UF FTEs</t>
    </r>
    <r>
      <rPr>
        <sz val="11"/>
        <color rgb="FF1B1B1C"/>
        <rFont val="Arial"/>
        <family val="2"/>
      </rPr>
      <t xml:space="preserve"> and </t>
    </r>
    <r>
      <rPr>
        <b/>
        <sz val="11"/>
        <color rgb="FF1B1B1C"/>
        <rFont val="Arial"/>
        <family val="2"/>
      </rPr>
      <t>75 technical-administrative/TA FTEs</t>
    </r>
    <r>
      <rPr>
        <sz val="11"/>
        <color rgb="FF1B1B1C"/>
        <rFont val="Arial"/>
        <family val="2"/>
      </rPr>
      <t xml:space="preserve">), and a total annual operating budget of </t>
    </r>
    <r>
      <rPr>
        <b/>
        <sz val="11"/>
        <color rgb="FF1B1B1C"/>
        <rFont val="Arial"/>
        <family val="2"/>
      </rPr>
      <t>276.6 MNOK in revenue</t>
    </r>
    <r>
      <rPr>
        <sz val="11"/>
        <color rgb="FF1B1B1C"/>
        <rFont val="Arial"/>
        <family val="2"/>
      </rPr>
      <t xml:space="preserve"> against </t>
    </r>
    <r>
      <rPr>
        <b/>
        <sz val="11"/>
        <color rgb="FF1B1B1C"/>
        <rFont val="Arial"/>
        <family val="2"/>
      </rPr>
      <t>274.4 MNOK in total expenses</t>
    </r>
    <r>
      <rPr>
        <sz val="11"/>
        <color rgb="FF1B1B1C"/>
        <rFont val="Arial"/>
        <family val="2"/>
      </rPr>
      <t xml:space="preserve">, yielding a net operating surplus of </t>
    </r>
    <r>
      <rPr>
        <b/>
        <sz val="11"/>
        <color rgb="FF1B1B1C"/>
        <rFont val="Arial"/>
        <family val="2"/>
      </rPr>
      <t>+2.2 MNOK</t>
    </r>
    <r>
      <rPr>
        <sz val="11"/>
        <color rgb="FF1B1B1C"/>
        <rFont val="Arial"/>
        <family val="2"/>
      </rPr>
      <t>.</t>
    </r>
  </si>
  <si>
    <r>
      <t xml:space="preserve">In accordance with the UiA Controller Framework and the position profile for </t>
    </r>
    <r>
      <rPr>
        <b/>
        <sz val="11"/>
        <color rgb="FF1B1B1C"/>
        <rFont val="Arial"/>
        <family val="2"/>
      </rPr>
      <t>Senior Controller / Seniorrådgiver (stillingskode 1364)</t>
    </r>
    <r>
      <rPr>
        <sz val="11"/>
        <color rgb="FF1B1B1C"/>
        <rFont val="Arial"/>
        <family val="2"/>
      </rPr>
      <t>, the senior controller leads the 2027 budgeting cycle. The controller reports to the Faculty Director (</t>
    </r>
    <r>
      <rPr>
        <i/>
        <sz val="11"/>
        <color rgb="FF1B1B1C"/>
        <rFont val="Arial"/>
        <family val="2"/>
      </rPr>
      <t>Fakultetsdirektør</t>
    </r>
    <r>
      <rPr>
        <sz val="11"/>
        <color rgb="FF1B1B1C"/>
        <rFont val="Arial"/>
        <family val="2"/>
      </rPr>
      <t>) and works closely with the Dean (</t>
    </r>
    <r>
      <rPr>
        <i/>
        <sz val="11"/>
        <color rgb="FF1B1B1C"/>
        <rFont val="Arial"/>
        <family val="2"/>
      </rPr>
      <t>Dekan</t>
    </r>
    <r>
      <rPr>
        <sz val="11"/>
        <color rgb="FF1B1B1C"/>
        <rFont val="Arial"/>
        <family val="2"/>
      </rPr>
      <t>), Department Heads (</t>
    </r>
    <r>
      <rPr>
        <i/>
        <sz val="11"/>
        <color rgb="FF1B1B1C"/>
        <rFont val="Arial"/>
        <family val="2"/>
      </rPr>
      <t>Instituttledere</t>
    </r>
    <r>
      <rPr>
        <sz val="11"/>
        <color rgb="FF1B1B1C"/>
        <rFont val="Arial"/>
        <family val="2"/>
      </rPr>
      <t>), and the central University Financial Department (</t>
    </r>
    <r>
      <rPr>
        <i/>
        <sz val="11"/>
        <color rgb="FF1B1B1C"/>
        <rFont val="Arial"/>
        <family val="2"/>
      </rPr>
      <t>Sentral Økonomiavdeling</t>
    </r>
    <r>
      <rPr>
        <sz val="11"/>
        <color rgb="FF1B1B1C"/>
        <rFont val="Arial"/>
        <family val="2"/>
      </rPr>
      <t>) to prepare a realistic, driver-based 2027 budget (</t>
    </r>
    <r>
      <rPr>
        <b/>
        <sz val="11"/>
        <color rgb="FF1B1B1C"/>
        <rFont val="Arial"/>
        <family val="2"/>
      </rPr>
      <t>BUD2027</t>
    </r>
    <r>
      <rPr>
        <sz val="11"/>
        <color rgb="FF1B1B1C"/>
        <rFont val="Arial"/>
        <family val="2"/>
      </rPr>
      <t>) and 5-year long-term forecast (</t>
    </r>
    <r>
      <rPr>
        <b/>
        <sz val="11"/>
        <color rgb="FF1B1B1C"/>
        <rFont val="Arial"/>
        <family val="2"/>
      </rPr>
      <t>PROG2027–2031</t>
    </r>
    <r>
      <rPr>
        <sz val="11"/>
        <color rgb="FF1B1B1C"/>
        <rFont val="Arial"/>
        <family val="2"/>
      </rPr>
      <t xml:space="preserve">) in </t>
    </r>
    <r>
      <rPr>
        <b/>
        <sz val="11"/>
        <color rgb="FF1B1B1C"/>
        <rFont val="Arial"/>
        <family val="2"/>
      </rPr>
      <t>Unit4 UBW Planlegger</t>
    </r>
    <r>
      <rPr>
        <sz val="11"/>
        <color rgb="FF1B1B1C"/>
        <rFont val="Arial"/>
        <family val="2"/>
      </rPr>
      <t>.</t>
    </r>
  </si>
  <si>
    <t>|  HHU 2027 BUDGET PLANNING &amp; GOVERNANCE HIERARCHY                                                   |</t>
  </si>
  <si>
    <t>|  KD Award Letter (Tildelingsbrev Kap. 260)  ──&gt;  UiA Board Allocation Frame                        |</t>
  </si>
  <si>
    <t>|       Institutt for ledelse &amp; innovasjon  │  Institutt for rettsvitenskap  │  Institutt for økonomi  |</t>
  </si>
  <si>
    <t>|       (UBW Planlegger Dept Budgets)       │  (UBW Planlegger Dept Budgets)  │  (UBW Planlegger)        |</t>
  </si>
  <si>
    <t>2. Core Drivers &amp; Strategic Constraints for Budget 2027</t>
  </si>
  <si>
    <t>When building the 2027 budget model, the senior controller must address four critical financial mechanisms and constraints:</t>
  </si>
  <si>
    <t>Driver A: The 2-Year Etterslep (Lag) in KDs Funding Model</t>
  </si>
  <si>
    <r>
      <t>Under Ministry of Education (KD) financing rules, performance-based study credit allocations (</t>
    </r>
    <r>
      <rPr>
        <b/>
        <sz val="11"/>
        <color rgb="FF1B1B1C"/>
        <rFont val="Arial"/>
        <family val="2"/>
      </rPr>
      <t>SPE60</t>
    </r>
    <r>
      <rPr>
        <sz val="11"/>
        <color rgb="FF1B1B1C"/>
        <rFont val="Arial"/>
        <family val="2"/>
      </rPr>
      <t xml:space="preserve">) operate with a </t>
    </r>
    <r>
      <rPr>
        <b/>
        <sz val="11"/>
        <color rgb="FF1B1B1C"/>
        <rFont val="Arial"/>
        <family val="2"/>
      </rPr>
      <t>2-year lag</t>
    </r>
    <r>
      <rPr>
        <sz val="11"/>
        <color rgb="FF1B1B1C"/>
        <rFont val="Arial"/>
        <family val="2"/>
      </rPr>
      <t xml:space="preserve">. This means that </t>
    </r>
    <r>
      <rPr>
        <b/>
        <sz val="11"/>
        <color rgb="FF1B1B1C"/>
        <rFont val="Arial"/>
        <family val="2"/>
      </rPr>
      <t>actual student credit production achieved in 2025 directly determines the 2027 performance allocation</t>
    </r>
    <r>
      <rPr>
        <sz val="11"/>
        <color rgb="FF1B1B1C"/>
        <rFont val="Arial"/>
        <family val="2"/>
      </rPr>
      <t>!</t>
    </r>
  </si>
  <si>
    <r>
      <t>KD Category 1 Rate:</t>
    </r>
    <r>
      <rPr>
        <sz val="14"/>
        <color rgb="FF1B1B1C"/>
        <rFont val="Arial"/>
        <family val="2"/>
      </rPr>
      <t xml:space="preserve"> HHU’s degree programs (economics, business administration, law) fall under </t>
    </r>
    <r>
      <rPr>
        <b/>
        <sz val="14"/>
        <color rgb="FF1B1B1C"/>
        <rFont val="Arial"/>
        <family val="2"/>
      </rPr>
      <t>KD Category 1</t>
    </r>
    <r>
      <rPr>
        <sz val="14"/>
        <color rgb="FF1B1B1C"/>
        <rFont val="Arial"/>
        <family val="2"/>
      </rPr>
      <t xml:space="preserve"> at </t>
    </r>
    <r>
      <rPr>
        <b/>
        <sz val="14"/>
        <color rgb="FF1B1B1C"/>
        <rFont val="Arial"/>
        <family val="2"/>
      </rPr>
      <t>54,550 NOK per 60 SPE</t>
    </r>
    <r>
      <rPr>
        <sz val="14"/>
        <color rgb="FF1B1B1C"/>
        <rFont val="Arial"/>
        <family val="2"/>
      </rPr>
      <t>.</t>
    </r>
  </si>
  <si>
    <r>
      <t>Net Budgeting Protection:</t>
    </r>
    <r>
      <rPr>
        <sz val="14"/>
        <color rgb="FF1B1B1C"/>
        <rFont val="Arial"/>
        <family val="2"/>
      </rPr>
      <t xml:space="preserve"> Existing baseline volume is protected inside the university’s fixed basis grant (</t>
    </r>
    <r>
      <rPr>
        <i/>
        <sz val="14"/>
        <color rgb="FF1B1B1C"/>
        <rFont val="Arial"/>
        <family val="2"/>
      </rPr>
      <t>basisbevilgning</t>
    </r>
    <r>
      <rPr>
        <sz val="14"/>
        <color rgb="FF1B1B1C"/>
        <rFont val="Arial"/>
        <family val="2"/>
      </rPr>
      <t>). Only net changes in 2025 SPE60 credit volume trigger funding adjustments at the marginal Category 1 rate.</t>
    </r>
  </si>
  <si>
    <r>
      <t>HHU Student Density:</t>
    </r>
    <r>
      <rPr>
        <sz val="14"/>
        <color rgb="FF1B1B1C"/>
        <rFont val="Arial"/>
        <family val="2"/>
      </rPr>
      <t xml:space="preserve"> HHU has a high student-to-faculty density of </t>
    </r>
    <r>
      <rPr>
        <b/>
        <sz val="14"/>
        <color rgb="FF1B1B1C"/>
        <rFont val="Arial"/>
        <family val="2"/>
      </rPr>
      <t>22.3 students per academic UF FTE</t>
    </r>
    <r>
      <rPr>
        <sz val="14"/>
        <color rgb="FF1B1B1C"/>
        <rFont val="Arial"/>
        <family val="2"/>
      </rPr>
      <t>. Because Category 1 generates a relatively low marginal payout per student, student enrollment increases must be managed carefully so that additional teaching costs do not exceed marginal revenue.</t>
    </r>
  </si>
  <si>
    <t>Driver B: AACSB Accreditation Requirements vs. Abolished Publishing Incentives</t>
  </si>
  <si>
    <r>
      <t xml:space="preserve">KDs 2025 funding model incorporated historical publishing points and research income into the permanent basis grant. Although published papers no longer trigger automatic per-article cash payouts from the Ministry, </t>
    </r>
    <r>
      <rPr>
        <b/>
        <sz val="11"/>
        <color rgb="FF1B1B1C"/>
        <rFont val="Arial"/>
        <family val="2"/>
      </rPr>
      <t>HHU must maintain high research activity per academic FTE to satisfy AACSB international accreditation standards</t>
    </r>
    <r>
      <rPr>
        <sz val="11"/>
        <color rgb="FF1B1B1C"/>
        <rFont val="Arial"/>
        <family val="2"/>
      </rPr>
      <t>.</t>
    </r>
  </si>
  <si>
    <r>
      <t>Research Buy-Out (</t>
    </r>
    <r>
      <rPr>
        <b/>
        <i/>
        <sz val="14"/>
        <color rgb="FF1B1B1C"/>
        <rFont val="Arial"/>
        <family val="2"/>
      </rPr>
      <t>Frikjøp</t>
    </r>
    <r>
      <rPr>
        <b/>
        <sz val="14"/>
        <color rgb="FF1B1B1C"/>
        <rFont val="Arial"/>
        <family val="2"/>
      </rPr>
      <t>):</t>
    </r>
    <r>
      <rPr>
        <sz val="14"/>
        <color rgb="FF1B1B1C"/>
        <rFont val="Arial"/>
        <family val="2"/>
      </rPr>
      <t xml:space="preserve"> To fund PhD/Postdoc positions and give senior faculty research time, the 2027 budget must actively plan for external project buy-out in Research Council of Norway (NFR) and EU Horizon Europe projects using the </t>
    </r>
    <r>
      <rPr>
        <b/>
        <sz val="14"/>
        <color rgb="FF1B1B1C"/>
        <rFont val="Arial"/>
        <family val="2"/>
      </rPr>
      <t>TDI model</t>
    </r>
    <r>
      <rPr>
        <sz val="14"/>
        <color rgb="FF1B1B1C"/>
        <rFont val="Arial"/>
        <family val="2"/>
      </rPr>
      <t xml:space="preserve"> (including a ~22% indirect overhead markup).</t>
    </r>
  </si>
  <si>
    <t>Driver C: Restructuring Targets (Action Items T001–T004)</t>
  </si>
  <si>
    <r>
      <t xml:space="preserve">To ensure long-term sustainability across UiA, the university board enacted a binding restructuring plan targeting a </t>
    </r>
    <r>
      <rPr>
        <b/>
        <sz val="11"/>
        <color rgb="FF1B1B1C"/>
        <rFont val="Arial"/>
        <family val="2"/>
      </rPr>
      <t>4.85 MNOK annual reduction in personnel expenses by 2027</t>
    </r>
    <r>
      <rPr>
        <sz val="11"/>
        <color rgb="FF1B1B1C"/>
        <rFont val="Arial"/>
        <family val="2"/>
      </rPr>
      <t>:</t>
    </r>
  </si>
  <si>
    <r>
      <t>T001 &amp; T002 (Staffing Optimization):</t>
    </r>
    <r>
      <rPr>
        <sz val="14"/>
        <color rgb="FF1B1B1C"/>
        <rFont val="Arial"/>
        <family val="2"/>
      </rPr>
      <t xml:space="preserve"> The 2027 budget must enforce a freeze on non-critical administrative hiring (</t>
    </r>
    <r>
      <rPr>
        <b/>
        <sz val="14"/>
        <color rgb="FF1B1B1C"/>
        <rFont val="Arial"/>
        <family val="2"/>
      </rPr>
      <t>TA FTEs</t>
    </r>
    <r>
      <rPr>
        <sz val="14"/>
        <color rgb="FF1B1B1C"/>
        <rFont val="Arial"/>
        <family val="2"/>
      </rPr>
      <t xml:space="preserve">) and incorporate a mandatory </t>
    </r>
    <r>
      <rPr>
        <b/>
        <sz val="14"/>
        <color rgb="FF1B1B1C"/>
        <rFont val="Arial"/>
        <family val="2"/>
      </rPr>
      <t>3–5% vacancy factor</t>
    </r>
    <r>
      <rPr>
        <sz val="14"/>
        <color rgb="FF1B1B1C"/>
        <rFont val="Arial"/>
        <family val="2"/>
      </rPr>
      <t xml:space="preserve"> (</t>
    </r>
    <r>
      <rPr>
        <i/>
        <sz val="14"/>
        <color rgb="FF1B1B1C"/>
        <rFont val="Arial"/>
        <family val="2"/>
      </rPr>
      <t>vakansfaktor</t>
    </r>
    <r>
      <rPr>
        <sz val="14"/>
        <color rgb="FF1B1B1C"/>
        <rFont val="Arial"/>
        <family val="2"/>
      </rPr>
      <t xml:space="preserve">) in UBW Planlegger. It also reflects the strategic reallocation of </t>
    </r>
    <r>
      <rPr>
        <b/>
        <sz val="14"/>
        <color rgb="FF1B1B1C"/>
        <rFont val="Arial"/>
        <family val="2"/>
      </rPr>
      <t>5.0 academic FTEs</t>
    </r>
    <r>
      <rPr>
        <sz val="14"/>
        <color rgb="FF1B1B1C"/>
        <rFont val="Arial"/>
        <family val="2"/>
      </rPr>
      <t xml:space="preserve"> across departments.</t>
    </r>
  </si>
  <si>
    <r>
      <t>T003 &amp; T004 (BOA &amp; EVU Revenue Expansion):</t>
    </r>
    <r>
      <rPr>
        <sz val="14"/>
        <color rgb="FF1B1B1C"/>
        <rFont val="Arial"/>
        <family val="2"/>
      </rPr>
      <t xml:space="preserve"> Targets increasing external research and executive education revenue (</t>
    </r>
    <r>
      <rPr>
        <i/>
        <sz val="14"/>
        <color rgb="FF1B1B1C"/>
        <rFont val="Arial"/>
        <family val="2"/>
      </rPr>
      <t>Etter- og videreutdanning / EVU</t>
    </r>
    <r>
      <rPr>
        <sz val="14"/>
        <color rgb="FF1B1B1C"/>
        <rFont val="Arial"/>
        <family val="2"/>
      </rPr>
      <t>) towards 150.0 MNOK university-wide.</t>
    </r>
  </si>
  <si>
    <t>Driver D: The 5% Carryover Rule (Circular F-05-20)</t>
  </si>
  <si>
    <r>
      <t>Under state accounting rules (</t>
    </r>
    <r>
      <rPr>
        <b/>
        <sz val="11"/>
        <color rgb="FF1B1B1C"/>
        <rFont val="Arial"/>
        <family val="2"/>
      </rPr>
      <t>F-05-20</t>
    </r>
    <r>
      <rPr>
        <sz val="11"/>
        <color rgb="FF1B1B1C"/>
        <rFont val="Arial"/>
        <family val="2"/>
      </rPr>
      <t xml:space="preserve">), unspent government grant reserves exceeding </t>
    </r>
    <r>
      <rPr>
        <b/>
        <sz val="11"/>
        <color rgb="FF1B1B1C"/>
        <rFont val="Arial"/>
        <family val="2"/>
      </rPr>
      <t>5% of årets bevilgning</t>
    </r>
    <r>
      <rPr>
        <sz val="11"/>
        <color rgb="FF1B1B1C"/>
        <rFont val="Arial"/>
        <family val="2"/>
      </rPr>
      <t xml:space="preserve"> risk clawback by the Ministry. The controller must ensure that HHU’s portion of reserve capital (</t>
    </r>
    <r>
      <rPr>
        <i/>
        <sz val="11"/>
        <color rgb="FF1B1B1C"/>
        <rFont val="Arial"/>
        <family val="2"/>
      </rPr>
      <t>formålskapital</t>
    </r>
    <r>
      <rPr>
        <sz val="11"/>
        <color rgb="FF1B1B1C"/>
        <rFont val="Arial"/>
        <family val="2"/>
      </rPr>
      <t>) is tied to multi-year investment plans (e.g., IT systems, lab upgrades, AACSB review cycles) rather than passive unbudgeted balances.</t>
    </r>
  </si>
  <si>
    <t>3. The 2027 Budget Cycle &amp; Operational Workflow (UiA Årshjul)</t>
  </si>
  <si>
    <t>The 2027 budgeting process follows the standard four-quarter cycle of the university fiscal year:</t>
  </si>
  <si>
    <t xml:space="preserve">   [ Q1 2027: FRAME CLARIFICATION ]     Analyze KD Award Letter (Kap. 260) &amp; Central Allocation [7, 12, 15]</t>
  </si>
  <si>
    <t xml:space="preserve">   [ Q2-Q3 2027: UBW DRAFTING ]        Departmental Budgeting, Vacancy Factor &amp; 5-Yr Prognosis [7, 8, 17]</t>
  </si>
  <si>
    <t xml:space="preserve">   [ Q4 2027: SYSTEM FREEZE ]          Consolidation, Board Approval &amp; System Lock in UBW [7, 8]</t>
  </si>
  <si>
    <t xml:space="preserve">   [ 2027 OPERATING YEAR ]             Monthly Actuals vs Budget (FactGL) &amp; LE Rolling Forecasts [7, 8, 23]</t>
  </si>
  <si>
    <r>
      <t>Q1 2027 – Frame Clarification (</t>
    </r>
    <r>
      <rPr>
        <b/>
        <i/>
        <sz val="14"/>
        <color rgb="FF1B1B1C"/>
        <rFont val="Arial"/>
        <family val="2"/>
      </rPr>
      <t>Rammeavklaring</t>
    </r>
    <r>
      <rPr>
        <b/>
        <sz val="14"/>
        <color rgb="FF1B1B1C"/>
        <rFont val="Arial"/>
        <family val="2"/>
      </rPr>
      <t>):</t>
    </r>
  </si>
  <si>
    <t>Review KD allocation letter (Kap. 260) and central UiA board guidelines.</t>
  </si>
  <si>
    <r>
      <t xml:space="preserve">Calculate HHU's exact 2027 performance allocation based on final audited </t>
    </r>
    <r>
      <rPr>
        <b/>
        <sz val="14"/>
        <color rgb="FF1B1B1C"/>
        <rFont val="Arial"/>
        <family val="2"/>
      </rPr>
      <t>2025 SPE60 production</t>
    </r>
    <r>
      <rPr>
        <sz val="14"/>
        <color rgb="FF1B1B1C"/>
        <rFont val="Arial"/>
        <family val="2"/>
      </rPr>
      <t xml:space="preserve"> in the Felles Studentsystem (FS).</t>
    </r>
  </si>
  <si>
    <t>Q2–Q3 2027 – Departmental Budgeting in UBW Planlegger:</t>
  </si>
  <si>
    <r>
      <t xml:space="preserve">Department heads enter detailed staffing, teaching, and operating plans into </t>
    </r>
    <r>
      <rPr>
        <b/>
        <sz val="14"/>
        <color rgb="FF1B1B1C"/>
        <rFont val="Arial"/>
        <family val="2"/>
      </rPr>
      <t>Unit4 UBW Planlegger</t>
    </r>
    <r>
      <rPr>
        <sz val="14"/>
        <color rgb="FF1B1B1C"/>
        <rFont val="Arial"/>
        <family val="2"/>
      </rPr>
      <t>.</t>
    </r>
  </si>
  <si>
    <r>
      <t>Senior Controller verifies that every position includes exact SPK pension rates, employer national insurance contributions (</t>
    </r>
    <r>
      <rPr>
        <i/>
        <sz val="14"/>
        <color rgb="FF1B1B1C"/>
        <rFont val="Arial"/>
        <family val="2"/>
      </rPr>
      <t>arbeidsgiveravgift</t>
    </r>
    <r>
      <rPr>
        <sz val="14"/>
        <color rgb="FF1B1B1C"/>
        <rFont val="Arial"/>
        <family val="2"/>
      </rPr>
      <t xml:space="preserve">), realistic recruitment lag (3–6 months), and a </t>
    </r>
    <r>
      <rPr>
        <b/>
        <sz val="14"/>
        <color rgb="FF1B1B1C"/>
        <rFont val="Arial"/>
        <family val="2"/>
      </rPr>
      <t>3–5% central vacancy factor</t>
    </r>
    <r>
      <rPr>
        <sz val="14"/>
        <color rgb="FF1B1B1C"/>
        <rFont val="Arial"/>
        <family val="2"/>
      </rPr>
      <t>.</t>
    </r>
  </si>
  <si>
    <r>
      <t>Construct a 5-year rolling sustainability forecast (</t>
    </r>
    <r>
      <rPr>
        <b/>
        <sz val="14"/>
        <color rgb="FF1B1B1C"/>
        <rFont val="Arial"/>
        <family val="2"/>
      </rPr>
      <t>PROG2027–2031</t>
    </r>
    <r>
      <rPr>
        <sz val="14"/>
        <color rgb="FF1B1B1C"/>
        <rFont val="Arial"/>
        <family val="2"/>
      </rPr>
      <t>).</t>
    </r>
  </si>
  <si>
    <r>
      <t>Q4 2027 – Executive Review &amp; System Freeze (</t>
    </r>
    <r>
      <rPr>
        <b/>
        <i/>
        <sz val="14"/>
        <color rgb="FF1B1B1C"/>
        <rFont val="Arial"/>
        <family val="2"/>
      </rPr>
      <t>Systemfrys</t>
    </r>
    <r>
      <rPr>
        <b/>
        <sz val="14"/>
        <color rgb="FF1B1B1C"/>
        <rFont val="Arial"/>
        <family val="2"/>
      </rPr>
      <t>):</t>
    </r>
  </si>
  <si>
    <t>Reconcile HHU's consolidated draft with central finance.</t>
  </si>
  <si>
    <r>
      <t xml:space="preserve">Execute the formal </t>
    </r>
    <r>
      <rPr>
        <b/>
        <sz val="14"/>
        <color rgb="FF1B1B1C"/>
        <rFont val="Arial"/>
        <family val="2"/>
      </rPr>
      <t>system freeze</t>
    </r>
    <r>
      <rPr>
        <sz val="14"/>
        <color rgb="FF1B1B1C"/>
        <rFont val="Arial"/>
        <family val="2"/>
      </rPr>
      <t xml:space="preserve"> in UBW. Once locked, baseline budget figures (</t>
    </r>
    <r>
      <rPr>
        <b/>
        <sz val="14"/>
        <color rgb="FF1B1B1C"/>
        <rFont val="Arial"/>
        <family val="2"/>
      </rPr>
      <t>BUD2027</t>
    </r>
    <r>
      <rPr>
        <sz val="14"/>
        <color rgb="FF1B1B1C"/>
        <rFont val="Arial"/>
        <family val="2"/>
      </rPr>
      <t>) cannot be altered, establishing audit-trail integrity for subsequent variance reporting.</t>
    </r>
  </si>
  <si>
    <t>4. 2027 Financial Budget Scenario for HHU</t>
  </si>
  <si>
    <r>
      <t xml:space="preserve">Based on the 2026 baseline (276.6 MNOK Revenue / 274.4 MNOK Expenses), the table below presents the </t>
    </r>
    <r>
      <rPr>
        <b/>
        <sz val="11"/>
        <color rgb="FF1B1B1C"/>
        <rFont val="Arial"/>
        <family val="2"/>
      </rPr>
      <t>full 2027 budget reconciliation model (BUD2027)</t>
    </r>
    <r>
      <rPr>
        <sz val="11"/>
        <color rgb="FF1B1B1C"/>
        <rFont val="Arial"/>
        <family val="2"/>
      </rPr>
      <t xml:space="preserve"> prepared by the Senior Controller:</t>
    </r>
  </si>
  <si>
    <t>Budget Line Item</t>
  </si>
  <si>
    <t>Account Class / Source</t>
  </si>
  <si>
    <t>2026 Baseline (MNOK)</t>
  </si>
  <si>
    <t>2027 Adjustments / Drivers</t>
  </si>
  <si>
    <t>2027 Budget (MNOK)</t>
  </si>
  <si>
    <t>Notes &amp; Regulatory Justification</t>
  </si>
  <si>
    <t>KD State Allocation (Basis)</t>
  </si>
  <si>
    <t>Konto 3900 / Post 50</t>
  </si>
  <si>
    <t>+5.2 (Price/salary indexation ~2.1%)</t>
  </si>
  <si>
    <t>252.0</t>
  </si>
  <si>
    <t>Fixed basis protected by net budgeting.</t>
  </si>
  <si>
    <t>KD Performance (2025 SPE60 Lag)</t>
  </si>
  <si>
    <t>Konto 3900 / FS</t>
  </si>
  <si>
    <t>+1.8 (+33 SPE60 @ Kat 1 54 550 kr)</t>
  </si>
  <si>
    <t>2-year lag payout from 2025 credit growth.</t>
  </si>
  <si>
    <t>Research Grants (NFR / EU)</t>
  </si>
  <si>
    <t>Konto 3400 / 3420</t>
  </si>
  <si>
    <t>+1.8 (Increased buy-out / TDI overhead)</t>
  </si>
  <si>
    <t>20.0</t>
  </si>
  <si>
    <t>SRS 10 revenue matching project expenses.</t>
  </si>
  <si>
    <t>Commission &amp; EVU Revenue</t>
  </si>
  <si>
    <t>Konto 3600 / 3630</t>
  </si>
  <si>
    <t>+1.4 (Expanded corporate EVU portfolio)</t>
  </si>
  <si>
    <t>13.0</t>
  </si>
  <si>
    <t>SRS 9 completion-rate accounting (T003 target).</t>
  </si>
  <si>
    <t>TOTAL REVENUE (BUD2027)</t>
  </si>
  <si>
    <t>Klasse 3</t>
  </si>
  <si>
    <t>+10.2 MNOK (+3.7%)</t>
  </si>
  <si>
    <t>286.8</t>
  </si>
  <si>
    <r>
      <t>Approved 2027 Revenue Baseline (BAC)</t>
    </r>
    <r>
      <rPr>
        <sz val="11"/>
        <color rgb="FF1B1B1C"/>
        <rFont val="Arial"/>
        <family val="2"/>
      </rPr>
      <t>.</t>
    </r>
  </si>
  <si>
    <t>Personnel Expenses (Lønn)</t>
  </si>
  <si>
    <t>Konto 5000–5999</t>
  </si>
  <si>
    <t>+4.6 (Lønnssoppgjør minus T001/T002 freeze)</t>
  </si>
  <si>
    <t>184.0</t>
  </si>
  <si>
    <r>
      <t xml:space="preserve">Keeps labor share at </t>
    </r>
    <r>
      <rPr>
        <b/>
        <sz val="11"/>
        <color rgb="FF1B1B1C"/>
        <rFont val="Arial"/>
        <family val="2"/>
      </rPr>
      <t>64.2%</t>
    </r>
    <r>
      <rPr>
        <sz val="11"/>
        <color rgb="FF1B1B1C"/>
        <rFont val="Arial"/>
        <family val="2"/>
      </rPr>
      <t xml:space="preserve"> of revenue (&lt;65.0% norm).</t>
    </r>
  </si>
  <si>
    <t>Operating Expenses (Drift)</t>
  </si>
  <si>
    <t>Konto 6000–7999</t>
  </si>
  <si>
    <t>+1.4 (IT licenses, travel, AACSB audit)</t>
  </si>
  <si>
    <t>66.0</t>
  </si>
  <si>
    <t>Includes AACSB review fees (Konto 6700).</t>
  </si>
  <si>
    <t>Capital Expenditures (Capex)</t>
  </si>
  <si>
    <t>SRS 17 / Konto 1250</t>
  </si>
  <si>
    <t>+1.6 (IT infrastructure &amp; lab renewal)</t>
  </si>
  <si>
    <t>32.0</t>
  </si>
  <si>
    <t>Approved multi-year investment plan.</t>
  </si>
  <si>
    <t>TOTAL EXPENSES (BUD2027)</t>
  </si>
  <si>
    <t>Klasse 5–7</t>
  </si>
  <si>
    <t>+7.6 MNOK (+2.8%)</t>
  </si>
  <si>
    <t>282.0</t>
  </si>
  <si>
    <r>
      <t>Approved 2027 Expense Baseline (EAC)</t>
    </r>
    <r>
      <rPr>
        <sz val="11"/>
        <color rgb="FF1B1B1C"/>
        <rFont val="Arial"/>
        <family val="2"/>
      </rPr>
      <t>.</t>
    </r>
  </si>
  <si>
    <t>NET OPERATING RESULT</t>
  </si>
  <si>
    <t>Net Margin</t>
  </si>
  <si>
    <t>+2.6 MNOK Net Surplus</t>
  </si>
  <si>
    <t>+4.8</t>
  </si>
  <si>
    <r>
      <t>Positive operating contribution to UiA reserves</t>
    </r>
    <r>
      <rPr>
        <sz val="11"/>
        <color rgb="FF1B1B1C"/>
        <rFont val="Arial"/>
        <family val="2"/>
      </rPr>
      <t>.</t>
    </r>
  </si>
  <si>
    <t>5. Power BI 2027 Budgeting Measures &amp; RAG Status</t>
  </si>
  <si>
    <t>To monitor 2027 execution against the BUD2027 baseline in Power BI, the Senior Controller uses these DAX measures:</t>
  </si>
  <si>
    <t>// 1. Approved 2027 Budget Baseline (BAC)</t>
  </si>
  <si>
    <t xml:space="preserve">HHU 2027 Budget BAC = </t>
  </si>
  <si>
    <t xml:space="preserve">    SUM('FactBudget'[BudsjettBelop]),</t>
  </si>
  <si>
    <t xml:space="preserve">    'DimForecastVersion'[VersjonKode] = "BUD2027"</t>
  </si>
  <si>
    <t>// 2. 2027 YTD Budget Variance (Actual vs BUD2027)</t>
  </si>
  <si>
    <t xml:space="preserve">HHU 2027 Budget Variance YTD = </t>
  </si>
  <si>
    <t>VAR ActualYTD = CALCULATE([Actual YTD], 'DimOrganization'[Fakultetsnavn] = "Handelshøyskolen ved UiA (HHU)")</t>
  </si>
  <si>
    <t>VAR BudgetYTD = CALCULATE(SUM('FactBudget'[BudsjettBelop]), 'DimOrganization'[Fakultetsnavn] = "Handelshøyskolen ved UiA (HHU)", 'DimForecastVersion'[VersjonKode] = "BUD2027", 'DimDate'[ErActualYTD] = TRUE())</t>
  </si>
  <si>
    <t>RETURN ActualYTD - BudgetYTD</t>
  </si>
  <si>
    <t>// 3. 2027 Personnel Cost Ratio (% of Total Revenue)</t>
  </si>
  <si>
    <t xml:space="preserve">HHU 2027 Labor Share % = </t>
  </si>
  <si>
    <t>VAR Labor = CALCULATE([Forecast LE (EAC)], 'DimOrganization'[Fakultetsnavn] = "Handelshøyskolen ved UiA (HHU)", 'DimAccountHierarchy'[Nivaa1_Navn] = "Lønnskostnad")</t>
  </si>
  <si>
    <t>VAR Revenue = CALCULATE([Forecast LE (EAC)], 'DimOrganization'[Fakultetsnavn] = "Handelshøyskolen ved UiA (HHU)", 'DimAccountHierarchy'[Nivaa1_Navn] = "Salgs- og driftsinntekt")</t>
  </si>
  <si>
    <t>RETURN DIVIDE(Labor, Revenue, 0)</t>
  </si>
  <si>
    <t>// 4. HHU 2027 Executive RAG Status</t>
  </si>
  <si>
    <t xml:space="preserve">HHU 2027 RAG Status = </t>
  </si>
  <si>
    <t>VAR NetResult = CALCULATE([Sluttavvik (VAC)], 'DimOrganization'[Fakultetsnavn] = "Handelshøyskolen ved UiA (HHU)")</t>
  </si>
  <si>
    <t>VAR LaborShare = [HHU 2027 Labor Share %]</t>
  </si>
  <si>
    <t>SWITCH(</t>
  </si>
  <si>
    <t xml:space="preserve">    TRUE(),</t>
  </si>
  <si>
    <t xml:space="preserve">    NetResult &gt;= 0.0 &amp;&amp; LaborShare &lt;= 0.65, "🟢 On Track (Surplus &amp; Labor &lt; 65%)",</t>
  </si>
  <si>
    <t xml:space="preserve">    NetResult &gt;= -2.0, "🟡 Moderate Variance (Deficit &lt; 2.0 MNOK)",</t>
  </si>
  <si>
    <t xml:space="preserve">    "🔴 Critical Deficit / High Labor Share"</t>
  </si>
  <si>
    <t>6. Controller Deliverables &amp; Compliance Checklist (Seniorrådgiver Code 1364)</t>
  </si>
  <si>
    <t>To complete the 2027 budgeting process successfully, the Senior Controller delivers the following documentation:</t>
  </si>
  <si>
    <r>
      <t xml:space="preserve">[x] </t>
    </r>
    <r>
      <rPr>
        <b/>
        <sz val="14"/>
        <color rgb="FF1B1B1C"/>
        <rFont val="Arial"/>
        <family val="2"/>
      </rPr>
      <t>BUD2027 Consolidation in UBW Planlegger:</t>
    </r>
    <r>
      <rPr>
        <sz val="14"/>
        <color rgb="FF1B1B1C"/>
        <rFont val="Arial"/>
        <family val="2"/>
      </rPr>
      <t xml:space="preserve"> Verified 100% agreement between departmental staffing plans, social costs, vacancy factors, and approved faculty frames.</t>
    </r>
  </si>
  <si>
    <r>
      <t xml:space="preserve">[x] </t>
    </r>
    <r>
      <rPr>
        <b/>
        <sz val="14"/>
        <color rgb="FF1B1B1C"/>
        <rFont val="Arial"/>
        <family val="2"/>
      </rPr>
      <t>2025 SPE60 Lag Verification:</t>
    </r>
    <r>
      <rPr>
        <sz val="14"/>
        <color rgb="FF1B1B1C"/>
        <rFont val="Arial"/>
        <family val="2"/>
      </rPr>
      <t xml:space="preserve"> Verified that performance funding adjustments reflect actual audited 2025 credit production from FS.</t>
    </r>
  </si>
  <si>
    <r>
      <t xml:space="preserve">[x] </t>
    </r>
    <r>
      <rPr>
        <b/>
        <sz val="14"/>
        <color rgb="FF1B1B1C"/>
        <rFont val="Arial"/>
        <family val="2"/>
      </rPr>
      <t>TDI Overhead &amp; Buy-out Audit:</t>
    </r>
    <r>
      <rPr>
        <sz val="14"/>
        <color rgb="FF1B1B1C"/>
        <rFont val="Arial"/>
        <family val="2"/>
      </rPr>
      <t xml:space="preserve"> Checked all NFR/EU project budgets for full ~22% overhead recovery and verified that academic buy-out is offset by reduced teaching loads.</t>
    </r>
  </si>
  <si>
    <r>
      <t xml:space="preserve">[x] </t>
    </r>
    <r>
      <rPr>
        <b/>
        <sz val="14"/>
        <color rgb="FF1B1B1C"/>
        <rFont val="Arial"/>
        <family val="2"/>
      </rPr>
      <t>5% Reserve Rule Compliance (F-05-20):</t>
    </r>
    <r>
      <rPr>
        <sz val="14"/>
        <color rgb="FF1B1B1C"/>
        <rFont val="Arial"/>
        <family val="2"/>
      </rPr>
      <t xml:space="preserve"> Confirmed that HHU's capital allocations are mapped to approved multi-year investment plans (IT, labs, AACSB review).</t>
    </r>
  </si>
  <si>
    <r>
      <t xml:space="preserve">[x] </t>
    </r>
    <r>
      <rPr>
        <b/>
        <sz val="14"/>
        <color rgb="FF1B1B1C"/>
        <rFont val="Arial"/>
        <family val="2"/>
      </rPr>
      <t>System Freeze Execution:</t>
    </r>
    <r>
      <rPr>
        <sz val="14"/>
        <color rgb="FF1B1B1C"/>
        <rFont val="Arial"/>
        <family val="2"/>
      </rPr>
      <t xml:space="preserve"> Locked </t>
    </r>
    <r>
      <rPr>
        <sz val="10"/>
        <color rgb="FF303030"/>
        <rFont val="Google Sans Code"/>
        <family val="3"/>
      </rPr>
      <t>BUD2027</t>
    </r>
    <r>
      <rPr>
        <sz val="14"/>
        <color rgb="FF1B1B1C"/>
        <rFont val="Arial"/>
        <family val="2"/>
      </rPr>
      <t xml:space="preserve"> in Unit4 UBW prior to final board approval to establish an immutable baseline for 2027 variance tracking.</t>
    </r>
  </si>
  <si>
    <t>Budsjettnotat 2027: Handelshøyskolen ved UiA (HHU)</t>
  </si>
  <si>
    <r>
      <t>Til:</t>
    </r>
    <r>
      <rPr>
        <sz val="11"/>
        <color rgb="FF303030"/>
        <rFont val="Arial"/>
        <family val="2"/>
      </rPr>
      <t xml:space="preserve"> Fakultetsstyret ved Handelshøyskolen ved UiA </t>
    </r>
    <r>
      <rPr>
        <b/>
        <sz val="11"/>
        <color rgb="FF303030"/>
        <rFont val="Arial"/>
        <family val="2"/>
      </rPr>
      <t>Fra:</t>
    </r>
    <r>
      <rPr>
        <sz val="11"/>
        <color rgb="FF303030"/>
        <rFont val="Arial"/>
        <family val="2"/>
      </rPr>
      <t xml:space="preserve"> Fakultetsadministrasjonen </t>
    </r>
    <r>
      <rPr>
        <b/>
        <sz val="11"/>
        <color rgb="FF303030"/>
        <rFont val="Arial"/>
        <family val="2"/>
      </rPr>
      <t>Dato:</t>
    </r>
    <r>
      <rPr>
        <sz val="11"/>
        <color rgb="FF303030"/>
        <rFont val="Arial"/>
        <family val="2"/>
      </rPr>
      <t xml:space="preserve"> 15. oktober 2026 </t>
    </r>
    <r>
      <rPr>
        <b/>
        <sz val="11"/>
        <color rgb="FF303030"/>
        <rFont val="Arial"/>
        <family val="2"/>
      </rPr>
      <t>Saksbehandler:</t>
    </r>
    <r>
      <rPr>
        <sz val="11"/>
        <color rgb="FF303030"/>
        <rFont val="Arial"/>
        <family val="2"/>
      </rPr>
      <t xml:space="preserve"> Seniorrådgiver innen strategisk økonomistyring </t>
    </r>
    <r>
      <rPr>
        <b/>
        <sz val="11"/>
        <color rgb="FF303030"/>
        <rFont val="Arial"/>
        <family val="2"/>
      </rPr>
      <t>Gjelder:</t>
    </r>
    <r>
      <rPr>
        <sz val="11"/>
        <color rgb="FF303030"/>
        <rFont val="Arial"/>
        <family val="2"/>
      </rPr>
      <t xml:space="preserve"> Forslag til budsjettramme for 2027</t>
    </r>
  </si>
  <si>
    <t>1. Executive Summary og Vedtaksforslag</t>
  </si>
  <si>
    <t>Budsjettet for 2027 markerer fullføringen av overgangen til Kunnskapsdepartementets (KD) nye finansieringsregime. For Handelshøyskolen ved UiA (HHU) er dette budsjettet det viktigste verktøyet for å opprettholde faglig autonomi og vår internasjonale posisjon gjennom AACSB-akkrediteringen. Strategien for 2027 er todelt: Vi skal utnytte handlingsrommet i Bevilgningsfinansiert virksomhet (BFV) for å beskytte kjerneaktiviteten, samtidig som vi profesjonaliserer prosjektøkonomien for å sikre vekst gjennom eksternfinansiering (BOA).</t>
  </si>
  <si>
    <t>Hovedmåltallet for 2027 viser et planlagt driftsoverskudd som skal anvendes til strategiske investeringer fremfor passiv sparing:</t>
  </si>
  <si>
    <t>Kategori</t>
  </si>
  <si>
    <t>Budsjettert 2027 (MNOK)</t>
  </si>
  <si>
    <t>Samlede inntekter</t>
  </si>
  <si>
    <t>286,8</t>
  </si>
  <si>
    <t>Samlede kostnader</t>
  </si>
  <si>
    <t>282,0</t>
  </si>
  <si>
    <t>Forventet driftsresultat</t>
  </si>
  <si>
    <t>+4,8</t>
  </si>
  <si>
    <t>Vedtaksforslag</t>
  </si>
  <si>
    <t>Fakultetsstyret godkjenner budsjettrammen for 2027 med en samlet inntektsramme på 286,8 MNOK og kostnadsramme på 282,0 MNOK.</t>
  </si>
  <si>
    <t>Fakultetsdirektøren gis mandat til å realisere omstillingstiltakene T001–T004 for å sikre budsjettbalanse og faglig handlingsrom.</t>
  </si>
  <si>
    <t>Fakultetsledelsen gis fullmakt til å utarbeide periodiserte investeringsplaner (Capex) for å styre overskuddet i tråd med 5 %-regelen.</t>
  </si>
  <si>
    <t>Budsjettoppfølgingen skal skje i henhold til 3-30-300-regelen med månedlig rapportering av RAG-status i Power BI.</t>
  </si>
  <si>
    <t>Det økonomiske handlingsrommet i 2027 er direkte avhengig av vår evne til å navigere i de nye statlige rammebetingelsene.</t>
  </si>
  <si>
    <t>2. Rammebetingelser og KDs Finansieringsmodell 2027</t>
  </si>
  <si>
    <t>Overgangen til KDs 2025/2027-modell innebærer et skifte mot "styring i det store", der departementet overlater dimensjoneringsrisikoen i sin helhet til fakultetet.</t>
  </si>
  <si>
    <t>Strategisk analyse av finansieringslogikken:</t>
  </si>
  <si>
    <r>
      <t>Nettobudsjetteringseffekten:</t>
    </r>
    <r>
      <rPr>
        <sz val="14"/>
        <color rgb="FF303030"/>
        <rFont val="Arial"/>
        <family val="2"/>
      </rPr>
      <t xml:space="preserve"> Eksisterende studieplassvolum ligger fast i basisbevilgningen, som fungerer som et beskyttende "skjold" mot devalueringsrisiko. Det er kritisk å forstå at basisbevilgningen dekker våre reelle historiske kostnader, mens nye tildelinger og produksjonsendringer følger de nye satsene.</t>
    </r>
  </si>
  <si>
    <r>
      <t>Kategori 1-satser (54 550 kr per 60 SPE):</t>
    </r>
    <r>
      <rPr>
        <sz val="14"/>
        <color rgb="FF303030"/>
        <rFont val="Arial"/>
        <family val="2"/>
      </rPr>
      <t xml:space="preserve"> Våre kjernefag innen økonomi, ledelse og juss er plassert i laveste kategori. Denne satsen reflekterer et insentiv for endring, ikke den reelle kostnaden ved utdanning av høy kvalitet. Å skalere opp volum utelukkende basert på denne satsen vil skape et strukturelt underskudd på sikt.</t>
    </r>
  </si>
  <si>
    <r>
      <t>2-års etterslep på SPE60:</t>
    </r>
    <r>
      <rPr>
        <sz val="14"/>
        <color rgb="FF303030"/>
        <rFont val="Arial"/>
        <family val="2"/>
      </rPr>
      <t xml:space="preserve"> Inntektene i 2027 er låst til produksjonen i 2025. Dette krever at vi i dag styrer gjennomføringsgraden for 3 120 SPE60-ekvivalenter for å sikre inntektsstrømmen i 2029.</t>
    </r>
  </si>
  <si>
    <r>
      <t>Konklusjon:</t>
    </r>
    <r>
      <rPr>
        <sz val="11"/>
        <color rgb="FF303030"/>
        <rFont val="Arial"/>
        <family val="2"/>
      </rPr>
      <t xml:space="preserve"> Fakultetet må balansere volumvekst strengt mot marginalkostnader, da de nye kategorisatsene undergraver finansieringen av tettere studentoppfølging.</t>
    </r>
  </si>
  <si>
    <t>3. Inntekt- og Kostnadsanalyse (BUD2027 vs. 2026 Baseline)</t>
  </si>
  <si>
    <t>For å sikre sporbarhet og dataintegritet benyttes driverbasert budsjettering, der endringer fra 2026-baseline forklares gjennom aktivitet og lønnsutvikling.</t>
  </si>
  <si>
    <r>
      <t xml:space="preserve">| Finansiell post | 2026 Baseline (MNOK) | Budsjett 2027 (MNOK) | Endring (%) | | :--- | :--- | : :--- | :--- | | </t>
    </r>
    <r>
      <rPr>
        <b/>
        <sz val="11"/>
        <color rgb="FF303030"/>
        <rFont val="Arial"/>
        <family val="2"/>
      </rPr>
      <t>Statlig ramme og BOA-inntekt</t>
    </r>
    <r>
      <rPr>
        <sz val="11"/>
        <color rgb="FF303030"/>
        <rFont val="Arial"/>
        <family val="2"/>
      </rPr>
      <t xml:space="preserve"> | 276,6 | 286,8 | +3,7 % | | </t>
    </r>
    <r>
      <rPr>
        <b/>
        <sz val="11"/>
        <color rgb="FF303030"/>
        <rFont val="Arial"/>
        <family val="2"/>
      </rPr>
      <t>Lønnskostnader</t>
    </r>
    <r>
      <rPr>
        <sz val="11"/>
        <color rgb="FF303030"/>
        <rFont val="Arial"/>
        <family val="2"/>
      </rPr>
      <t xml:space="preserve"> | 180,9 | 184,0 | +1,7 % | | </t>
    </r>
    <r>
      <rPr>
        <b/>
        <sz val="11"/>
        <color rgb="FF303030"/>
        <rFont val="Arial"/>
        <family val="2"/>
      </rPr>
      <t>Drift (inkl. AACSB-avsetning)</t>
    </r>
    <r>
      <rPr>
        <sz val="11"/>
        <color rgb="FF303030"/>
        <rFont val="Arial"/>
        <family val="2"/>
      </rPr>
      <t xml:space="preserve"> | 61,5 | 66,0 | +7,3 % | | </t>
    </r>
    <r>
      <rPr>
        <b/>
        <sz val="11"/>
        <color rgb="FF303030"/>
        <rFont val="Arial"/>
        <family val="2"/>
      </rPr>
      <t>Investeringer (Capex)</t>
    </r>
    <r>
      <rPr>
        <sz val="11"/>
        <color rgb="FF303030"/>
        <rFont val="Arial"/>
        <family val="2"/>
      </rPr>
      <t xml:space="preserve"> | 32,0 | 32,0 | 0,0 % | | </t>
    </r>
    <r>
      <rPr>
        <b/>
        <sz val="11"/>
        <color rgb="FF303030"/>
        <rFont val="Arial"/>
        <family val="2"/>
      </rPr>
      <t>Netto driftsresultat</t>
    </r>
    <r>
      <rPr>
        <sz val="11"/>
        <color rgb="FF303030"/>
        <rFont val="Arial"/>
        <family val="2"/>
      </rPr>
      <t xml:space="preserve"> | </t>
    </r>
    <r>
      <rPr>
        <b/>
        <sz val="11"/>
        <color rgb="FF303030"/>
        <rFont val="Arial"/>
        <family val="2"/>
      </rPr>
      <t>+2,2</t>
    </r>
    <r>
      <rPr>
        <sz val="11"/>
        <color rgb="FF303030"/>
        <rFont val="Arial"/>
        <family val="2"/>
      </rPr>
      <t xml:space="preserve"> | </t>
    </r>
    <r>
      <rPr>
        <b/>
        <sz val="11"/>
        <color rgb="FF303030"/>
        <rFont val="Arial"/>
        <family val="2"/>
      </rPr>
      <t>+4,8</t>
    </r>
    <r>
      <rPr>
        <sz val="11"/>
        <color rgb="FF303030"/>
        <rFont val="Arial"/>
        <family val="2"/>
      </rPr>
      <t xml:space="preserve"> | </t>
    </r>
    <r>
      <rPr>
        <b/>
        <sz val="11"/>
        <color rgb="FF303030"/>
        <rFont val="Arial"/>
        <family val="2"/>
      </rPr>
      <t>+118 %</t>
    </r>
    <r>
      <rPr>
        <sz val="11"/>
        <color rgb="FF303030"/>
        <rFont val="Arial"/>
        <family val="2"/>
      </rPr>
      <t xml:space="preserve"> |</t>
    </r>
  </si>
  <si>
    <t>"So What?"-analyse av lønnsandelen</t>
  </si>
  <si>
    <r>
      <t xml:space="preserve">Lønnskostnadene på 184,0 MNOK tilsvarer en lønnsandel på </t>
    </r>
    <r>
      <rPr>
        <b/>
        <sz val="11"/>
        <color rgb="FF303030"/>
        <rFont val="Arial"/>
        <family val="2"/>
      </rPr>
      <t>64,2 %</t>
    </r>
    <r>
      <rPr>
        <sz val="11"/>
        <color rgb="FF303030"/>
        <rFont val="Arial"/>
        <family val="2"/>
      </rPr>
      <t>. Dette er under fakultetets kritiske tak på 65 % og gir HHU nødvendig strategisk fleksibilitet.</t>
    </r>
  </si>
  <si>
    <r>
      <t>Strategisk betydning:</t>
    </r>
    <r>
      <rPr>
        <sz val="14"/>
        <color rgb="FF303030"/>
        <rFont val="Arial"/>
        <family val="2"/>
      </rPr>
      <t xml:space="preserve"> En lønnsandel under 65 % betyr at vi kan absorbere uforutsett prisvekst eller svikt i resultatbevilgningen uten å ty til umiddelbar ansettelsesstopp. Dette handlingsrommet skal brukes til å styrke forskningskapasiteten gjennom målrettede rekrutteringer i tråd med bemanningsplanen.</t>
    </r>
  </si>
  <si>
    <t>4. Bemanning, Lærertetthet og Omstillingstiltak</t>
  </si>
  <si>
    <t>Årsverksstyring er vårt kraftigste verktøy for økonomisk bærekraft. Bemanningsplanen for 2027 er dimensjonert for å håndtere 3 450 registrerte studenter med høy faglig kvalitet.</t>
  </si>
  <si>
    <t>Nøkkeltall for bemanning:</t>
  </si>
  <si>
    <r>
      <t>Totalt 230 årsverk:</t>
    </r>
    <r>
      <rPr>
        <sz val="14"/>
        <color rgb="FF303030"/>
        <rFont val="Arial"/>
        <family val="2"/>
      </rPr>
      <t xml:space="preserve"> 155 UF (vitenskapelige) og 75 TA (teknisk-administrative).</t>
    </r>
  </si>
  <si>
    <r>
      <t>Lærertetthet:</t>
    </r>
    <r>
      <rPr>
        <sz val="14"/>
        <color rgb="FF303030"/>
        <rFont val="Arial"/>
        <family val="2"/>
      </rPr>
      <t xml:space="preserve"> 22,3 studenter per UF-årsverk. Dette er en sunn ratio som underbygger kravene i AACSB-akkrediteringen.</t>
    </r>
  </si>
  <si>
    <r>
      <t>Vakansfaktor:</t>
    </r>
    <r>
      <rPr>
        <sz val="14"/>
        <color rgb="FF303030"/>
        <rFont val="Arial"/>
        <family val="2"/>
      </rPr>
      <t xml:space="preserve"> Det er lagt inn en sentral vakansreduksjon på </t>
    </r>
    <r>
      <rPr>
        <b/>
        <sz val="14"/>
        <color rgb="FF303030"/>
        <rFont val="Arial"/>
        <family val="2"/>
      </rPr>
      <t>3–5 %</t>
    </r>
    <r>
      <rPr>
        <sz val="14"/>
        <color rgb="FF303030"/>
        <rFont val="Arial"/>
        <family val="2"/>
      </rPr>
      <t xml:space="preserve"> i budsjettet. Dette er et proaktivt grep for å unngå overbudsjettering av lønn grunnet naturlig rekrutteringstid.</t>
    </r>
  </si>
  <si>
    <t>Omstillingstiltak (T001–T004):</t>
  </si>
  <si>
    <t>For å eliminere restavvik og styrke driftsmarginen skal fakultetet:</t>
  </si>
  <si>
    <r>
      <t>Sanere</t>
    </r>
    <r>
      <rPr>
        <sz val="14"/>
        <color rgb="FF303030"/>
        <rFont val="Arial"/>
        <family val="2"/>
      </rPr>
      <t xml:space="preserve"> ulønnsomme emner med lav studenttilstrømning gjennom en kritisk porteføljeanalyse.</t>
    </r>
  </si>
  <si>
    <r>
      <t>Optimalisere</t>
    </r>
    <r>
      <rPr>
        <sz val="14"/>
        <color rgb="FF303030"/>
        <rFont val="Arial"/>
        <family val="2"/>
      </rPr>
      <t xml:space="preserve"> studieporteføljen for å øke SPE60-produksjonen per UF-årsverk.</t>
    </r>
  </si>
  <si>
    <r>
      <t>Stramme inn</t>
    </r>
    <r>
      <rPr>
        <sz val="14"/>
        <color rgb="FF303030"/>
        <rFont val="Arial"/>
        <family val="2"/>
      </rPr>
      <t xml:space="preserve"> på administrative støtteprosesser ved å utnytte fellestjenester i større grad. Disse tiltakene overvåkes i </t>
    </r>
    <r>
      <rPr>
        <i/>
        <sz val="14"/>
        <color rgb="FF303030"/>
        <rFont val="Arial"/>
        <family val="2"/>
      </rPr>
      <t>FactAction</t>
    </r>
    <r>
      <rPr>
        <sz val="14"/>
        <color rgb="FF303030"/>
        <rFont val="Arial"/>
        <family val="2"/>
      </rPr>
      <t>-tabellen for å sikre at realiseringsgraden korresponderer med budsjettmålene.</t>
    </r>
  </si>
  <si>
    <t>5. Forskning, BOA-prosjektøkonomi og AACSB</t>
  </si>
  <si>
    <t>HHU må balansere kravet til AACSB-akkreditering mot fraværet av nasjonale publiseringsinsentiver. Løsningen er en offensiv satsing på eksternfinansiering.</t>
  </si>
  <si>
    <t>Strategiske suksessfaktorer:</t>
  </si>
  <si>
    <r>
      <t>TDI-modellen og overhead:</t>
    </r>
    <r>
      <rPr>
        <sz val="14"/>
        <color rgb="FF303030"/>
        <rFont val="Arial"/>
        <family val="2"/>
      </rPr>
      <t xml:space="preserve"> Vi benytter et påslag for indirekte kostnader (overhead) på ca. </t>
    </r>
    <r>
      <rPr>
        <b/>
        <sz val="14"/>
        <color rgb="FF303030"/>
        <rFont val="Arial"/>
        <family val="2"/>
      </rPr>
      <t>22 %</t>
    </r>
    <r>
      <rPr>
        <sz val="14"/>
        <color rgb="FF303030"/>
        <rFont val="Arial"/>
        <family val="2"/>
      </rPr>
      <t>. Det er en strategisk balansegang: For høy overhead svekker våre forskeres konkurransekraft i NFR/EU-søknader, mens for lav dekningsgrad fører til at BFV-midler subsidierer eksterne oppdragsgivere.</t>
    </r>
  </si>
  <si>
    <r>
      <t>Frikjøp (Buy-out):</t>
    </r>
    <r>
      <rPr>
        <sz val="14"/>
        <color rgb="FF303030"/>
        <rFont val="Arial"/>
        <family val="2"/>
      </rPr>
      <t xml:space="preserve"> Aktiv bruk av frikjøp er obligatorisk for å flytte lønnskostnader fra basisbudsjettet og skape rom for nye rekrutteringsstillinger.</t>
    </r>
  </si>
  <si>
    <t>Regnskapsmessig risiko (SRS 9 vs. SRS 10):</t>
  </si>
  <si>
    <r>
      <t>SRS 10 (Bidrag):</t>
    </r>
    <r>
      <rPr>
        <sz val="14"/>
        <color rgb="FF303030"/>
        <rFont val="Arial"/>
        <family val="2"/>
      </rPr>
      <t xml:space="preserve"> Inntektsføres i takt med kostnader (motsatt sammenstilling).</t>
    </r>
  </si>
  <si>
    <r>
      <t>SRS 9 (Oppdrag/EVU):</t>
    </r>
    <r>
      <rPr>
        <sz val="14"/>
        <color rgb="FF303030"/>
        <rFont val="Arial"/>
        <family val="2"/>
      </rPr>
      <t xml:space="preserve"> Her ligger den største risikoen. Eventuelle underskudd i oppdragsprosjekter utløser krav om umiddelbar </t>
    </r>
    <r>
      <rPr>
        <b/>
        <sz val="14"/>
        <color rgb="FF303030"/>
        <rFont val="Arial"/>
        <family val="2"/>
      </rPr>
      <t>avsetning for forventet tap (Konto 7790/2800)</t>
    </r>
    <r>
      <rPr>
        <sz val="14"/>
        <color rgb="FF303030"/>
        <rFont val="Arial"/>
        <family val="2"/>
      </rPr>
      <t>. Dette vil direkte belaste overskuddet på 4,8 MNOK og må unngås gjennom tett prosjektcontrolling.</t>
    </r>
  </si>
  <si>
    <t>6. Risikovurdering, 5 %-regelen og Digital Oppfølging</t>
  </si>
  <si>
    <t>Controllerens rolle er å fungere som strategisk navigatør gjennom Power BI-dashbordet, der vi beveger oss fra data til handling.</t>
  </si>
  <si>
    <t>Kritiske kontrollpunkter:</t>
  </si>
  <si>
    <r>
      <t>5 %-regelen (F-05-20) som planleggingsverktøy:</t>
    </r>
    <r>
      <rPr>
        <sz val="14"/>
        <color rgb="FF303030"/>
        <rFont val="Arial"/>
        <family val="2"/>
      </rPr>
      <t xml:space="preserve"> Et overskudd på 4,8 MNOK utgjør en risiko for inndragning dersom det ikke er knyttet til forpliktelser. Vi skal bruke 5 %-regelen som et "skjold" ved å etablere </t>
    </r>
    <r>
      <rPr>
        <b/>
        <sz val="14"/>
        <color rgb="FF303030"/>
        <rFont val="Arial"/>
        <family val="2"/>
      </rPr>
      <t>flerårige investeringsplaner (Capex)</t>
    </r>
    <r>
      <rPr>
        <sz val="14"/>
        <color rgb="FF303030"/>
        <rFont val="Arial"/>
        <family val="2"/>
      </rPr>
      <t>. Dette forhindrer "desember-panikk" og sikrer at midlene investeres i lab-infrastruktur og digital omstilling fremfor kortsiktige utstyrskjøp.</t>
    </r>
  </si>
  <si>
    <r>
      <t>Power BI &amp; 3-30-300-regelen:</t>
    </r>
    <r>
      <rPr>
        <sz val="14"/>
        <color rgb="FF303030"/>
        <rFont val="Arial"/>
        <family val="2"/>
      </rPr>
      <t xml:space="preserve"> Ledelsen skal overvåke budsjettavvik via dashbordet:</t>
    </r>
  </si>
  <si>
    <r>
      <t>Grønn (&lt;= 2 %):</t>
    </r>
    <r>
      <rPr>
        <sz val="14"/>
        <color rgb="FF303030"/>
        <rFont val="Arial"/>
        <family val="2"/>
      </rPr>
      <t xml:space="preserve"> Planmessig drift.</t>
    </r>
  </si>
  <si>
    <r>
      <t>Gul (2-5 %):</t>
    </r>
    <r>
      <rPr>
        <sz val="14"/>
        <color rgb="FF303030"/>
        <rFont val="Arial"/>
        <family val="2"/>
      </rPr>
      <t xml:space="preserve"> Krever observasjon og interne justeringer.</t>
    </r>
  </si>
  <si>
    <r>
      <t>Rød (&gt; 5 %):</t>
    </r>
    <r>
      <rPr>
        <sz val="14"/>
        <color rgb="FF303030"/>
        <rFont val="Arial"/>
        <family val="2"/>
      </rPr>
      <t xml:space="preserve"> Kritisk avvik som krever skriftlig rapport og umiddelbare tiltak i </t>
    </r>
    <r>
      <rPr>
        <i/>
        <sz val="14"/>
        <color rgb="FF303030"/>
        <rFont val="Arial"/>
        <family val="2"/>
      </rPr>
      <t>FactAction</t>
    </r>
    <r>
      <rPr>
        <sz val="14"/>
        <color rgb="FF303030"/>
        <rFont val="Arial"/>
        <family val="2"/>
      </rPr>
      <t>.</t>
    </r>
  </si>
  <si>
    <t>Langsiktige utsikter 2027–2031:</t>
  </si>
  <si>
    <r>
      <t>Dimensjoneringsrisiko:</t>
    </r>
    <r>
      <rPr>
        <sz val="14"/>
        <color rgb="FF303030"/>
        <rFont val="Arial"/>
        <family val="2"/>
      </rPr>
      <t xml:space="preserve"> Kontinuerlig vurdering av studieporteføljen opp mot de lave kategorisatsene.</t>
    </r>
  </si>
  <si>
    <r>
      <t>Økonomisk bærekraft:</t>
    </r>
    <r>
      <rPr>
        <sz val="14"/>
        <color rgb="FF303030"/>
        <rFont val="Arial"/>
        <family val="2"/>
      </rPr>
      <t xml:space="preserve"> Det positive resultatet i 2027 er en nødvendig buffer for fremtidige svingninger i KDs resultatbevilgning.</t>
    </r>
  </si>
  <si>
    <r>
      <t>BOA-vekst:</t>
    </r>
    <r>
      <rPr>
        <sz val="14"/>
        <color rgb="FF303030"/>
        <rFont val="Arial"/>
        <family val="2"/>
      </rPr>
      <t xml:space="preserve"> Økt eksternfinansiering er den eneste veien til betydelig kapasitetsøkning i forskning.</t>
    </r>
  </si>
  <si>
    <r>
      <t>Oppsummering:</t>
    </r>
    <r>
      <rPr>
        <sz val="11"/>
        <color rgb="FF303030"/>
        <rFont val="Arial"/>
        <family val="2"/>
      </rPr>
      <t xml:space="preserve"> Budsjett 2027 ruster Handelshøyskolen ved UiA for fremtiden. Ved å kombinere streng kostnadskontroll med offensive investeringer og profesjonalisert prosjektøkonomi, sikrer vi HHUs posisjon som et autonomt og internasjonalt anerkjent fakultet.</t>
    </r>
  </si>
  <si>
    <r>
      <t xml:space="preserve">I offentlig sektor og universitets- og høgskolesektoren (UH) har budsjettering beveget seg fra passiv historisk rammetildeling til strategisk virksomhetsstyring. Nedenfor gis en gjennomgang av de mest sentrale budsjetteringsmetodene, følges opp av en konkret anbefaling for </t>
    </r>
    <r>
      <rPr>
        <b/>
        <sz val="11"/>
        <color rgb="FF303030"/>
        <rFont val="Arial"/>
        <family val="2"/>
      </rPr>
      <t>Handelshøyskolen ved UiA (HHU)</t>
    </r>
    <r>
      <rPr>
        <sz val="11"/>
        <color rgb="FF303030"/>
        <rFont val="Arial"/>
        <family val="2"/>
      </rPr>
      <t>.</t>
    </r>
  </si>
  <si>
    <t>1. Oversikt over ulike budsjetteringsmetoder</t>
  </si>
  <si>
    <t>A. Historisk / Inkrementell budsjettering (Rammebudsjettering)</t>
  </si>
  <si>
    <t>B. Driverbasert budsjettering (Driver-Based Budgeting)</t>
  </si>
  <si>
    <t>C. Totalkostnadsbudsjettering (TDI-modellen for BOA)</t>
  </si>
  <si>
    <t>D. Rullende prognoser (Rolling Forecast / Latest Estimate – LE)</t>
  </si>
  <si>
    <t>E. Nullbasert budsjettering (Zero-Based Budgeting – ZBB)</t>
  </si>
  <si>
    <t>2. Anbefalt budsjettmodell for HHU</t>
  </si>
  <si>
    <r>
      <t xml:space="preserve">For </t>
    </r>
    <r>
      <rPr>
        <b/>
        <sz val="11"/>
        <color rgb="FF303030"/>
        <rFont val="Arial"/>
        <family val="2"/>
      </rPr>
      <t>Handelshøyskolen ved UiA (HHU)</t>
    </r>
    <r>
      <rPr>
        <sz val="11"/>
        <color rgb="FF303030"/>
        <rFont val="Arial"/>
        <family val="2"/>
      </rPr>
      <t xml:space="preserve"> anbefales en </t>
    </r>
    <r>
      <rPr>
        <b/>
        <sz val="11"/>
        <color rgb="FF303030"/>
        <rFont val="Arial"/>
        <family val="2"/>
      </rPr>
      <t>hybrid modell</t>
    </r>
    <r>
      <rPr>
        <sz val="11"/>
        <color rgb="FF303030"/>
        <rFont val="Arial"/>
        <family val="2"/>
      </rPr>
      <t xml:space="preserve"> som kombinerer </t>
    </r>
    <r>
      <rPr>
        <b/>
        <sz val="11"/>
        <color rgb="FF303030"/>
        <rFont val="Arial"/>
        <family val="2"/>
      </rPr>
      <t>Driverbasert budsjettering</t>
    </r>
    <r>
      <rPr>
        <sz val="11"/>
        <color rgb="FF303030"/>
        <rFont val="Arial"/>
        <family val="2"/>
      </rPr>
      <t xml:space="preserve">, </t>
    </r>
    <r>
      <rPr>
        <b/>
        <sz val="11"/>
        <color rgb="FF303030"/>
        <rFont val="Arial"/>
        <family val="2"/>
      </rPr>
      <t>TDI-modellen for BOA</t>
    </r>
    <r>
      <rPr>
        <sz val="11"/>
        <color rgb="FF303030"/>
        <rFont val="Arial"/>
        <family val="2"/>
      </rPr>
      <t xml:space="preserve"> og </t>
    </r>
    <r>
      <rPr>
        <b/>
        <sz val="11"/>
        <color rgb="FF303030"/>
        <rFont val="Arial"/>
        <family val="2"/>
      </rPr>
      <t>Rullende prognoser (LE)</t>
    </r>
    <r>
      <rPr>
        <sz val="11"/>
        <color rgb="FF303030"/>
        <rFont val="Arial"/>
        <family val="2"/>
      </rPr>
      <t>. Modelldesignet må tilpasses de spesifikke rammebetingelsene som gjelder for fakultetet:</t>
    </r>
  </si>
  <si>
    <t xml:space="preserve">   [ DRIVERBASET BEMANNING ]     Årsverksstyring i UBW (UF/TA, vakansfaktor 3-5%, ansettelsestid)</t>
  </si>
  <si>
    <t xml:space="preserve">              │</t>
  </si>
  <si>
    <t xml:space="preserve">              ▼</t>
  </si>
  <si>
    <t xml:space="preserve">   [ KD 2025 VOLUMMODELL ]       SPE60-produksjon x Kat. 1 (54 550 kr) m/ 2-års etterslep &amp; nettobudsjettering</t>
  </si>
  <si>
    <t xml:space="preserve">   [ TDI &amp; FRIKJØP (BOA) ]       Prosjektfrikjøp overfører lønn fra basis til NFR/EU m/ overhead</t>
  </si>
  <si>
    <t xml:space="preserve">   [ LE &amp; RULLENDE PROGNOSE ]    Oppfølging T1/T2/T3 i Power BI mot 5 %-regelen (F-05-20)</t>
  </si>
  <si>
    <t>Hvorfor denne modellen er optimal for HHU:</t>
  </si>
  <si>
    <t>Presis styring av lønnskostnader (Driverbasert bemanningsplanlegging):</t>
  </si>
  <si>
    <t>Lønn utgjør ca. 65–71 % av totalkostnadene ved UiA og HHU.</t>
  </si>
  <si>
    <t>Håndtering av KDs 2025-modell og lærertetthet:</t>
  </si>
  <si>
    <t>Kontinuerlig risikostyring og 5 %-regelen (F-05-20):</t>
  </si>
  <si>
    <t>Oppsummering for Senior Controller ved HHU</t>
  </si>
  <si>
    <t>Anbefalt Metode</t>
  </si>
  <si>
    <t>Hovedfokus / Styringssignal</t>
  </si>
  <si>
    <t>Lønn &amp; Bemanning</t>
  </si>
  <si>
    <t>Driverbasert (UBW Planlegger)</t>
  </si>
  <si>
    <t>Stillingsgrupper, sosiale kostnader, 3–5 % vakansfaktor, 3–6 mnd rekrutteringstid.</t>
  </si>
  <si>
    <t>Utdanningsinntekter</t>
  </si>
  <si>
    <t>Driverbasert (KD 2025-modell)</t>
  </si>
  <si>
    <t>SPE60-produksjon, 2-års etterslep, Kategori 1 (54 550 kr) og nettobudsjettering.</t>
  </si>
  <si>
    <t>Ekstern Forskning (BOA)</t>
  </si>
  <si>
    <t>TDI-modellen</t>
  </si>
  <si>
    <r>
      <t>Frikjøpsbalanse (</t>
    </r>
    <r>
      <rPr>
        <i/>
        <sz val="11"/>
        <color rgb="FF303030"/>
        <rFont val="Arial"/>
        <family val="2"/>
      </rPr>
      <t>buy-out</t>
    </r>
    <r>
      <rPr>
        <sz val="11"/>
        <color rgb="FF303030"/>
        <rFont val="Arial"/>
        <family val="2"/>
      </rPr>
      <t>), korrekt SRS 10-periodisering og full overhead-dekning.</t>
    </r>
  </si>
  <si>
    <t>Løpende Oppfølging</t>
  </si>
  <si>
    <t>Rullende prognoser (LE) &amp; Power BI</t>
  </si>
  <si>
    <t>T3 Cutoff, avviksdrivere, RAG-status og overvåking mot 5 %-regelen (F-05-20).</t>
  </si>
  <si>
    <r>
      <t>Konsept:</t>
    </r>
    <r>
      <rPr>
        <sz val="11"/>
        <color rgb="FF303030"/>
        <rFont val="Arial"/>
        <family val="2"/>
      </rPr>
      <t xml:space="preserve"> Fjorårets budsjett eller regnskap legges til grunn som baseline, og justeres marginalt opp eller ned basert på generell pris- og lønnsvekst (deflator) samt flate rammekutt (f.eks. ABE-kutt).</t>
    </r>
  </si>
  <si>
    <r>
      <t>Fordeler:</t>
    </r>
    <r>
      <rPr>
        <sz val="11"/>
        <color rgb="FF303030"/>
        <rFont val="Arial"/>
        <family val="2"/>
      </rPr>
      <t xml:space="preserve"> Enkel å gjennomføre, krever lite ressursbruk.</t>
    </r>
  </si>
  <si>
    <r>
      <t>Ulemper:</t>
    </r>
    <r>
      <rPr>
        <sz val="11"/>
        <color rgb="FF303030"/>
        <rFont val="Arial"/>
        <family val="2"/>
      </rPr>
      <t xml:space="preserve"> Konserverer historiske skjevheter, skjermer ineffektive aktiviteter og fanger i liten grad opp reelle endringer i studieproduksjon eller bemanningsstruktur.</t>
    </r>
  </si>
  <si>
    <r>
      <t>Konsept:</t>
    </r>
    <r>
      <rPr>
        <sz val="11"/>
        <color rgb="FF303030"/>
        <rFont val="Arial"/>
        <family val="2"/>
      </rPr>
      <t xml:space="preserve"> Budsjettet bygges opp fra underliggende operasjonelle volum- og aktivitetsdrivere.</t>
    </r>
  </si>
  <si>
    <r>
      <t>Inntektssiden</t>
    </r>
    <r>
      <rPr>
        <sz val="11"/>
        <color rgb="FF303030"/>
        <rFont val="Arial"/>
        <family val="2"/>
      </rPr>
      <t xml:space="preserve"> styres av KDs finansieringsmodell (antall avlagte studiepoeng/SPE60, kandidater og PhD-er).</t>
    </r>
  </si>
  <si>
    <r>
      <t>Kostnadssiden</t>
    </r>
    <r>
      <rPr>
        <sz val="11"/>
        <color rgb="FF303030"/>
        <rFont val="Arial"/>
        <family val="2"/>
      </rPr>
      <t xml:space="preserve"> styres av antall årsverk (UF/TA), lønnstrinn, sosiale kostnader, antall emner og undervisningstimer.</t>
    </r>
  </si>
  <si>
    <r>
      <t>Fordeler:</t>
    </r>
    <r>
      <rPr>
        <sz val="11"/>
        <color rgb="FF303030"/>
        <rFont val="Arial"/>
        <family val="2"/>
      </rPr>
      <t xml:space="preserve"> Høy presisjon, direkte kobling mellom faglig aktivitet og økonomisk konsekvens, og mulighet for årsakssammenhengende avviksanalyser (volum- vs. prisavvik).</t>
    </r>
  </si>
  <si>
    <r>
      <t>Ulemper:</t>
    </r>
    <r>
      <rPr>
        <sz val="11"/>
        <color rgb="FF303030"/>
        <rFont val="Arial"/>
        <family val="2"/>
      </rPr>
      <t xml:space="preserve"> Krever god datakvalitet på tvers av fagsystemer (Unit4 ERP, SAP Lønn, FS).</t>
    </r>
  </si>
  <si>
    <r>
      <t>Konsept:</t>
    </r>
    <r>
      <rPr>
        <sz val="11"/>
        <color rgb="FF303030"/>
        <rFont val="Arial"/>
        <family val="2"/>
      </rPr>
      <t xml:space="preserve"> Benyttes spesifikt for eksternfinansiert forskning og oppdrag (Bidrags- og oppdragsaktivitet / BOA). Beregner alle direkte prosjektkostnader (lønn, reiser, drift) pluss et standardisert påslag for indirekte felleskostnader (overhead for husleie, IT, bibliotek og administrasjon – typisk ~22 %).</t>
    </r>
  </si>
  <si>
    <r>
      <t>Fordeler:</t>
    </r>
    <r>
      <rPr>
        <sz val="11"/>
        <color rgb="FF303030"/>
        <rFont val="Arial"/>
        <family val="2"/>
      </rPr>
      <t xml:space="preserve"> Sikrer at eksterne prosjekter ikke underfinansieres eller subsidieres ulovlig av grunnbevilgningen, samt synliggjør verdien av frikjøp (</t>
    </r>
    <r>
      <rPr>
        <i/>
        <sz val="11"/>
        <color rgb="FF303030"/>
        <rFont val="Arial"/>
        <family val="2"/>
      </rPr>
      <t>buy-out</t>
    </r>
    <r>
      <rPr>
        <sz val="11"/>
        <color rgb="FF303030"/>
        <rFont val="Arial"/>
        <family val="2"/>
      </rPr>
      <t>).</t>
    </r>
  </si>
  <si>
    <r>
      <t>Konsept:</t>
    </r>
    <r>
      <rPr>
        <sz val="11"/>
        <color rgb="FF303030"/>
        <rFont val="Arial"/>
        <family val="2"/>
      </rPr>
      <t xml:space="preserve"> I stedet for å behandle årsbudsjettet som en låst, statisk størrelse gjennom regnskapsåret, oppdateres forventet årsresultat (Latest Estimate / EAC) kontinuerlig ved tertialene (T1/T2/T3) ved å kombinere bokført regnskap (Actuals YTD) med oppdaterte estimater for resten av året (ETC).</t>
    </r>
  </si>
  <si>
    <r>
      <t>Fordeler:</t>
    </r>
    <r>
      <rPr>
        <sz val="11"/>
        <color rgb="FF303030"/>
        <rFont val="Arial"/>
        <family val="2"/>
      </rPr>
      <t xml:space="preserve"> Gjøre ledelsen i stand til å fange opp avvik tidlig og iverksette korrigerende tiltak før året er omme.</t>
    </r>
  </si>
  <si>
    <r>
      <t>Konsept:</t>
    </r>
    <r>
      <rPr>
        <sz val="11"/>
        <color rgb="FF303030"/>
        <rFont val="Arial"/>
        <family val="2"/>
      </rPr>
      <t xml:space="preserve"> Hver enhet må begrunne alle sine kostnader fra «null» ved hver nye budsjettrunde, uavhengig av historisk nivå.</t>
    </r>
  </si>
  <si>
    <r>
      <t>Fordeler:</t>
    </r>
    <r>
      <rPr>
        <sz val="11"/>
        <color rgb="FF303030"/>
        <rFont val="Arial"/>
        <family val="2"/>
      </rPr>
      <t xml:space="preserve"> Identifiserer uhensiktsmessig ressursbruk og tvinger frem streng prioritering.</t>
    </r>
  </si>
  <si>
    <r>
      <t>Ulemper:</t>
    </r>
    <r>
      <rPr>
        <sz val="11"/>
        <color rgb="FF303030"/>
        <rFont val="Arial"/>
        <family val="2"/>
      </rPr>
      <t xml:space="preserve"> Svært krevende og lite egnet for UH-sektoren som helhet, ettersom faste lønnskostnader og studieprogrammer ligger fast på lang sikt.</t>
    </r>
  </si>
  <si>
    <r>
      <t xml:space="preserve">Bemanningsbudsjettet i </t>
    </r>
    <r>
      <rPr>
        <b/>
        <sz val="11"/>
        <color rgb="FF303030"/>
        <rFont val="Arial"/>
        <family val="2"/>
      </rPr>
      <t>Unit4 UBW Planlegger</t>
    </r>
    <r>
      <rPr>
        <sz val="11"/>
        <color rgb="FF303030"/>
        <rFont val="Arial"/>
        <family val="2"/>
      </rPr>
      <t xml:space="preserve"> må bygges opp driverbasert på individ- og stillingsgruppenivå (Professorer, Førsteamanuenser, Stipendiater, TA-ansatte).</t>
    </r>
  </si>
  <si>
    <r>
      <t>Vakansestyring:</t>
    </r>
    <r>
      <rPr>
        <sz val="11"/>
        <color rgb="FF303030"/>
        <rFont val="Arial"/>
        <family val="2"/>
      </rPr>
      <t xml:space="preserve"> Det </t>
    </r>
    <r>
      <rPr>
        <b/>
        <sz val="11"/>
        <color rgb="FF303030"/>
        <rFont val="Arial"/>
        <family val="2"/>
      </rPr>
      <t>må</t>
    </r>
    <r>
      <rPr>
        <sz val="11"/>
        <color rgb="FF303030"/>
        <rFont val="Arial"/>
        <family val="2"/>
      </rPr>
      <t xml:space="preserve"> legges inn en innlagt central vakansfaktor (3–5 %) og realistisk rekrutteringstid (3–6 måneder) for å unngå systematisk overbudsjettering av fast lønn.</t>
    </r>
  </si>
  <si>
    <r>
      <t xml:space="preserve">HHUs studier (økonomi, ledelse, juss) tilhører KDs </t>
    </r>
    <r>
      <rPr>
        <b/>
        <sz val="11"/>
        <color rgb="FF303030"/>
        <rFont val="Arial"/>
        <family val="2"/>
      </rPr>
      <t>Kategori 1 (54 550 kr per 60 SPE)</t>
    </r>
    <r>
      <rPr>
        <sz val="11"/>
        <color rgb="FF303030"/>
        <rFont val="Arial"/>
        <family val="2"/>
      </rPr>
      <t xml:space="preserve"> med </t>
    </r>
    <r>
      <rPr>
        <b/>
        <sz val="11"/>
        <color rgb="FF303030"/>
        <rFont val="Arial"/>
        <family val="2"/>
      </rPr>
      <t>2-års etterslep</t>
    </r>
    <r>
      <rPr>
        <sz val="11"/>
        <color rgb="FF303030"/>
        <rFont val="Arial"/>
        <family val="2"/>
      </rPr>
      <t xml:space="preserve"> på resultatbevilgningen.</t>
    </r>
  </si>
  <si>
    <r>
      <t xml:space="preserve">HHU har en lærertetthet på </t>
    </r>
    <r>
      <rPr>
        <b/>
        <sz val="11"/>
        <color rgb="FF303030"/>
        <rFont val="Arial"/>
        <family val="2"/>
      </rPr>
      <t>22,3 studenter per UF-årsverk</t>
    </r>
    <r>
      <rPr>
        <sz val="11"/>
        <color rgb="FF303030"/>
        <rFont val="Arial"/>
        <family val="2"/>
      </rPr>
      <t>.</t>
    </r>
  </si>
  <si>
    <r>
      <t xml:space="preserve">Under </t>
    </r>
    <r>
      <rPr>
        <b/>
        <sz val="11"/>
        <color rgb="FF303030"/>
        <rFont val="Arial"/>
        <family val="2"/>
      </rPr>
      <t>nettobudsjetteringsprinsippet</t>
    </r>
    <r>
      <rPr>
        <sz val="11"/>
        <color rgb="FF303030"/>
        <rFont val="Arial"/>
        <family val="2"/>
      </rPr>
      <t xml:space="preserve"> ligger eksisterende volum fast i basisbevilgningen, mens volumendringer utløser Kategori 1-satser. Fordi Kategori 1-satsen er lav, må den driverbaserte inntektsmodellen vise at ubegrenset studentvekst uten tilsvarende bevilgningsøkning i praksis kan svekke fakultetets marginer.</t>
    </r>
  </si>
  <si>
    <r>
      <t>Aktiv bruk av TDI-modellen for frikjøp (</t>
    </r>
    <r>
      <rPr>
        <b/>
        <i/>
        <sz val="11"/>
        <color rgb="FF303030"/>
        <rFont val="Arial"/>
        <family val="2"/>
      </rPr>
      <t>Buy-out</t>
    </r>
    <r>
      <rPr>
        <b/>
        <sz val="11"/>
        <color rgb="FF303030"/>
        <rFont val="Arial"/>
        <family val="2"/>
      </rPr>
      <t>):</t>
    </r>
  </si>
  <si>
    <r>
      <t xml:space="preserve">For å opprettholde høyt forskningstrykk og finansiere rekrutteringsstillinger (PhD/Postdok) – som er avgjørende for HHUs internasjonale </t>
    </r>
    <r>
      <rPr>
        <b/>
        <sz val="11"/>
        <color rgb="FF303030"/>
        <rFont val="Arial"/>
        <family val="2"/>
      </rPr>
      <t>AACSB-akkreditering</t>
    </r>
    <r>
      <rPr>
        <sz val="11"/>
        <color rgb="FF303030"/>
        <rFont val="Arial"/>
        <family val="2"/>
      </rPr>
      <t xml:space="preserve"> – må prosjektøkonomien budsjetteres etter TDI-modellen.</t>
    </r>
  </si>
  <si>
    <r>
      <t>Ved å budsjettere vitenskapelige ansattes tid inn i NFR- og EU-prosjekter (</t>
    </r>
    <r>
      <rPr>
        <i/>
        <sz val="11"/>
        <color rgb="FF303030"/>
        <rFont val="Arial"/>
        <family val="2"/>
      </rPr>
      <t>frikjøp</t>
    </r>
    <r>
      <rPr>
        <sz val="11"/>
        <color rgb="FF303030"/>
        <rFont val="Arial"/>
        <family val="2"/>
      </rPr>
      <t>), overføres lønnskostnader fra basisbudsjettet til ekstern finansiering, samtidig som fakultetet sikres full overhead-dekning (~22 %) til fellesinfrastruktur.</t>
    </r>
  </si>
  <si>
    <r>
      <t xml:space="preserve">Ved å kombinere vedtatt årsbudsjett (BUD) med </t>
    </r>
    <r>
      <rPr>
        <b/>
        <sz val="11"/>
        <color rgb="FF303030"/>
        <rFont val="Arial"/>
        <family val="2"/>
      </rPr>
      <t>rullende prognoser (LE)</t>
    </r>
    <r>
      <rPr>
        <sz val="11"/>
        <color rgb="FF303030"/>
        <rFont val="Arial"/>
        <family val="2"/>
      </rPr>
      <t xml:space="preserve"> ved T1, T2 og T3, kan controlleren og fakultetsledelsen fange opp avvik tidlig.</t>
    </r>
  </si>
  <si>
    <r>
      <t xml:space="preserve">Dette forhindrer «desember-panikk» og sikrer at akkumulerte ubrukte midler avsettes til godkjente flerårige investeringsplaner (f.eks. IT, lab, AACSB-evalueringer) i tråd med </t>
    </r>
    <r>
      <rPr>
        <b/>
        <sz val="11"/>
        <color rgb="FF303030"/>
        <rFont val="Arial"/>
        <family val="2"/>
      </rPr>
      <t>5 %-regelen (F-05-20)</t>
    </r>
    <r>
      <rPr>
        <sz val="11"/>
        <color rgb="FF303030"/>
        <rFont val="Arial"/>
        <family val="2"/>
      </rPr>
      <t>.</t>
    </r>
  </si>
  <si>
    <r>
      <t xml:space="preserve">I offentlig sektor og universitets- og høgskolesektoren (UH) har budsjettering beveget seg fra passiv historisk rammetildeling til strategisk virksomhetsstyring12. Nedenfor gis en gjennomgang av de mest sentrale budsjetteringsmetodene, følges opp av en konkret anbefaling for </t>
    </r>
    <r>
      <rPr>
        <b/>
        <sz val="11"/>
        <color theme="1"/>
        <rFont val="Aptos Narrow"/>
        <family val="2"/>
        <scheme val="minor"/>
      </rPr>
      <t>Handelshøyskolen ved UiA (HHU)</t>
    </r>
    <r>
      <rPr>
        <sz val="11"/>
        <color theme="1"/>
        <rFont val="Aptos Narrow"/>
        <family val="2"/>
        <scheme val="minor"/>
      </rPr>
      <t>.</t>
    </r>
  </si>
  <si>
    <r>
      <t>Konsept:</t>
    </r>
    <r>
      <rPr>
        <sz val="11"/>
        <color theme="1"/>
        <rFont val="Aptos Narrow"/>
        <family val="2"/>
        <scheme val="minor"/>
      </rPr>
      <t xml:space="preserve"> Fjorårets budsjett eller regnskap legges til grunn som baseline, og justeres marginalt opp eller ned basert på generell pris- og lønnsvekst (deflator) samt flate rammekutt (f.eks. ABE-kutt)12.</t>
    </r>
  </si>
  <si>
    <r>
      <t>Fordeler:</t>
    </r>
    <r>
      <rPr>
        <sz val="11"/>
        <color theme="1"/>
        <rFont val="Aptos Narrow"/>
        <family val="2"/>
        <scheme val="minor"/>
      </rPr>
      <t xml:space="preserve"> Enkel å gjennomføre, krever lite ressursbruk.</t>
    </r>
  </si>
  <si>
    <r>
      <t>Ulemper:</t>
    </r>
    <r>
      <rPr>
        <sz val="11"/>
        <color theme="1"/>
        <rFont val="Aptos Narrow"/>
        <family val="2"/>
        <scheme val="minor"/>
      </rPr>
      <t xml:space="preserve"> Konserverer historiske skjevheter, skjermer ineffektive aktiviteter og fanger i liten grad opp reelle endringer i studieproduksjon eller bemanningsstruktur12.</t>
    </r>
  </si>
  <si>
    <r>
      <t>Konsept:</t>
    </r>
    <r>
      <rPr>
        <sz val="11"/>
        <color theme="1"/>
        <rFont val="Aptos Narrow"/>
        <family val="2"/>
        <scheme val="minor"/>
      </rPr>
      <t xml:space="preserve"> Budsjettet bygges opp fra underliggende operasjonelle volum- og aktivitetsdrivere23.</t>
    </r>
  </si>
  <si>
    <r>
      <t>Inntektssiden</t>
    </r>
    <r>
      <rPr>
        <sz val="11"/>
        <color theme="1"/>
        <rFont val="Aptos Narrow"/>
        <family val="2"/>
        <scheme val="minor"/>
      </rPr>
      <t xml:space="preserve"> styres av KDs finansieringsmodell (antall avlagte studiepoeng/SPE60, kandidater og PhD-er)23.</t>
    </r>
  </si>
  <si>
    <r>
      <t>Kostnadssiden</t>
    </r>
    <r>
      <rPr>
        <sz val="11"/>
        <color theme="1"/>
        <rFont val="Aptos Narrow"/>
        <family val="2"/>
        <scheme val="minor"/>
      </rPr>
      <t xml:space="preserve"> styres av antall årsverk (UF/TA), lønnstrinn, sosiale kostnader, antall emner og undervisningstimer34.</t>
    </r>
  </si>
  <si>
    <r>
      <t>Fordeler:</t>
    </r>
    <r>
      <rPr>
        <sz val="11"/>
        <color theme="1"/>
        <rFont val="Aptos Narrow"/>
        <family val="2"/>
        <scheme val="minor"/>
      </rPr>
      <t xml:space="preserve"> Høy presisjon, direkte kobling mellom faglig aktivitet og økonomisk konsekvens, og mulighet for årsakssammenhengende avviksanalyser (volum- vs. prisavvik)45.</t>
    </r>
  </si>
  <si>
    <r>
      <t>Ulemper:</t>
    </r>
    <r>
      <rPr>
        <sz val="11"/>
        <color theme="1"/>
        <rFont val="Aptos Narrow"/>
        <family val="2"/>
        <scheme val="minor"/>
      </rPr>
      <t xml:space="preserve"> Krever god datakvalitet på tvers av fagsystemer (Unit4 ERP, SAP Lønn, FS)46.</t>
    </r>
  </si>
  <si>
    <r>
      <t>Konsept:</t>
    </r>
    <r>
      <rPr>
        <sz val="11"/>
        <color theme="1"/>
        <rFont val="Aptos Narrow"/>
        <family val="2"/>
        <scheme val="minor"/>
      </rPr>
      <t xml:space="preserve"> Benyttes spesifikt for eksternfinansiert forskning og oppdrag (Bidrags- og oppdragsaktivitet / BOA)3more_horiz. Beregner alle direkte prosjektkostnader (lønn, reiser, drift) pluss et standardisert påslag for indirekte felleskostnader (overhead for husleie, IT, bibliotek og administrasjon – typisk ~22 %)3more_horiz.</t>
    </r>
  </si>
  <si>
    <r>
      <t>Fordeler:</t>
    </r>
    <r>
      <rPr>
        <sz val="11"/>
        <color theme="1"/>
        <rFont val="Aptos Narrow"/>
        <family val="2"/>
        <scheme val="minor"/>
      </rPr>
      <t xml:space="preserve"> Sikrer at eksterne prosjekter ikke underfinansieres eller subsidieres ulovlig av grunnbevilgningen, samt synliggjør verdien av frikjøp (</t>
    </r>
    <r>
      <rPr>
        <i/>
        <sz val="11"/>
        <color theme="1"/>
        <rFont val="Aptos Narrow"/>
        <family val="2"/>
        <scheme val="minor"/>
      </rPr>
      <t>buy-out</t>
    </r>
    <r>
      <rPr>
        <sz val="11"/>
        <color theme="1"/>
        <rFont val="Aptos Narrow"/>
        <family val="2"/>
        <scheme val="minor"/>
      </rPr>
      <t>)47.</t>
    </r>
  </si>
  <si>
    <r>
      <t>Konsept:</t>
    </r>
    <r>
      <rPr>
        <sz val="11"/>
        <color theme="1"/>
        <rFont val="Aptos Narrow"/>
        <family val="2"/>
        <scheme val="minor"/>
      </rPr>
      <t xml:space="preserve"> I stedet for å behandle årsbudsjettet som en låst, statisk størrelse gjennom regnskapsåret, oppdateres forventet årsresultat (Latest Estimate / EAC) kontinuerlig ved tertialene (T1/T2/T3) ved å kombinere bokført regnskap (Actuals YTD) med oppdaterte estimater for resten av året (ETC)4more_horiz.</t>
    </r>
  </si>
  <si>
    <r>
      <t>Fordeler:</t>
    </r>
    <r>
      <rPr>
        <sz val="11"/>
        <color theme="1"/>
        <rFont val="Aptos Narrow"/>
        <family val="2"/>
        <scheme val="minor"/>
      </rPr>
      <t xml:space="preserve"> Gjøre ledelsen i stand til å fange opp avvik tidlig og iverksette korrigerende tiltak før året er omme4more_horiz.</t>
    </r>
  </si>
  <si>
    <r>
      <t>Konsept:</t>
    </r>
    <r>
      <rPr>
        <sz val="11"/>
        <color theme="1"/>
        <rFont val="Aptos Narrow"/>
        <family val="2"/>
        <scheme val="minor"/>
      </rPr>
      <t xml:space="preserve"> Hver enhet må begrunne alle sine kostnader fra «null» ved hver nye budsjettrunde, uavhengig av historisk nivå.</t>
    </r>
  </si>
  <si>
    <r>
      <t>Fordeler:</t>
    </r>
    <r>
      <rPr>
        <sz val="11"/>
        <color theme="1"/>
        <rFont val="Aptos Narrow"/>
        <family val="2"/>
        <scheme val="minor"/>
      </rPr>
      <t xml:space="preserve"> Identifiserer uhensiktsmessig ressursbruk og tvinger frem streng prioritering.</t>
    </r>
  </si>
  <si>
    <r>
      <t>Ulemper:</t>
    </r>
    <r>
      <rPr>
        <sz val="11"/>
        <color theme="1"/>
        <rFont val="Aptos Narrow"/>
        <family val="2"/>
        <scheme val="minor"/>
      </rPr>
      <t xml:space="preserve"> Svært krevende og lite egnet for UH-sektoren som helhet, ettersom faste lønnskostnader og studieprogrammer ligger fast på lang sikt1more_horiz.</t>
    </r>
  </si>
  <si>
    <r>
      <t xml:space="preserve">For </t>
    </r>
    <r>
      <rPr>
        <b/>
        <sz val="11"/>
        <color theme="1"/>
        <rFont val="Aptos Narrow"/>
        <family val="2"/>
        <scheme val="minor"/>
      </rPr>
      <t>Handelshøyskolen ved UiA (HHU)</t>
    </r>
    <r>
      <rPr>
        <sz val="11"/>
        <color theme="1"/>
        <rFont val="Aptos Narrow"/>
        <family val="2"/>
        <scheme val="minor"/>
      </rPr>
      <t xml:space="preserve"> anbefales en </t>
    </r>
    <r>
      <rPr>
        <b/>
        <sz val="11"/>
        <color theme="1"/>
        <rFont val="Aptos Narrow"/>
        <family val="2"/>
        <scheme val="minor"/>
      </rPr>
      <t>hybrid modell</t>
    </r>
    <r>
      <rPr>
        <sz val="11"/>
        <color theme="1"/>
        <rFont val="Aptos Narrow"/>
        <family val="2"/>
        <scheme val="minor"/>
      </rPr>
      <t xml:space="preserve"> som kombinerer </t>
    </r>
    <r>
      <rPr>
        <b/>
        <sz val="11"/>
        <color theme="1"/>
        <rFont val="Aptos Narrow"/>
        <family val="2"/>
        <scheme val="minor"/>
      </rPr>
      <t>Driverbasert budsjettering</t>
    </r>
    <r>
      <rPr>
        <sz val="11"/>
        <color theme="1"/>
        <rFont val="Aptos Narrow"/>
        <family val="2"/>
        <scheme val="minor"/>
      </rPr>
      <t xml:space="preserve">, </t>
    </r>
    <r>
      <rPr>
        <b/>
        <sz val="11"/>
        <color theme="1"/>
        <rFont val="Aptos Narrow"/>
        <family val="2"/>
        <scheme val="minor"/>
      </rPr>
      <t>TDI-modellen for BOA</t>
    </r>
    <r>
      <rPr>
        <sz val="11"/>
        <color theme="1"/>
        <rFont val="Aptos Narrow"/>
        <family val="2"/>
        <scheme val="minor"/>
      </rPr>
      <t xml:space="preserve"> og </t>
    </r>
    <r>
      <rPr>
        <b/>
        <sz val="11"/>
        <color theme="1"/>
        <rFont val="Aptos Narrow"/>
        <family val="2"/>
        <scheme val="minor"/>
      </rPr>
      <t>Rullende prognoser (LE)</t>
    </r>
    <r>
      <rPr>
        <sz val="11"/>
        <color theme="1"/>
        <rFont val="Aptos Narrow"/>
        <family val="2"/>
        <scheme val="minor"/>
      </rPr>
      <t>3more_horiz. Modelldesignet må tilpasses de spesifikke rammebetingelsene som gjelder for fakultetet:</t>
    </r>
  </si>
  <si>
    <t>1. Presis styring av lønnskostnader (Driverbasert bemanningsplanlegging):</t>
  </si>
  <si>
    <t>Lønn utgjør ca. 65–71 % av totalkostnadene ved UiA og HHU4more_horiz.</t>
  </si>
  <si>
    <r>
      <t xml:space="preserve">Bemanningsbudsjettet i </t>
    </r>
    <r>
      <rPr>
        <b/>
        <sz val="11"/>
        <color theme="1"/>
        <rFont val="Aptos Narrow"/>
        <family val="2"/>
        <scheme val="minor"/>
      </rPr>
      <t>Unit4 UBW Planlegger</t>
    </r>
    <r>
      <rPr>
        <sz val="11"/>
        <color theme="1"/>
        <rFont val="Aptos Narrow"/>
        <family val="2"/>
        <scheme val="minor"/>
      </rPr>
      <t xml:space="preserve"> må bygges opp driverbasert på individ- og stillingsgruppenivå (Professorer, Førsteamanuenser, Stipendiater, TA-ansatte)413.</t>
    </r>
  </si>
  <si>
    <r>
      <t>Vakansestyring:</t>
    </r>
    <r>
      <rPr>
        <sz val="11"/>
        <color theme="1"/>
        <rFont val="Aptos Narrow"/>
        <family val="2"/>
        <scheme val="minor"/>
      </rPr>
      <t xml:space="preserve"> Det </t>
    </r>
    <r>
      <rPr>
        <b/>
        <sz val="11"/>
        <color theme="1"/>
        <rFont val="Aptos Narrow"/>
        <family val="2"/>
        <scheme val="minor"/>
      </rPr>
      <t>må</t>
    </r>
    <r>
      <rPr>
        <sz val="11"/>
        <color theme="1"/>
        <rFont val="Aptos Narrow"/>
        <family val="2"/>
        <scheme val="minor"/>
      </rPr>
      <t xml:space="preserve"> legges inn en innlagt central vakansfaktor (3–5 %) og realistisk rekrutteringstid (3–6 måneder) for å unngå systematisk overbudsjettering av fast lønn34.</t>
    </r>
  </si>
  <si>
    <t>2. Håndtering av KDs 2025-modell og lærertetthet:</t>
  </si>
  <si>
    <r>
      <t xml:space="preserve">HHUs studier (økonomi, ledelse, juss) tilhører KDs </t>
    </r>
    <r>
      <rPr>
        <b/>
        <sz val="11"/>
        <color theme="1"/>
        <rFont val="Aptos Narrow"/>
        <family val="2"/>
        <scheme val="minor"/>
      </rPr>
      <t>Kategori 1 (54 550 kr per 60 SPE)</t>
    </r>
    <r>
      <rPr>
        <sz val="11"/>
        <color theme="1"/>
        <rFont val="Aptos Narrow"/>
        <family val="2"/>
        <scheme val="minor"/>
      </rPr>
      <t xml:space="preserve"> med </t>
    </r>
    <r>
      <rPr>
        <b/>
        <sz val="11"/>
        <color theme="1"/>
        <rFont val="Aptos Narrow"/>
        <family val="2"/>
        <scheme val="minor"/>
      </rPr>
      <t>2-års etterslep</t>
    </r>
    <r>
      <rPr>
        <sz val="11"/>
        <color theme="1"/>
        <rFont val="Aptos Narrow"/>
        <family val="2"/>
        <scheme val="minor"/>
      </rPr>
      <t xml:space="preserve"> på resultatbevilgningen2more_horiz.</t>
    </r>
  </si>
  <si>
    <r>
      <t xml:space="preserve">HHU har en lærertetthet på </t>
    </r>
    <r>
      <rPr>
        <b/>
        <sz val="11"/>
        <color theme="1"/>
        <rFont val="Aptos Narrow"/>
        <family val="2"/>
        <scheme val="minor"/>
      </rPr>
      <t>22,3 studenter per UF-årsverk</t>
    </r>
    <r>
      <rPr>
        <sz val="11"/>
        <color theme="1"/>
        <rFont val="Aptos Narrow"/>
        <family val="2"/>
        <scheme val="minor"/>
      </rPr>
      <t>1516.</t>
    </r>
  </si>
  <si>
    <r>
      <t xml:space="preserve">Under </t>
    </r>
    <r>
      <rPr>
        <b/>
        <sz val="11"/>
        <color theme="1"/>
        <rFont val="Aptos Narrow"/>
        <family val="2"/>
        <scheme val="minor"/>
      </rPr>
      <t>nettobudsjetteringsprinsippet</t>
    </r>
    <r>
      <rPr>
        <sz val="11"/>
        <color theme="1"/>
        <rFont val="Aptos Narrow"/>
        <family val="2"/>
        <scheme val="minor"/>
      </rPr>
      <t xml:space="preserve"> ligger eksisterende volum fast i basisbevilgningen, mens volumendringer utløser Kategori 1-satser2more_horiz. Fordi Kategori 1-satsen er lav, må den driverbaserte inntektsmodellen vise at ubegrenset studentvekst uten tilsvarende bevilgningsøkning i praksis kan svekke fakultetets marginer2more_horiz.</t>
    </r>
  </si>
  <si>
    <t>3. Aktiv bruk av TDI-modellen for frikjøp (Buy-out):</t>
  </si>
  <si>
    <r>
      <t xml:space="preserve">For å opprettholde høyt forskningstrykk og finansiere rekrutteringsstillinger (PhD/Postdok) – som er avgjørende for HHUs internasjonale </t>
    </r>
    <r>
      <rPr>
        <b/>
        <sz val="11"/>
        <color theme="1"/>
        <rFont val="Aptos Narrow"/>
        <family val="2"/>
        <scheme val="minor"/>
      </rPr>
      <t>AACSB-akkreditering</t>
    </r>
    <r>
      <rPr>
        <sz val="11"/>
        <color theme="1"/>
        <rFont val="Aptos Narrow"/>
        <family val="2"/>
        <scheme val="minor"/>
      </rPr>
      <t xml:space="preserve"> – må prosjektøkonomien budsjetteres etter TDI-modellen4more_horiz.</t>
    </r>
  </si>
  <si>
    <r>
      <t>Ved å budsjettere vitenskapelige ansattes tid inn i NFR- og EU-prosjekter (</t>
    </r>
    <r>
      <rPr>
        <i/>
        <sz val="11"/>
        <color theme="1"/>
        <rFont val="Aptos Narrow"/>
        <family val="2"/>
        <scheme val="minor"/>
      </rPr>
      <t>frikjøp</t>
    </r>
    <r>
      <rPr>
        <sz val="11"/>
        <color theme="1"/>
        <rFont val="Aptos Narrow"/>
        <family val="2"/>
        <scheme val="minor"/>
      </rPr>
      <t>), overføres lønnskostnader fra basisbudsjettet til ekstern finansiering, samtidig som fakultetet sikres full overhead-dekning (~22 %) til fellesinfrastruktur3more_horiz.</t>
    </r>
  </si>
  <si>
    <t>4. Kontinuerlig risikostyring og 5 %-regelen (F-05-20):</t>
  </si>
  <si>
    <r>
      <t xml:space="preserve">Ved å kombinere vedtatt årsbudsjett (BUD) med </t>
    </r>
    <r>
      <rPr>
        <b/>
        <sz val="11"/>
        <color theme="1"/>
        <rFont val="Aptos Narrow"/>
        <family val="2"/>
        <scheme val="minor"/>
      </rPr>
      <t>rullende prognoser (LE)</t>
    </r>
    <r>
      <rPr>
        <sz val="11"/>
        <color theme="1"/>
        <rFont val="Aptos Narrow"/>
        <family val="2"/>
        <scheme val="minor"/>
      </rPr>
      <t xml:space="preserve"> ved T1, T2 og T3, kan controlleren og fakultetsledelsen fange opp avvik tidlig4more_horiz.</t>
    </r>
  </si>
  <si>
    <r>
      <t xml:space="preserve">Dette forhindrer «desember-panikk» og sikrer at akkumulerte ubrukte midler avsettes til godkjente flerårige investeringsplaner (f.eks. IT, lab, AACSB-evalueringer) i tråd med </t>
    </r>
    <r>
      <rPr>
        <b/>
        <sz val="11"/>
        <color theme="1"/>
        <rFont val="Aptos Narrow"/>
        <family val="2"/>
        <scheme val="minor"/>
      </rPr>
      <t>5 %-regelen (F-05-20)</t>
    </r>
    <r>
      <rPr>
        <sz val="11"/>
        <color theme="1"/>
        <rFont val="Aptos Narrow"/>
        <family val="2"/>
        <scheme val="minor"/>
      </rPr>
      <t>1more_horiz.</t>
    </r>
  </si>
  <si>
    <t>Stillingsgrupper, sosiale kostnader, 3–5 % vakansfaktor, 3–6 mnd rekrutteringstid34.</t>
  </si>
  <si>
    <t>SPE60-produksjon, 2-års etterslep, Kategori 1 (54 550 kr) og nettobudsjettering2more_horiz.</t>
  </si>
  <si>
    <r>
      <t>Frikjøpsbalanse (</t>
    </r>
    <r>
      <rPr>
        <i/>
        <sz val="11"/>
        <color theme="1"/>
        <rFont val="Aptos Narrow"/>
        <family val="2"/>
        <scheme val="minor"/>
      </rPr>
      <t>buy-out</t>
    </r>
    <r>
      <rPr>
        <sz val="11"/>
        <color theme="1"/>
        <rFont val="Aptos Narrow"/>
        <family val="2"/>
        <scheme val="minor"/>
      </rPr>
      <t>), korrekt SRS 10-periodisering og full overhead-dekning4more_horiz.</t>
    </r>
  </si>
  <si>
    <t>T3 Cutoff, avviksdrivere, RAG-status og overvåking mot 5 %-regelen (F-05-20)4more_horiz.</t>
  </si>
  <si>
    <t>keep_pinSave to notekeep_pin</t>
  </si>
  <si>
    <t>copy</t>
  </si>
  <si>
    <t>thumb_up</t>
  </si>
  <si>
    <t>thumb_down</t>
  </si>
  <si>
    <t>Forklar 2025-finansieringsmodellen</t>
  </si>
  <si>
    <t xml:space="preserve">Thoughts </t>
  </si>
  <si>
    <t>expand_more</t>
  </si>
  <si>
    <r>
      <t>Kunnskapsdepartementets (KD) finansieringsmodell fra 2025</t>
    </r>
    <r>
      <rPr>
        <sz val="11"/>
        <color theme="1"/>
        <rFont val="Aptos Narrow"/>
        <family val="2"/>
        <scheme val="minor"/>
      </rPr>
      <t xml:space="preserve"> innebærer en forenkling og omlegging av statens tildelingssystem for universiteter og høyskoler12. Modellen flytter tyngdepunktet mot en </t>
    </r>
    <r>
      <rPr>
        <b/>
        <sz val="11"/>
        <color theme="1"/>
        <rFont val="Aptos Narrow"/>
        <family val="2"/>
        <scheme val="minor"/>
      </rPr>
      <t>styrket basisbevilgning</t>
    </r>
    <r>
      <rPr>
        <sz val="11"/>
        <color theme="1"/>
        <rFont val="Aptos Narrow"/>
        <family val="2"/>
        <scheme val="minor"/>
      </rPr>
      <t xml:space="preserve"> kombinert med en </t>
    </r>
    <r>
      <rPr>
        <b/>
        <sz val="11"/>
        <color theme="1"/>
        <rFont val="Aptos Narrow"/>
        <family val="2"/>
        <scheme val="minor"/>
      </rPr>
      <t>rendyrket åpen resultatramme</t>
    </r>
    <r>
      <rPr>
        <sz val="11"/>
        <color theme="1"/>
        <rFont val="Aptos Narrow"/>
        <family val="2"/>
        <scheme val="minor"/>
      </rPr>
      <t xml:space="preserve"> knyttet til utdanningsproduksjon1more_horiz.</t>
    </r>
  </si>
  <si>
    <t>1. Hovedkomponentene i 2025-modellen</t>
  </si>
  <si>
    <t>1. Styrket basisbevilgning (Avvikling av lukkede resultatrammer):</t>
  </si>
  <si>
    <r>
      <t xml:space="preserve">Tidligere «lukkede resultatindikatorer» for forskningspublisering (publiseringspoeng), inntekter fra Norges forskningsråd (NFR), EU (Horisont Europa) og øvrig bidrags- og oppdragsaktivitet (BOA) er </t>
    </r>
    <r>
      <rPr>
        <b/>
        <sz val="11"/>
        <color theme="1"/>
        <rFont val="Aptos Narrow"/>
        <family val="2"/>
        <scheme val="minor"/>
      </rPr>
      <t>avviklet som egne løpende resultatindikatorer</t>
    </r>
    <r>
      <rPr>
        <sz val="11"/>
        <color theme="1"/>
        <rFont val="Aptos Narrow"/>
        <family val="2"/>
        <scheme val="minor"/>
      </rPr>
      <t xml:space="preserve"> i den nasjonale modellen12.</t>
    </r>
  </si>
  <si>
    <r>
      <t xml:space="preserve">Disse resultatmidlene er i stedet </t>
    </r>
    <r>
      <rPr>
        <b/>
        <sz val="11"/>
        <color theme="1"/>
        <rFont val="Aptos Narrow"/>
        <family val="2"/>
        <scheme val="minor"/>
      </rPr>
      <t>innlemmet i den faste basisbevilgningen</t>
    </r>
    <r>
      <rPr>
        <sz val="11"/>
        <color theme="1"/>
        <rFont val="Aptos Narrow"/>
        <family val="2"/>
        <scheme val="minor"/>
      </rPr>
      <t xml:space="preserve"> basert på et treårig historisk gjennomsnitt (2020–2022)12. Dette gir økt forutsigbarhet, men innebærer også at den automatiske statlige «skurtresker-effekten» for nye publiseringspoeng faller bort13.</t>
    </r>
  </si>
  <si>
    <t>2. Åpen resultatbasert ramme (Utdanningsproduksjon):</t>
  </si>
  <si>
    <r>
      <t xml:space="preserve">Antall resultatbaserte kategorier for studiepoengutveksling/produksjon er redusert fra tidligere seks kategorier (A–F) til </t>
    </r>
    <r>
      <rPr>
        <b/>
        <sz val="11"/>
        <color theme="1"/>
        <rFont val="Aptos Narrow"/>
        <family val="2"/>
        <scheme val="minor"/>
      </rPr>
      <t>tre kategorier</t>
    </r>
    <r>
      <rPr>
        <sz val="11"/>
        <color theme="1"/>
        <rFont val="Aptos Narrow"/>
        <family val="2"/>
        <scheme val="minor"/>
      </rPr>
      <t>12:</t>
    </r>
  </si>
  <si>
    <r>
      <t>Kategori 1 (54 550 kr per 60 SPE):</t>
    </r>
    <r>
      <rPr>
        <sz val="11"/>
        <color theme="1"/>
        <rFont val="Aptos Narrow"/>
        <family val="2"/>
        <scheme val="minor"/>
      </rPr>
      <t xml:space="preserve"> Humaniora, samfunnsfag og økonomisk-administrative fag (f.eks. studiene ved Handelshøyskolen ved UiA)1more_horiz.</t>
    </r>
  </si>
  <si>
    <r>
      <t>Kategori 2 (81 800 kr per 60 SPE):</t>
    </r>
    <r>
      <rPr>
        <sz val="11"/>
        <color theme="1"/>
        <rFont val="Aptos Narrow"/>
        <family val="2"/>
        <scheme val="minor"/>
      </rPr>
      <t xml:space="preserve"> Realfag, helse-, sosial- og lærerutdanninger, samt profesjonsstudiet i psykologi1more_horiz.</t>
    </r>
  </si>
  <si>
    <r>
      <t>Kategori 3 (190 900 kr per 60 SPE):</t>
    </r>
    <r>
      <rPr>
        <sz val="11"/>
        <color theme="1"/>
        <rFont val="Aptos Narrow"/>
        <family val="2"/>
        <scheme val="minor"/>
      </rPr>
      <t xml:space="preserve"> Medisin, odontologi og veterinærmedisin1more_horiz.</t>
    </r>
  </si>
  <si>
    <t>2. Sentrale mekanismer og kontrollpunkter</t>
  </si>
  <si>
    <r>
      <t>Nettobudsjetteringsprinsippet:</t>
    </r>
    <r>
      <rPr>
        <sz val="11"/>
        <color theme="1"/>
        <rFont val="Aptos Narrow"/>
        <family val="2"/>
        <scheme val="minor"/>
      </rPr>
      <t xml:space="preserve"> Eksisterende studieplasser og historisk produksjonsvolum ligger i utgangspunktet fast beskyttet i basisbevilgningen1more_horiz.</t>
    </r>
  </si>
  <si>
    <r>
      <t>Marginale endringer:</t>
    </r>
    <r>
      <rPr>
        <sz val="11"/>
        <color theme="1"/>
        <rFont val="Aptos Narrow"/>
        <family val="2"/>
        <scheme val="minor"/>
      </rPr>
      <t xml:space="preserve"> Kategorisatsene (f.eks. 54 550 kr for Kategori 1) benyttes </t>
    </r>
    <r>
      <rPr>
        <b/>
        <sz val="11"/>
        <color theme="1"/>
        <rFont val="Aptos Narrow"/>
        <family val="2"/>
        <scheme val="minor"/>
      </rPr>
      <t>kun ved endringer i produksjonsvolum</t>
    </r>
    <r>
      <rPr>
        <sz val="11"/>
        <color theme="1"/>
        <rFont val="Aptos Narrow"/>
        <family val="2"/>
        <scheme val="minor"/>
      </rPr>
      <t xml:space="preserve"> (vekst eller fall i avlagte studiepoeng) eller ved tildeling av nye studieplasser1more_horiz.</t>
    </r>
  </si>
  <si>
    <r>
      <t>2-års etterslep (lag):</t>
    </r>
    <r>
      <rPr>
        <sz val="11"/>
        <color theme="1"/>
        <rFont val="Aptos Narrow"/>
        <family val="2"/>
        <scheme val="minor"/>
      </rPr>
      <t xml:space="preserve"> Resultatbasert uttelling for avlagte studiepoeng (SPE60) utbetales med to års etterslep (f.eks. vil studiepoeng produsert i 2025 gi utslag i resultatbevilgningen for 2027)5.</t>
    </r>
  </si>
  <si>
    <r>
      <t>Skille i satser ved tildeling:</t>
    </r>
    <r>
      <rPr>
        <sz val="11"/>
        <color theme="1"/>
        <rFont val="Aptos Narrow"/>
        <family val="2"/>
        <scheme val="minor"/>
      </rPr>
      <t xml:space="preserve"> Ved tildeling av </t>
    </r>
    <r>
      <rPr>
        <i/>
        <sz val="11"/>
        <color theme="1"/>
        <rFont val="Aptos Narrow"/>
        <family val="2"/>
        <scheme val="minor"/>
      </rPr>
      <t>helt nye</t>
    </r>
    <r>
      <rPr>
        <sz val="11"/>
        <color theme="1"/>
        <rFont val="Aptos Narrow"/>
        <family val="2"/>
        <scheme val="minor"/>
      </rPr>
      <t xml:space="preserve"> studieplasser benyttes en overordnet standardsats (ca. 100 100 kr, fordelt med ca. 60 % i basis og 40 % resultatbasert), mens kategorisatsene benyttes for rene produksjonsendringer i eksisterende masse4.</t>
    </r>
  </si>
  <si>
    <t>3. Strategiske konsekvenser for Controlleren</t>
  </si>
  <si>
    <r>
      <t>Kritisk advarsel mot feilbruk av satser:</t>
    </r>
    <r>
      <rPr>
        <sz val="11"/>
        <color theme="1"/>
        <rFont val="Aptos Narrow"/>
        <family val="2"/>
        <scheme val="minor"/>
      </rPr>
      <t xml:space="preserve"> KDs kategorisatser uttrykker statlige </t>
    </r>
    <r>
      <rPr>
        <i/>
        <sz val="11"/>
        <color theme="1"/>
        <rFont val="Aptos Narrow"/>
        <family val="2"/>
        <scheme val="minor"/>
      </rPr>
      <t>insentivmidler per studiepoeng</t>
    </r>
    <r>
      <rPr>
        <sz val="11"/>
        <color theme="1"/>
        <rFont val="Aptos Narrow"/>
        <family val="2"/>
        <scheme val="minor"/>
      </rPr>
      <t>, ikke institusjonens faktiske kostnader ved å drive utdanningen2more_horiz. Hvis en enhet feilaktig benytter de lave marginale kategorisatsene som grunnlag for å omfordele eller devaluere eksisterende historisk studievolum internt, vil det undervurdere de reelle kostnadene og undergrave enhetens økonomiske bærekraft2more_horiz.</t>
    </r>
  </si>
  <si>
    <r>
      <t>Økt institusjonell forskningsrisiko:</t>
    </r>
    <r>
      <rPr>
        <sz val="11"/>
        <color theme="1"/>
        <rFont val="Aptos Narrow"/>
        <family val="2"/>
        <scheme val="minor"/>
      </rPr>
      <t xml:space="preserve"> Fordi statlig uttelling for publisering og BOA-prosjekter nå ligger fast i basis, flyttes den økonomiske risikoen for forskningsaktivitet i sin helhet over på institusjonen13. Frikjøp (</t>
    </r>
    <r>
      <rPr>
        <i/>
        <sz val="11"/>
        <color theme="1"/>
        <rFont val="Aptos Narrow"/>
        <family val="2"/>
        <scheme val="minor"/>
      </rPr>
      <t>buy-out</t>
    </r>
    <r>
      <rPr>
        <sz val="11"/>
        <color theme="1"/>
        <rFont val="Aptos Narrow"/>
        <family val="2"/>
        <scheme val="minor"/>
      </rPr>
      <t xml:space="preserve">) over eksterne NFR/EU-prosjekter via </t>
    </r>
    <r>
      <rPr>
        <b/>
        <sz val="11"/>
        <color theme="1"/>
        <rFont val="Aptos Narrow"/>
        <family val="2"/>
        <scheme val="minor"/>
      </rPr>
      <t>TDI-modellen</t>
    </r>
    <r>
      <rPr>
        <sz val="11"/>
        <color theme="1"/>
        <rFont val="Aptos Narrow"/>
        <family val="2"/>
        <scheme val="minor"/>
      </rPr>
      <t xml:space="preserve"> blir dermed enda viktigere for å avlaste basisbevilgningen og fristille forskningstid13.</t>
    </r>
  </si>
  <si>
    <r>
      <t xml:space="preserve">💡 </t>
    </r>
    <r>
      <rPr>
        <i/>
        <sz val="11"/>
        <color theme="1"/>
        <rFont val="Aptos Narrow"/>
        <family val="2"/>
        <scheme val="minor"/>
      </rPr>
      <t>Ønsker du at jeg viser et regneeksempel på hvordan en volumendring i studiepoeng slår ut på tildelingen for et konkret fakultet (f.eks. HHU eller TEK)?</t>
    </r>
  </si>
  <si>
    <t>Vis et regneeksempel på Kat 1 volumendring</t>
  </si>
  <si>
    <r>
      <t xml:space="preserve">Her er et praktisk regneeksempel på hvordan en volumendring i </t>
    </r>
    <r>
      <rPr>
        <b/>
        <sz val="11"/>
        <color theme="1"/>
        <rFont val="Aptos Narrow"/>
        <family val="2"/>
        <scheme val="minor"/>
      </rPr>
      <t>Kategori 1</t>
    </r>
    <r>
      <rPr>
        <sz val="11"/>
        <color theme="1"/>
        <rFont val="Aptos Narrow"/>
        <family val="2"/>
        <scheme val="minor"/>
      </rPr>
      <t xml:space="preserve"> slår ut under Kunnskapsdepartementets (KDs) finansieringsmodell12.</t>
    </r>
  </si>
  <si>
    <t>1. Grunnleggende forutsetninger for Kategori 1</t>
  </si>
  <si>
    <r>
      <t>Kategori 1-sats:</t>
    </r>
    <r>
      <rPr>
        <sz val="11"/>
        <color theme="1"/>
        <rFont val="Aptos Narrow"/>
        <family val="2"/>
        <scheme val="minor"/>
      </rPr>
      <t xml:space="preserve"> </t>
    </r>
    <r>
      <rPr>
        <b/>
        <sz val="11"/>
        <color theme="1"/>
        <rFont val="Aptos Narrow"/>
        <family val="2"/>
        <scheme val="minor"/>
      </rPr>
      <t>54 550 kr per 60 studiepoeng (1 SPE60 / helårsstudent)</t>
    </r>
    <r>
      <rPr>
        <sz val="11"/>
        <color theme="1"/>
        <rFont val="Aptos Narrow"/>
        <family val="2"/>
        <scheme val="minor"/>
      </rPr>
      <t xml:space="preserve"> (gjelder fag innen humaniora, samfunnsfag og økonomisk-administrative fag, som Handelshøyskolen ved UiA)12.</t>
    </r>
  </si>
  <si>
    <r>
      <t>2-års etterslep (lag):</t>
    </r>
    <r>
      <rPr>
        <sz val="11"/>
        <color theme="1"/>
        <rFont val="Aptos Narrow"/>
        <family val="2"/>
        <scheme val="minor"/>
      </rPr>
      <t xml:space="preserve"> Studiepoeng produsert i regnskapsåret </t>
    </r>
    <r>
      <rPr>
        <b/>
        <sz val="11"/>
        <color theme="1"/>
        <rFont val="Aptos Narrow"/>
        <family val="2"/>
        <scheme val="minor"/>
      </rPr>
      <t>2025</t>
    </r>
    <r>
      <rPr>
        <sz val="11"/>
        <color theme="1"/>
        <rFont val="Aptos Narrow"/>
        <family val="2"/>
        <scheme val="minor"/>
      </rPr>
      <t xml:space="preserve"> utløser resultatutbetaling i statsbudsjettet for </t>
    </r>
    <r>
      <rPr>
        <b/>
        <sz val="11"/>
        <color theme="1"/>
        <rFont val="Aptos Narrow"/>
        <family val="2"/>
        <scheme val="minor"/>
      </rPr>
      <t>2027</t>
    </r>
    <r>
      <rPr>
        <sz val="11"/>
        <color theme="1"/>
        <rFont val="Aptos Narrow"/>
        <family val="2"/>
        <scheme val="minor"/>
      </rPr>
      <t>2more_horiz.</t>
    </r>
  </si>
  <si>
    <r>
      <t>Nettobudsjetteringsprinsippet:</t>
    </r>
    <r>
      <rPr>
        <sz val="11"/>
        <color theme="1"/>
        <rFont val="Aptos Narrow"/>
        <family val="2"/>
        <scheme val="minor"/>
      </rPr>
      <t xml:space="preserve"> Eksisterende historisk studievolum ligger fast beskyttet i universitetets </t>
    </r>
    <r>
      <rPr>
        <b/>
        <sz val="11"/>
        <color theme="1"/>
        <rFont val="Aptos Narrow"/>
        <family val="2"/>
        <scheme val="minor"/>
      </rPr>
      <t>basisbevilgning</t>
    </r>
    <r>
      <rPr>
        <sz val="11"/>
        <color theme="1"/>
        <rFont val="Aptos Narrow"/>
        <family val="2"/>
        <scheme val="minor"/>
      </rPr>
      <t xml:space="preserve">1more_horiz. Kategorisatsen på 54 550 kr benyttes </t>
    </r>
    <r>
      <rPr>
        <b/>
        <sz val="11"/>
        <color theme="1"/>
        <rFont val="Aptos Narrow"/>
        <family val="2"/>
        <scheme val="minor"/>
      </rPr>
      <t>kun på marginale endringer i volum</t>
    </r>
    <r>
      <rPr>
        <sz val="11"/>
        <color theme="1"/>
        <rFont val="Aptos Narrow"/>
        <family val="2"/>
        <scheme val="minor"/>
      </rPr>
      <t xml:space="preserve"> (Økning eller reduksjon i avlagte studiepoeng)1more_horiz.</t>
    </r>
  </si>
  <si>
    <t>2. Regneeksempel: Volumendring ved Handelshøyskolen (HHU)</t>
  </si>
  <si>
    <r>
      <t xml:space="preserve">Anta at Handelshøyskolen ved UiA har en historisk baseline i sin basisbevilgning på </t>
    </r>
    <r>
      <rPr>
        <b/>
        <sz val="11"/>
        <color theme="1"/>
        <rFont val="Aptos Narrow"/>
        <family val="2"/>
        <scheme val="minor"/>
      </rPr>
      <t>3 120 SPE60</t>
    </r>
    <r>
      <rPr>
        <sz val="11"/>
        <color theme="1"/>
        <rFont val="Aptos Narrow"/>
        <family val="2"/>
        <scheme val="minor"/>
      </rPr>
      <t xml:space="preserve"> (tilsvarende 187 200 avlagte studiepoeng)14.</t>
    </r>
  </si>
  <si>
    <t>Scenario A: Positive volumendring (+50 SPE60 i 2025)</t>
  </si>
  <si>
    <r>
      <t xml:space="preserve">Gjennom tiltak for bedre gjennomføring og redusert stryk øker studentenes produksjon i 2025 med totalt </t>
    </r>
    <r>
      <rPr>
        <b/>
        <sz val="11"/>
        <color theme="1"/>
        <rFont val="Aptos Narrow"/>
        <family val="2"/>
        <scheme val="minor"/>
      </rPr>
      <t>3 000 studiepoeng</t>
    </r>
    <r>
      <rPr>
        <sz val="11"/>
        <color theme="1"/>
        <rFont val="Aptos Narrow"/>
        <family val="2"/>
        <scheme val="minor"/>
      </rPr>
      <t xml:space="preserve">, som utgjør </t>
    </r>
    <r>
      <rPr>
        <b/>
        <sz val="11"/>
        <color theme="1"/>
        <rFont val="Aptos Narrow"/>
        <family val="2"/>
        <scheme val="minor"/>
      </rPr>
      <t>+50 SPE60</t>
    </r>
    <r>
      <rPr>
        <sz val="11"/>
        <color theme="1"/>
        <rFont val="Aptos Narrow"/>
        <family val="2"/>
        <scheme val="minor"/>
      </rPr>
      <t xml:space="preserve"> ($3\,000 / 60 = 50$).</t>
    </r>
  </si>
  <si>
    <t>$$\text{Marginal inntektsendring for 2027} = 50 \text{ SPE60} \times 54\,550 \text{ kr} = \mathbf{2\,727\,500 \text{ kr}} \quad (\mathbf{+2,73 \text{ MNOK}})$$</t>
  </si>
  <si>
    <r>
      <t>Effekt i 2027-budsjettet:</t>
    </r>
    <r>
      <rPr>
        <sz val="11"/>
        <color theme="1"/>
        <rFont val="Aptos Narrow"/>
        <family val="2"/>
        <scheme val="minor"/>
      </rPr>
      <t xml:space="preserve"> HHU får utbetalt en resultatvekst i bevilgningen fra KD på </t>
    </r>
    <r>
      <rPr>
        <b/>
        <sz val="11"/>
        <color theme="1"/>
        <rFont val="Aptos Narrow"/>
        <family val="2"/>
        <scheme val="minor"/>
      </rPr>
      <t>+2,73 MNOK</t>
    </r>
    <r>
      <rPr>
        <sz val="11"/>
        <color theme="1"/>
        <rFont val="Aptos Narrow"/>
        <family val="2"/>
        <scheme val="minor"/>
      </rPr>
      <t xml:space="preserve"> i 202712.</t>
    </r>
  </si>
  <si>
    <t>Scenario B: Negativ volumendring (-30 SPE60 i 2025)</t>
  </si>
  <si>
    <r>
      <t xml:space="preserve">På grunn av økt frafall på et bachelorprogram faller produksjonen i 2025 med </t>
    </r>
    <r>
      <rPr>
        <b/>
        <sz val="11"/>
        <color theme="1"/>
        <rFont val="Aptos Narrow"/>
        <family val="2"/>
        <scheme val="minor"/>
      </rPr>
      <t>1 800 studiepoeng</t>
    </r>
    <r>
      <rPr>
        <sz val="11"/>
        <color theme="1"/>
        <rFont val="Aptos Narrow"/>
        <family val="2"/>
        <scheme val="minor"/>
      </rPr>
      <t xml:space="preserve">, som utgjør </t>
    </r>
    <r>
      <rPr>
        <b/>
        <sz val="11"/>
        <color theme="1"/>
        <rFont val="Aptos Narrow"/>
        <family val="2"/>
        <scheme val="minor"/>
      </rPr>
      <t>-30 SPE60</t>
    </r>
    <r>
      <rPr>
        <sz val="11"/>
        <color theme="1"/>
        <rFont val="Aptos Narrow"/>
        <family val="2"/>
        <scheme val="minor"/>
      </rPr>
      <t xml:space="preserve"> ($1\,800 / 60 = 30$).</t>
    </r>
  </si>
  <si>
    <t>$$\text{Marginal inntektsendring for 2027} = -30 \text{ SPE60} \times 54\,550 \text{ kr} = \mathbf{-1\,636\,500 \text{ kr}} \quad (\mathbf{-1,64 \text{ MNOK}})$$</t>
  </si>
  <si>
    <r>
      <t>Effekt i 2027-budsjettet:</t>
    </r>
    <r>
      <rPr>
        <sz val="11"/>
        <color theme="1"/>
        <rFont val="Aptos Narrow"/>
        <family val="2"/>
        <scheme val="minor"/>
      </rPr>
      <t xml:space="preserve"> HHU får et trekk i resultatbevilgningen fra KD på </t>
    </r>
    <r>
      <rPr>
        <b/>
        <sz val="11"/>
        <color theme="1"/>
        <rFont val="Aptos Narrow"/>
        <family val="2"/>
        <scheme val="minor"/>
      </rPr>
      <t>-1,64 MNOK</t>
    </r>
    <r>
      <rPr>
        <sz val="11"/>
        <color theme="1"/>
        <rFont val="Aptos Narrow"/>
        <family val="2"/>
        <scheme val="minor"/>
      </rPr>
      <t xml:space="preserve"> i 202712.</t>
    </r>
  </si>
  <si>
    <t>3. Controllerens «So What?» &amp; Strategiske Advarsler</t>
  </si>
  <si>
    <r>
      <t>1. Insentivsats vs. Reell enhetskostnad:</t>
    </r>
    <r>
      <rPr>
        <sz val="11"/>
        <color theme="1"/>
        <rFont val="Aptos Narrow"/>
        <family val="2"/>
        <scheme val="minor"/>
      </rPr>
      <t xml:space="preserve"> KDs kategorisats på </t>
    </r>
    <r>
      <rPr>
        <b/>
        <sz val="11"/>
        <color theme="1"/>
        <rFont val="Aptos Narrow"/>
        <family val="2"/>
        <scheme val="minor"/>
      </rPr>
      <t>54 550 kr per SPE60</t>
    </r>
    <r>
      <rPr>
        <sz val="11"/>
        <color theme="1"/>
        <rFont val="Aptos Narrow"/>
        <family val="2"/>
        <scheme val="minor"/>
      </rPr>
      <t xml:space="preserve"> uttrykker kun statens </t>
    </r>
    <r>
      <rPr>
        <i/>
        <sz val="11"/>
        <color theme="1"/>
        <rFont val="Aptos Narrow"/>
        <family val="2"/>
        <scheme val="minor"/>
      </rPr>
      <t>marginalbelønning for endring</t>
    </r>
    <r>
      <rPr>
        <sz val="11"/>
        <color theme="1"/>
        <rFont val="Aptos Narrow"/>
        <family val="2"/>
        <scheme val="minor"/>
      </rPr>
      <t>, ikke den faktiske totalkostnaden ved å utdanne en helårsstudent (som inkluderer lønn til forelesere, lokaler, IT og administrasjon)1more_horiz.</t>
    </r>
  </si>
  <si>
    <r>
      <t>2. Kritisk kontrollpunkt mot devaluering:</t>
    </r>
    <r>
      <rPr>
        <sz val="11"/>
        <color theme="1"/>
        <rFont val="Aptos Narrow"/>
        <family val="2"/>
        <scheme val="minor"/>
      </rPr>
      <t xml:space="preserve"> Som controller må du </t>
    </r>
    <r>
      <rPr>
        <b/>
        <sz val="11"/>
        <color theme="1"/>
        <rFont val="Aptos Narrow"/>
        <family val="2"/>
        <scheme val="minor"/>
      </rPr>
      <t>aldri</t>
    </r>
    <r>
      <rPr>
        <sz val="11"/>
        <color theme="1"/>
        <rFont val="Aptos Narrow"/>
        <family val="2"/>
        <scheme val="minor"/>
      </rPr>
      <t xml:space="preserve"> benytte 54 550 kr som grunnlag for å verdivurdere hele den eksisterende studentmassen ($3\,120 \text{ SPE60} \times 54\,550 \text{ kr} = 170,2 \text{ MNOK}$) når midler fordeles internt2more_horiz. Det historiske volumet er finansiert over basis, og feilaktig bruk av kategorisatsen på eksisterende volum vil undervurdere de reelle kostnadene og undergrave fakultetets økonomiske bærekraft2more_horiz.</t>
    </r>
  </si>
  <si>
    <r>
      <t>3. Tidsforskyvning og treghet:</t>
    </r>
    <r>
      <rPr>
        <sz val="11"/>
        <color theme="1"/>
        <rFont val="Aptos Narrow"/>
        <family val="2"/>
        <scheme val="minor"/>
      </rPr>
      <t xml:space="preserve"> Et produksjonsfall i 2025 gir ikke umiddelbar regnskapseffekt i 2025 eller 2026, men skaper et </t>
    </r>
    <r>
      <rPr>
        <b/>
        <sz val="11"/>
        <color theme="1"/>
        <rFont val="Aptos Narrow"/>
        <family val="2"/>
        <scheme val="minor"/>
      </rPr>
      <t>forsinket bevilgningshull i 2027</t>
    </r>
    <r>
      <rPr>
        <sz val="11"/>
        <color theme="1"/>
        <rFont val="Aptos Narrow"/>
        <family val="2"/>
        <scheme val="minor"/>
      </rPr>
      <t>2more_horiz. Controlleren må derfor advare ledelsen om denne effekten to år før regningen faktisk kommer34.</t>
    </r>
  </si>
  <si>
    <t>Oversikt over genererte CSV-filer for Budsjett 2027</t>
  </si>
  <si>
    <r>
      <t xml:space="preserve">Settet med </t>
    </r>
    <r>
      <rPr>
        <b/>
        <sz val="11"/>
        <color theme="1"/>
        <rFont val="Aptos Narrow"/>
        <family val="2"/>
        <scheme val="minor"/>
      </rPr>
      <t>9 CSV-filer</t>
    </r>
    <r>
      <rPr>
        <sz val="11"/>
        <color theme="1"/>
        <rFont val="Aptos Narrow"/>
        <family val="2"/>
        <scheme val="minor"/>
      </rPr>
      <t xml:space="preserve"> er bygget med semi-kolon (</t>
    </r>
    <r>
      <rPr>
        <sz val="10"/>
        <color theme="1"/>
        <rFont val="Arial Unicode MS"/>
      </rPr>
      <t>;</t>
    </r>
    <r>
      <rPr>
        <sz val="11"/>
        <color theme="1"/>
        <rFont val="Aptos Narrow"/>
        <family val="2"/>
        <scheme val="minor"/>
      </rPr>
      <t>) som skilletegn og UTF-8 med BOM for direkte import i Power BI Desktop:</t>
    </r>
  </si>
  <si>
    <r>
      <t>1. FactBudget_2027.csv</t>
    </r>
    <r>
      <rPr>
        <sz val="11"/>
        <color theme="1"/>
        <rFont val="Aptos Narrow"/>
        <family val="2"/>
        <scheme val="minor"/>
      </rPr>
      <t>: Detaljert månedsperiodisert årsbudsjett (</t>
    </r>
    <r>
      <rPr>
        <b/>
        <sz val="11"/>
        <color theme="1"/>
        <rFont val="Aptos Narrow"/>
        <family val="2"/>
        <scheme val="minor"/>
      </rPr>
      <t>BUD2027</t>
    </r>
    <r>
      <rPr>
        <sz val="11"/>
        <color theme="1"/>
        <rFont val="Aptos Narrow"/>
        <family val="2"/>
        <scheme val="minor"/>
      </rPr>
      <t xml:space="preserve">) for alle 12 måneder i 2027 fordelt på kontoplan R-102 og organisasjonsenheter. Reflekterer HHUs samlede ramme på </t>
    </r>
    <r>
      <rPr>
        <b/>
        <sz val="11"/>
        <color theme="1"/>
        <rFont val="Aptos Narrow"/>
        <family val="2"/>
        <scheme val="minor"/>
      </rPr>
      <t>286,8 MNOK i inntekter</t>
    </r>
    <r>
      <rPr>
        <sz val="11"/>
        <color theme="1"/>
        <rFont val="Aptos Narrow"/>
        <family val="2"/>
        <scheme val="minor"/>
      </rPr>
      <t xml:space="preserve"> og </t>
    </r>
    <r>
      <rPr>
        <b/>
        <sz val="11"/>
        <color theme="1"/>
        <rFont val="Aptos Narrow"/>
        <family val="2"/>
        <scheme val="minor"/>
      </rPr>
      <t>282,0 MNOK i kostnader</t>
    </r>
    <r>
      <rPr>
        <sz val="11"/>
        <color theme="1"/>
        <rFont val="Aptos Narrow"/>
        <family val="2"/>
        <scheme val="minor"/>
      </rPr>
      <t xml:space="preserve"> (+4,8 MNOK i netto overskudd) samt UiAs totalramme (ca. 1 500 MNOK).</t>
    </r>
  </si>
  <si>
    <r>
      <t>2. FactFTE_2027.csv</t>
    </r>
    <r>
      <rPr>
        <sz val="11"/>
        <color theme="1"/>
        <rFont val="Aptos Narrow"/>
        <family val="2"/>
        <scheme val="minor"/>
      </rPr>
      <t xml:space="preserve">: Bemannings- og årsverksplan for 2027. For HHU inngår </t>
    </r>
    <r>
      <rPr>
        <b/>
        <sz val="11"/>
        <color theme="1"/>
        <rFont val="Aptos Narrow"/>
        <family val="2"/>
        <scheme val="minor"/>
      </rPr>
      <t>155 UF-årsverk</t>
    </r>
    <r>
      <rPr>
        <sz val="11"/>
        <color theme="1"/>
        <rFont val="Aptos Narrow"/>
        <family val="2"/>
        <scheme val="minor"/>
      </rPr>
      <t xml:space="preserve"> (vitenskapelige), </t>
    </r>
    <r>
      <rPr>
        <b/>
        <sz val="11"/>
        <color theme="1"/>
        <rFont val="Aptos Narrow"/>
        <family val="2"/>
        <scheme val="minor"/>
      </rPr>
      <t>75 TA-årsverk</t>
    </r>
    <r>
      <rPr>
        <sz val="11"/>
        <color theme="1"/>
        <rFont val="Aptos Narrow"/>
        <family val="2"/>
        <scheme val="minor"/>
      </rPr>
      <t xml:space="preserve"> (teknisk-administrative), totalt </t>
    </r>
    <r>
      <rPr>
        <b/>
        <sz val="11"/>
        <color theme="1"/>
        <rFont val="Aptos Narrow"/>
        <family val="2"/>
        <scheme val="minor"/>
      </rPr>
      <t>230 årsverk</t>
    </r>
    <r>
      <rPr>
        <sz val="11"/>
        <color theme="1"/>
        <rFont val="Aptos Narrow"/>
        <family val="2"/>
        <scheme val="minor"/>
      </rPr>
      <t xml:space="preserve"> (252 ansatte), med innlagt </t>
    </r>
    <r>
      <rPr>
        <b/>
        <sz val="11"/>
        <color theme="1"/>
        <rFont val="Aptos Narrow"/>
        <family val="2"/>
        <scheme val="minor"/>
      </rPr>
      <t>3–5 % vakansfaktor</t>
    </r>
    <r>
      <rPr>
        <sz val="11"/>
        <color theme="1"/>
        <rFont val="Aptos Narrow"/>
        <family val="2"/>
        <scheme val="minor"/>
      </rPr>
      <t xml:space="preserve"> og snittlønnsdata.</t>
    </r>
  </si>
  <si>
    <r>
      <t>3. FactStudents_2027.csv</t>
    </r>
    <r>
      <rPr>
        <sz val="11"/>
        <color theme="1"/>
        <rFont val="Aptos Narrow"/>
        <family val="2"/>
        <scheme val="minor"/>
      </rPr>
      <t xml:space="preserve">: Utdannings- og studiepoengmodell for 2027. Dokumenterer </t>
    </r>
    <r>
      <rPr>
        <b/>
        <sz val="11"/>
        <color theme="1"/>
        <rFont val="Aptos Narrow"/>
        <family val="2"/>
        <scheme val="minor"/>
      </rPr>
      <t>2-års etterslep (lag)</t>
    </r>
    <r>
      <rPr>
        <sz val="11"/>
        <color theme="1"/>
        <rFont val="Aptos Narrow"/>
        <family val="2"/>
        <scheme val="minor"/>
      </rPr>
      <t xml:space="preserve"> der </t>
    </r>
    <r>
      <rPr>
        <b/>
        <sz val="11"/>
        <color theme="1"/>
        <rFont val="Aptos Narrow"/>
        <family val="2"/>
        <scheme val="minor"/>
      </rPr>
      <t>2025-produksjonen (3 120 SPE60)</t>
    </r>
    <r>
      <rPr>
        <sz val="11"/>
        <color theme="1"/>
        <rFont val="Aptos Narrow"/>
        <family val="2"/>
        <scheme val="minor"/>
      </rPr>
      <t xml:space="preserve"> styrer resultatutbetalingen i 2027 basert på KDs </t>
    </r>
    <r>
      <rPr>
        <b/>
        <sz val="11"/>
        <color theme="1"/>
        <rFont val="Aptos Narrow"/>
        <family val="2"/>
        <scheme val="minor"/>
      </rPr>
      <t>Kategori 1-sats (54 550 kr/SPE60)</t>
    </r>
    <r>
      <rPr>
        <sz val="11"/>
        <color theme="1"/>
        <rFont val="Aptos Narrow"/>
        <family val="2"/>
        <scheme val="minor"/>
      </rPr>
      <t xml:space="preserve"> for HHU, samt lærertetthet (</t>
    </r>
    <r>
      <rPr>
        <b/>
        <sz val="11"/>
        <color theme="1"/>
        <rFont val="Aptos Narrow"/>
        <family val="2"/>
        <scheme val="minor"/>
      </rPr>
      <t>22,3 stud/UF-ÅV</t>
    </r>
    <r>
      <rPr>
        <sz val="11"/>
        <color theme="1"/>
        <rFont val="Aptos Narrow"/>
        <family val="2"/>
        <scheme val="minor"/>
      </rPr>
      <t>).</t>
    </r>
  </si>
  <si>
    <r>
      <t>4. FactAction_2027.csv</t>
    </r>
    <r>
      <rPr>
        <sz val="11"/>
        <color theme="1"/>
        <rFont val="Aptos Narrow"/>
        <family val="2"/>
        <scheme val="minor"/>
      </rPr>
      <t>: Omstillingstiltak T001–T004 for 2027 (frys i administrativ rekruttering, faglige omdisponeringer, EVU-ekspansjon) koblet mot regnskapslinjer og ansvarlige roller.</t>
    </r>
  </si>
  <si>
    <r>
      <t>5. DimOrganization.csv</t>
    </r>
    <r>
      <rPr>
        <sz val="11"/>
        <color theme="1"/>
        <rFont val="Aptos Narrow"/>
        <family val="2"/>
        <scheme val="minor"/>
      </rPr>
      <t>: UiA organisasjonsstruktur (Toppnivå UiA, HHU og øvrige fakulteter, samt HHUs tre institutter og fakultetsadministrasjon).</t>
    </r>
  </si>
  <si>
    <r>
      <t>6. DimAccountHierarchy.csv</t>
    </r>
    <r>
      <rPr>
        <sz val="11"/>
        <color theme="1"/>
        <rFont val="Aptos Narrow"/>
        <family val="2"/>
        <scheme val="minor"/>
      </rPr>
      <t>: Denormalisert kontoplan iht. DFØ R-102 og SRS-regnskapslinjer.</t>
    </r>
  </si>
  <si>
    <r>
      <t>7. DimDate_2027.csv</t>
    </r>
    <r>
      <rPr>
        <sz val="11"/>
        <color theme="1"/>
        <rFont val="Aptos Narrow"/>
        <family val="2"/>
        <scheme val="minor"/>
      </rPr>
      <t>: Kalenderdimensjon for 2027 som markerer hele året som plan/budsjettperiode (</t>
    </r>
    <r>
      <rPr>
        <sz val="10"/>
        <color theme="1"/>
        <rFont val="Arial Unicode MS"/>
      </rPr>
      <t>ErActualYTD = FALSE</t>
    </r>
    <r>
      <rPr>
        <sz val="11"/>
        <color theme="1"/>
        <rFont val="Aptos Narrow"/>
        <family val="2"/>
        <scheme val="minor"/>
      </rPr>
      <t>).</t>
    </r>
  </si>
  <si>
    <r>
      <t>8. DimForecastVersion.csv</t>
    </r>
    <r>
      <rPr>
        <sz val="11"/>
        <color theme="1"/>
        <rFont val="Aptos Narrow"/>
        <family val="2"/>
        <scheme val="minor"/>
      </rPr>
      <t>: Versjonstabell (</t>
    </r>
    <r>
      <rPr>
        <sz val="10"/>
        <color theme="1"/>
        <rFont val="Arial Unicode MS"/>
      </rPr>
      <t>BUD2027</t>
    </r>
    <r>
      <rPr>
        <sz val="11"/>
        <color theme="1"/>
        <rFont val="Aptos Narrow"/>
        <family val="2"/>
        <scheme val="minor"/>
      </rPr>
      <t xml:space="preserve">, </t>
    </r>
    <r>
      <rPr>
        <sz val="10"/>
        <color theme="1"/>
        <rFont val="Arial Unicode MS"/>
      </rPr>
      <t>PROG2028</t>
    </r>
    <r>
      <rPr>
        <sz val="11"/>
        <color theme="1"/>
        <rFont val="Aptos Narrow"/>
        <family val="2"/>
        <scheme val="minor"/>
      </rPr>
      <t xml:space="preserve">, </t>
    </r>
    <r>
      <rPr>
        <sz val="10"/>
        <color theme="1"/>
        <rFont val="Arial Unicode MS"/>
      </rPr>
      <t>PROG2029</t>
    </r>
    <r>
      <rPr>
        <sz val="11"/>
        <color theme="1"/>
        <rFont val="Aptos Narrow"/>
        <family val="2"/>
        <scheme val="minor"/>
      </rPr>
      <t xml:space="preserve">, </t>
    </r>
    <r>
      <rPr>
        <sz val="10"/>
        <color theme="1"/>
        <rFont val="Arial Unicode MS"/>
      </rPr>
      <t>PROG2030</t>
    </r>
    <r>
      <rPr>
        <sz val="11"/>
        <color theme="1"/>
        <rFont val="Aptos Narrow"/>
        <family val="2"/>
        <scheme val="minor"/>
      </rPr>
      <t xml:space="preserve">, </t>
    </r>
    <r>
      <rPr>
        <sz val="10"/>
        <color theme="1"/>
        <rFont val="Arial Unicode MS"/>
      </rPr>
      <t>PROG2031</t>
    </r>
    <r>
      <rPr>
        <sz val="11"/>
        <color theme="1"/>
        <rFont val="Aptos Narrow"/>
        <family val="2"/>
        <scheme val="minor"/>
      </rPr>
      <t>).</t>
    </r>
  </si>
  <si>
    <r>
      <t>9. Relationships.csv</t>
    </r>
    <r>
      <rPr>
        <sz val="11"/>
        <color theme="1"/>
        <rFont val="Aptos Narrow"/>
        <family val="2"/>
        <scheme val="minor"/>
      </rPr>
      <t>: Kardinalitets- og kryssfiltreringstabell ($1:*$ enveisrelasjoner) for oppsett av datamodellen.</t>
    </r>
  </si>
  <si>
    <t>2. Data Model Diagram (Power BI Star Schema 2027)</t>
  </si>
  <si>
    <r>
      <t xml:space="preserve">Bildet </t>
    </r>
    <r>
      <rPr>
        <b/>
        <sz val="11"/>
        <color theme="1"/>
        <rFont val="Aptos Narrow"/>
        <family val="2"/>
        <scheme val="minor"/>
      </rPr>
      <t>powerbi_datamodel_2027_diagram.png</t>
    </r>
    <r>
      <rPr>
        <sz val="11"/>
        <color theme="1"/>
        <rFont val="Aptos Narrow"/>
        <family val="2"/>
        <scheme val="minor"/>
      </rPr>
      <t xml:space="preserve"> viser oppsettet av semantikkmodellen i Power BI.</t>
    </r>
  </si>
  <si>
    <r>
      <t xml:space="preserve">Datamodellen er bygget som et </t>
    </r>
    <r>
      <rPr>
        <b/>
        <sz val="11"/>
        <color theme="1"/>
        <rFont val="Aptos Narrow"/>
        <family val="2"/>
        <scheme val="minor"/>
      </rPr>
      <t>renskåret Stjerneskjema (Star Schema)</t>
    </r>
    <r>
      <rPr>
        <sz val="11"/>
        <color theme="1"/>
        <rFont val="Aptos Narrow"/>
        <family val="2"/>
        <scheme val="minor"/>
      </rPr>
      <t xml:space="preserve"> hvor dimensjonstabellene filtrerer faktatabellene med enveis $1:*$-relasjoner:</t>
    </r>
  </si>
  <si>
    <t>| POWER BI SEMANTIC DATA MODEL — UiA &amp; HHU BUDSJETT 2027 (STAR SCHEMA)                             |</t>
  </si>
  <si>
    <t xml:space="preserve">    [ DimOrganization ]        [ DimAccountHierarchy ]        [ DimDate_2027 ]      [ DimForecastVersion ]</t>
  </si>
  <si>
    <t xml:space="preserve">     (PK: OrgKode)              (PK: Konto)                (PK: DatoNokkel)       (PK: VersjonKode)</t>
  </si>
  <si>
    <t xml:space="preserve">           │                          │                           │                      │</t>
  </si>
  <si>
    <t xml:space="preserve">           │ (1)                      │ (1)                       │ (1)                  │ (1)</t>
  </si>
  <si>
    <t xml:space="preserve">           ├──────────────────────────┼───────────────────────────┼──────────────────────┘</t>
  </si>
  <si>
    <t xml:space="preserve">           │                          │                           │</t>
  </si>
  <si>
    <t xml:space="preserve">           ▼ (*)                      ▼ (*)                       ▼ (*)</t>
  </si>
  <si>
    <t xml:space="preserve">  +───────────────────+      +───────────────────+       +───────────────────+</t>
  </si>
  <si>
    <t xml:space="preserve">  |  FactBudget_2027  |      |   FactFTE_2027    |       | FactStudents_2027 |</t>
  </si>
  <si>
    <t xml:space="preserve">  | (FK: OrgKode)     |      | (FK: OrgKode)     |       | (FK: OrgKode)     |</t>
  </si>
  <si>
    <t xml:space="preserve">  | (FK: Konto)       |      | (FK: DatoNokkel)  |       | [SPE60_2025_Lag,  |</t>
  </si>
  <si>
    <t xml:space="preserve">  | (FK: DatoNokkel)  |      | [UF/TA, ÅV, Lønn] |       |  Kat 1 54 550 kr] |</t>
  </si>
  <si>
    <t xml:space="preserve">           │                                                       │</t>
  </si>
  <si>
    <t xml:space="preserve">           ▼ (*)                                                   ▼ (*)</t>
  </si>
  <si>
    <t xml:space="preserve">  +───────────────────+                                  +───────────────────+</t>
  </si>
  <si>
    <t xml:space="preserve">  |   FactAction_2027 |                                  | Relationships.csv |</t>
  </si>
  <si>
    <t xml:space="preserve">  | (FK: OrgKode)     |                                  | (Relasjonskart)   |</t>
  </si>
  <si>
    <t>3. Ordliste for Økonomi, Finansiering og Budsjett (HHU &amp; UiA)</t>
  </si>
  <si>
    <r>
      <t xml:space="preserve">Dokumentet </t>
    </r>
    <r>
      <rPr>
        <b/>
        <sz val="11"/>
        <color theme="1"/>
        <rFont val="Aptos Narrow"/>
        <family val="2"/>
        <scheme val="minor"/>
      </rPr>
      <t>Ordliste_HHU_UIA_Oekonomi_Budsjett_2027.md</t>
    </r>
    <r>
      <rPr>
        <sz val="11"/>
        <color theme="1"/>
        <rFont val="Aptos Narrow"/>
        <family val="2"/>
        <scheme val="minor"/>
      </rPr>
      <t xml:space="preserve"> er publisert i Studio. Nedenfor gies sammendraget av kjjernebegrepene:</t>
    </r>
  </si>
  <si>
    <t>1. Sektor- og Finansieringsbegreper</t>
  </si>
  <si>
    <r>
      <t>KD (Kunnskapsdepartementet):</t>
    </r>
    <r>
      <rPr>
        <sz val="11"/>
        <color theme="1"/>
        <rFont val="Aptos Narrow"/>
        <family val="2"/>
        <scheme val="minor"/>
      </rPr>
      <t xml:space="preserve"> Overordnet sektordepartement som tildeler statstilskuddet via det årlige tildelingsbrevet (Kap. 260).</t>
    </r>
  </si>
  <si>
    <r>
      <t>BFV (Bevilgningsfinansiert virksomhet):</t>
    </r>
    <r>
      <rPr>
        <sz val="11"/>
        <color theme="1"/>
        <rFont val="Aptos Narrow"/>
        <family val="2"/>
        <scheme val="minor"/>
      </rPr>
      <t xml:space="preserve"> Ordinær kjernevirksomhet finansiert over statsbudsjettets Post 50 basisbevilgning.</t>
    </r>
  </si>
  <si>
    <r>
      <t>BOA (Bidrags- og oppdragsfinansiert aktivitet):</t>
    </r>
    <r>
      <rPr>
        <sz val="11"/>
        <color theme="1"/>
        <rFont val="Aptos Narrow"/>
        <family val="2"/>
        <scheme val="minor"/>
      </rPr>
      <t xml:space="preserve"> Eksternfinansiert forskning og utdanning.</t>
    </r>
  </si>
  <si>
    <r>
      <t>Bidrag (NFR, EU Horisont Europa):</t>
    </r>
    <r>
      <rPr>
        <sz val="11"/>
        <color theme="1"/>
        <rFont val="Aptos Narrow"/>
        <family val="2"/>
        <scheme val="minor"/>
      </rPr>
      <t xml:space="preserve"> Støtte uten krav om kommersiell motytelse (</t>
    </r>
    <r>
      <rPr>
        <b/>
        <sz val="11"/>
        <color theme="1"/>
        <rFont val="Aptos Narrow"/>
        <family val="2"/>
        <scheme val="minor"/>
      </rPr>
      <t>SRS 10</t>
    </r>
    <r>
      <rPr>
        <sz val="11"/>
        <color theme="1"/>
        <rFont val="Aptos Narrow"/>
        <family val="2"/>
        <scheme val="minor"/>
      </rPr>
      <t xml:space="preserve"> periodisering).</t>
    </r>
  </si>
  <si>
    <r>
      <t>Oppdrag (EVU, næringsliv):</t>
    </r>
    <r>
      <rPr>
        <sz val="11"/>
        <color theme="1"/>
        <rFont val="Aptos Narrow"/>
        <family val="2"/>
        <scheme val="minor"/>
      </rPr>
      <t xml:space="preserve"> Salg av tjenester mot betaling (</t>
    </r>
    <r>
      <rPr>
        <b/>
        <sz val="11"/>
        <color theme="1"/>
        <rFont val="Aptos Narrow"/>
        <family val="2"/>
        <scheme val="minor"/>
      </rPr>
      <t>SRS 9</t>
    </r>
    <r>
      <rPr>
        <sz val="11"/>
        <color theme="1"/>
        <rFont val="Aptos Narrow"/>
        <family val="2"/>
        <scheme val="minor"/>
      </rPr>
      <t xml:space="preserve"> fullføringsgrad og tapsavsetning).</t>
    </r>
  </si>
  <si>
    <r>
      <t>TDI-modellen:</t>
    </r>
    <r>
      <rPr>
        <sz val="11"/>
        <color theme="1"/>
        <rFont val="Aptos Narrow"/>
        <family val="2"/>
        <scheme val="minor"/>
      </rPr>
      <t xml:space="preserve"> Nasjonal UH-standard for beregning av direkte prosjektkostnader pluss et felleskostnadspåslag (overhead på ca. 22 %).</t>
    </r>
  </si>
  <si>
    <r>
      <t>Frikjøp (Buy-out):</t>
    </r>
    <r>
      <rPr>
        <sz val="11"/>
        <color theme="1"/>
        <rFont val="Aptos Narrow"/>
        <family val="2"/>
        <scheme val="minor"/>
      </rPr>
      <t xml:space="preserve"> Overføring av vitenskapelig ansattes lønnskostnad fra basisbudsjettet til BOA-prosjekter.</t>
    </r>
  </si>
  <si>
    <t>2. KDs Finansieringsmodell 2025/2027 &amp; Kategoriinndeling</t>
  </si>
  <si>
    <r>
      <t>Nettobudsjetteringsprinsippet:</t>
    </r>
    <r>
      <rPr>
        <sz val="11"/>
        <color theme="1"/>
        <rFont val="Aptos Narrow"/>
        <family val="2"/>
        <scheme val="minor"/>
      </rPr>
      <t xml:space="preserve"> Eksisterende utdanningsvolum ligger fast beskyttet i basisbevilgningen.</t>
    </r>
  </si>
  <si>
    <r>
      <t>Kategori 1 (54 550 kr per 60 SPE):</t>
    </r>
    <r>
      <rPr>
        <sz val="11"/>
        <color theme="1"/>
        <rFont val="Aptos Narrow"/>
        <family val="2"/>
        <scheme val="minor"/>
      </rPr>
      <t xml:space="preserve"> Humaniora, samfunnsfag og økonomisk-administrative fag (HHU).</t>
    </r>
  </si>
  <si>
    <r>
      <t>Kategori 2 (81 800 kr per 60 SPE):</t>
    </r>
    <r>
      <rPr>
        <sz val="11"/>
        <color theme="1"/>
        <rFont val="Aptos Narrow"/>
        <family val="2"/>
        <scheme val="minor"/>
      </rPr>
      <t xml:space="preserve"> Realfag, helse-, sosial- og lærerutdanninger, psykologi.</t>
    </r>
  </si>
  <si>
    <r>
      <t>Kategori 3 (190 900 kr per 60 SPE):</t>
    </r>
    <r>
      <rPr>
        <sz val="11"/>
        <color theme="1"/>
        <rFont val="Aptos Narrow"/>
        <family val="2"/>
        <scheme val="minor"/>
      </rPr>
      <t xml:space="preserve"> Medisin, odontologi og veterinærmedisin.</t>
    </r>
  </si>
  <si>
    <r>
      <t>2-Års Etterslep (Lag):</t>
    </r>
    <r>
      <rPr>
        <sz val="11"/>
        <color theme="1"/>
        <rFont val="Aptos Narrow"/>
        <family val="2"/>
        <scheme val="minor"/>
      </rPr>
      <t xml:space="preserve"> Studiepoeng avlagt i </t>
    </r>
    <r>
      <rPr>
        <b/>
        <sz val="11"/>
        <color theme="1"/>
        <rFont val="Aptos Narrow"/>
        <family val="2"/>
        <scheme val="minor"/>
      </rPr>
      <t>2025</t>
    </r>
    <r>
      <rPr>
        <sz val="11"/>
        <color theme="1"/>
        <rFont val="Aptos Narrow"/>
        <family val="2"/>
        <scheme val="minor"/>
      </rPr>
      <t xml:space="preserve"> gir resultatbetaling på statsbudsjettet i </t>
    </r>
    <r>
      <rPr>
        <b/>
        <sz val="11"/>
        <color theme="1"/>
        <rFont val="Aptos Narrow"/>
        <family val="2"/>
        <scheme val="minor"/>
      </rPr>
      <t>2027</t>
    </r>
    <r>
      <rPr>
        <sz val="11"/>
        <color theme="1"/>
        <rFont val="Aptos Narrow"/>
        <family val="2"/>
        <scheme val="minor"/>
      </rPr>
      <t>.</t>
    </r>
  </si>
  <si>
    <t>3. Budsjetteringsmetoder &amp; Prosess</t>
  </si>
  <si>
    <r>
      <t>BUD2027:</t>
    </r>
    <r>
      <rPr>
        <sz val="11"/>
        <color theme="1"/>
        <rFont val="Aptos Narrow"/>
        <family val="2"/>
        <scheme val="minor"/>
      </rPr>
      <t xml:space="preserve"> Vedtatt årsbudsjettbaseline for 2027.</t>
    </r>
  </si>
  <si>
    <r>
      <t>BAC (Budget at Completion):</t>
    </r>
    <r>
      <rPr>
        <sz val="11"/>
        <color theme="1"/>
        <rFont val="Aptos Narrow"/>
        <family val="2"/>
        <scheme val="minor"/>
      </rPr>
      <t xml:space="preserve"> Samlet godkjent budsjettramme ved årets start.</t>
    </r>
  </si>
  <si>
    <r>
      <t>EAC (Estimate at Completion / Latest Estimate - LE):</t>
    </r>
    <r>
      <rPr>
        <sz val="11"/>
        <color theme="1"/>
        <rFont val="Aptos Narrow"/>
        <family val="2"/>
        <scheme val="minor"/>
      </rPr>
      <t xml:space="preserve"> Oppdatert helårsprognose.</t>
    </r>
  </si>
  <si>
    <r>
      <t>Driverbasert Budsjettering:</t>
    </r>
    <r>
      <rPr>
        <sz val="11"/>
        <color theme="1"/>
        <rFont val="Aptos Narrow"/>
        <family val="2"/>
        <scheme val="minor"/>
      </rPr>
      <t xml:space="preserve"> Budsjettmetode basert på operasjonelle volumdrivere (årsverk, stillingsgrupper, SPE60, studenter) i Unit4 UBW Planlegger.</t>
    </r>
  </si>
  <si>
    <r>
      <t>Systemfrys (Freeze):</t>
    </r>
    <r>
      <rPr>
        <sz val="11"/>
        <color theme="1"/>
        <rFont val="Aptos Narrow"/>
        <family val="2"/>
        <scheme val="minor"/>
      </rPr>
      <t xml:space="preserve"> Låsing av budsjettgrunnlaget i UBW for uforanderlig audit-trail.</t>
    </r>
  </si>
  <si>
    <t>4. Bemannings- og Kapasitetsstyring</t>
  </si>
  <si>
    <r>
      <t>FTE / Årsverk:</t>
    </r>
    <r>
      <rPr>
        <sz val="11"/>
        <color theme="1"/>
        <rFont val="Aptos Narrow"/>
        <family val="2"/>
        <scheme val="minor"/>
      </rPr>
      <t xml:space="preserve"> Måleenhet for arbeidskraft (1,0 årsverk = 1950 timer). HHU har </t>
    </r>
    <r>
      <rPr>
        <b/>
        <sz val="11"/>
        <color theme="1"/>
        <rFont val="Aptos Narrow"/>
        <family val="2"/>
        <scheme val="minor"/>
      </rPr>
      <t>230 årsverk</t>
    </r>
    <r>
      <rPr>
        <sz val="11"/>
        <color theme="1"/>
        <rFont val="Aptos Narrow"/>
        <family val="2"/>
        <scheme val="minor"/>
      </rPr>
      <t xml:space="preserve"> (</t>
    </r>
    <r>
      <rPr>
        <b/>
        <sz val="11"/>
        <color theme="1"/>
        <rFont val="Aptos Narrow"/>
        <family val="2"/>
        <scheme val="minor"/>
      </rPr>
      <t>155 UF / 75 TA</t>
    </r>
    <r>
      <rPr>
        <sz val="11"/>
        <color theme="1"/>
        <rFont val="Aptos Narrow"/>
        <family val="2"/>
        <scheme val="minor"/>
      </rPr>
      <t>).</t>
    </r>
  </si>
  <si>
    <r>
      <t>Lønnsandel %:</t>
    </r>
    <r>
      <rPr>
        <sz val="11"/>
        <color theme="1"/>
        <rFont val="Aptos Narrow"/>
        <family val="2"/>
        <scheme val="minor"/>
      </rPr>
      <t xml:space="preserve"> Personalkostnadenes andel av totale driftskostnader (HHU target: </t>
    </r>
    <r>
      <rPr>
        <b/>
        <sz val="11"/>
        <color theme="1"/>
        <rFont val="Aptos Narrow"/>
        <family val="2"/>
        <scheme val="minor"/>
      </rPr>
      <t>64,2 %</t>
    </r>
    <r>
      <rPr>
        <sz val="11"/>
        <color theme="1"/>
        <rFont val="Aptos Narrow"/>
        <family val="2"/>
        <scheme val="minor"/>
      </rPr>
      <t>, sektornorm: 62–65 %).</t>
    </r>
  </si>
  <si>
    <r>
      <t>Vakansfaktor:</t>
    </r>
    <r>
      <rPr>
        <sz val="11"/>
        <color theme="1"/>
        <rFont val="Aptos Narrow"/>
        <family val="2"/>
        <scheme val="minor"/>
      </rPr>
      <t xml:space="preserve"> Innlagt reduksjon i lønnsbudsjettet (3–5 %) for å ta høyde for avgang og rekrutteringstid (3–6 måneder).</t>
    </r>
  </si>
  <si>
    <t>5. Regnskapsstandarder &amp; Lovverk (SRS &amp; DFØ)</t>
  </si>
  <si>
    <r>
      <t>SRS 9:</t>
    </r>
    <r>
      <rPr>
        <sz val="11"/>
        <color theme="1"/>
        <rFont val="Aptos Narrow"/>
        <family val="2"/>
        <scheme val="minor"/>
      </rPr>
      <t xml:space="preserve"> Salgs- og oppdragsinntekter (fullføringsgrad og tapsavsetning på konto 7790).</t>
    </r>
  </si>
  <si>
    <r>
      <t>SRS 10:</t>
    </r>
    <r>
      <rPr>
        <sz val="11"/>
        <color theme="1"/>
        <rFont val="Aptos Narrow"/>
        <family val="2"/>
        <scheme val="minor"/>
      </rPr>
      <t xml:space="preserve"> Inntektsføring av bidrag i takt med medgåtte prosjektkostnader.</t>
    </r>
  </si>
  <si>
    <r>
      <t>SRS 17:</t>
    </r>
    <r>
      <rPr>
        <sz val="11"/>
        <color theme="1"/>
        <rFont val="Aptos Narrow"/>
        <family val="2"/>
        <scheme val="minor"/>
      </rPr>
      <t xml:space="preserve"> Aktivering og avskrivning av IKT og utstyr over 50 000 kr.</t>
    </r>
  </si>
  <si>
    <r>
      <t>F-05-20 (5 %-regelen):</t>
    </r>
    <r>
      <rPr>
        <sz val="11"/>
        <color theme="1"/>
        <rFont val="Aptos Narrow"/>
        <family val="2"/>
        <scheme val="minor"/>
      </rPr>
      <t xml:space="preserve"> Krav om at ubrukte bevilgningsmidler (</t>
    </r>
    <r>
      <rPr>
        <i/>
        <sz val="11"/>
        <color theme="1"/>
        <rFont val="Aptos Narrow"/>
        <family val="2"/>
        <scheme val="minor"/>
      </rPr>
      <t>formålskapital</t>
    </r>
    <r>
      <rPr>
        <sz val="11"/>
        <color theme="1"/>
        <rFont val="Aptos Narrow"/>
        <family val="2"/>
        <scheme val="minor"/>
      </rPr>
      <t>) over 5 % må være formelt avsatt til godkjente investeringsplaner for å unngå inndragning.</t>
    </r>
  </si>
  <si>
    <t>6. Power BI &amp; Visualisering</t>
  </si>
  <si>
    <r>
      <t>3-30-300-regelen:</t>
    </r>
    <r>
      <rPr>
        <sz val="11"/>
        <color theme="1"/>
        <rFont val="Aptos Narrow"/>
        <family val="2"/>
        <scheme val="minor"/>
      </rPr>
      <t xml:space="preserve"> Informasjonshierarki (3 sekunder KPI-kort, 30 sekunder trend/stolpediagram, 300 sekunder granulær matrise).</t>
    </r>
  </si>
  <si>
    <r>
      <t>RAG-status:</t>
    </r>
    <r>
      <rPr>
        <sz val="11"/>
        <color theme="1"/>
        <rFont val="Aptos Narrow"/>
        <family val="2"/>
        <scheme val="minor"/>
      </rPr>
      <t xml:space="preserve"> Trafikklysklassifisering (🟢 Grønn = I budsjett, 🟡 Gul = 2–5 % avvik, 🔴 Rød = &gt; 5 % avvik).</t>
    </r>
  </si>
  <si>
    <r>
      <t xml:space="preserve">I statlig økonomistyring og ved Universiteter og høyskoler (UiA) brukes </t>
    </r>
    <r>
      <rPr>
        <b/>
        <sz val="11"/>
        <color rgb="FF303030"/>
        <rFont val="Arial"/>
        <family val="2"/>
      </rPr>
      <t>vakans</t>
    </r>
    <r>
      <rPr>
        <sz val="11"/>
        <color rgb="FF303030"/>
        <rFont val="Arial"/>
        <family val="2"/>
      </rPr>
      <t xml:space="preserve"> og relaterte begreper om ubesatte stillinger og hvordan disse styres i bemannings- og lønnsbudsjettet:</t>
    </r>
  </si>
  <si>
    <r>
      <t xml:space="preserve">💡 </t>
    </r>
    <r>
      <rPr>
        <b/>
        <sz val="11"/>
        <color rgb="FF303030"/>
        <rFont val="Arial"/>
        <family val="2"/>
      </rPr>
      <t>Sluttsum for controlleren:</t>
    </r>
    <r>
      <rPr>
        <sz val="11"/>
        <color rgb="FF303030"/>
        <rFont val="Arial"/>
        <family val="2"/>
      </rPr>
      <t xml:space="preserve"> Lønn utgjør over </t>
    </r>
    <r>
      <rPr>
        <b/>
        <sz val="11"/>
        <color rgb="FF303030"/>
        <rFont val="Arial"/>
        <family val="2"/>
      </rPr>
      <t>65–70 %</t>
    </r>
    <r>
      <rPr>
        <sz val="11"/>
        <color rgb="FF303030"/>
        <rFont val="Arial"/>
        <family val="2"/>
      </rPr>
      <t xml:space="preserve"> av universitetets kostnader, så presis vakansstyring er det viktigste verktøyet for å styre personalkostnadene</t>
    </r>
  </si>
  <si>
    <r>
      <t>Vakans (ledig stilling):</t>
    </r>
    <r>
      <rPr>
        <sz val="11"/>
        <color rgb="FF303030"/>
        <rFont val="Arial"/>
        <family val="2"/>
      </rPr>
      <t xml:space="preserve"> En ubesatt stilling i organisasjonen som oppstår ved at en ansatt slutter, går av med pensjon, har ulønnet permisjon, eller at det opprettes en ny stillingshjemmel som ennå ikke er besatt.</t>
    </r>
  </si>
  <si>
    <r>
      <t>Vakansfaktor (vakansreduksjon):</t>
    </r>
    <r>
      <rPr>
        <sz val="11"/>
        <color rgb="FF303030"/>
        <rFont val="Arial"/>
        <family val="2"/>
      </rPr>
      <t xml:space="preserve"> En innlagt sjablongmessig reduksjon i lønnsbudsjettet (typisk </t>
    </r>
    <r>
      <rPr>
        <b/>
        <sz val="11"/>
        <color rgb="FF303030"/>
        <rFont val="Arial"/>
        <family val="2"/>
      </rPr>
      <t>3–5 %</t>
    </r>
    <r>
      <rPr>
        <sz val="11"/>
        <color rgb="FF303030"/>
        <rFont val="Arial"/>
        <family val="2"/>
      </rPr>
      <t xml:space="preserve">) i budsjetteringssystemer som Unit4 UBW Planlegger. Dette gjøres fordi det i praksis alltid vil ta tid (typisk </t>
    </r>
    <r>
      <rPr>
        <b/>
        <sz val="11"/>
        <color rgb="FF303030"/>
        <rFont val="Arial"/>
        <family val="2"/>
      </rPr>
      <t>3–6 måneder</t>
    </r>
    <r>
      <rPr>
        <sz val="11"/>
        <color rgb="FF303030"/>
        <rFont val="Arial"/>
        <family val="2"/>
      </rPr>
      <t>) å rekruttere nye ansatte, samt at det løpende oppstår naturlig avgang og permisjoner. Uten en vakansfaktor vil lønnskostnadene bli overbudsjettert dersom man forutsetter 100 % full bemanning fra 1. januar til 31. desember.</t>
    </r>
  </si>
  <si>
    <r>
      <t>Vakansstyring:</t>
    </r>
    <r>
      <rPr>
        <sz val="11"/>
        <color rgb="FF303030"/>
        <rFont val="Arial"/>
        <family val="2"/>
      </rPr>
      <t xml:space="preserve"> Controllerens og ledelsens aktive oppfølging av ledige stillinger. Dette innebærer å vurdere realistisk ansettelsestidspunkt, eller vurdering av om en stilling skal holdes midlertidig vakant (f.eks. ved ansettelsesstopp / tiltak T001) for å redusere personalkostnader og gjennopprette økonomisk balanse.</t>
    </r>
  </si>
  <si>
    <t xml:space="preserve">    SUM('FactGL'[Belop_signert]),</t>
  </si>
  <si>
    <t xml:space="preserve">    'FactGL'[Bokforingstype] = "Actual"</t>
  </si>
  <si>
    <t xml:space="preserve">    'DimDate'[ErActualYTD] = TRUE()</t>
  </si>
  <si>
    <t xml:space="preserve">    'FactGL'[Bokforingstype] = "Forecast"</t>
  </si>
  <si>
    <t xml:space="preserve">    'DimDate'[DatoNokkel] = MAX('FactFTE'[DatoNokkel])</t>
  </si>
  <si>
    <t>VAR Lonn = CALCULATE(SUM('FactGL'[Belop_signert]), 'DimAccountHierarchy'[Nivaa1_Navn] = "Lønnskostnad")</t>
  </si>
  <si>
    <t xml:space="preserve">Studenter pr UF-Årsverk = </t>
  </si>
  <si>
    <t>IF(</t>
  </si>
  <si>
    <t xml:space="preserve">    Vac &gt;= 0, </t>
  </si>
  <si>
    <t xml:space="preserve">    IF(</t>
  </si>
  <si>
    <t xml:space="preserve">    )</t>
  </si>
  <si>
    <t>Institutt for ledelse og innovasjon</t>
  </si>
  <si>
    <t>Institutt for rettsvitenskap</t>
  </si>
  <si>
    <t>Institutt for økonomi</t>
  </si>
  <si>
    <r>
      <t xml:space="preserve">Datatsettet, datamodell-diagrammet og relasjonstabellen er nå publisert i </t>
    </r>
    <r>
      <rPr>
        <b/>
        <sz val="11"/>
        <color theme="1"/>
        <rFont val="Aptos Narrow"/>
        <family val="2"/>
        <scheme val="minor"/>
      </rPr>
      <t>Studio-panelet</t>
    </r>
    <r>
      <rPr>
        <sz val="11"/>
        <color theme="1"/>
        <rFont val="Aptos Narrow"/>
        <family val="2"/>
        <scheme val="minor"/>
      </rPr>
      <t xml:space="preserve"> som 11 CSV-filer og én HD-diagramfil (</t>
    </r>
    <r>
      <rPr>
        <sz val="10"/>
        <color theme="1"/>
        <rFont val="Arial Unicode MS"/>
      </rPr>
      <t>powerbi_datamodel_hhu_2026_diagram.png</t>
    </r>
    <r>
      <rPr>
        <sz val="11"/>
        <color theme="1"/>
        <rFont val="Aptos Narrow"/>
        <family val="2"/>
        <scheme val="minor"/>
      </rPr>
      <t>).</t>
    </r>
  </si>
  <si>
    <t>1. Fordeling på Budsjettansvarsområder (HHU 2026)</t>
  </si>
  <si>
    <r>
      <t xml:space="preserve">I henhold til UiA sin organisasjonsstruktur og kontoplan3more_horiz er årsbudsjettet på </t>
    </r>
    <r>
      <rPr>
        <b/>
        <sz val="11"/>
        <color theme="1"/>
        <rFont val="Aptos Narrow"/>
        <family val="2"/>
        <scheme val="minor"/>
      </rPr>
      <t>130 153 825 kr</t>
    </r>
    <r>
      <rPr>
        <sz val="11"/>
        <color theme="1"/>
        <rFont val="Aptos Narrow"/>
        <family val="2"/>
        <scheme val="minor"/>
      </rPr>
      <t xml:space="preserve"> fordelt på HHUs fire primære budsjettansvarsområder (koststeder/enheter):</t>
    </r>
  </si>
  <si>
    <t>Koststed / OrgKode</t>
  </si>
  <si>
    <t>Budsjettansvarsområde / Enhet</t>
  </si>
  <si>
    <t>Ansvarlig Leder</t>
  </si>
  <si>
    <t>Vedtatt Årsbudsjett 2026 (NOK)</t>
  </si>
  <si>
    <t>Andel %</t>
  </si>
  <si>
    <t>Sentrale Faglige og Operative Ansvarsområder</t>
  </si>
  <si>
    <t>K10000</t>
  </si>
  <si>
    <t>HHU Fakultetsadministrasjon &amp; Felles</t>
  </si>
  <si>
    <t>Fakultetsdirektør Kristian Jørgensen6</t>
  </si>
  <si>
    <t>14 000 000 kr</t>
  </si>
  <si>
    <t>10,8 %</t>
  </si>
  <si>
    <t>AACSB re-akkreditering7, fellesinfrastruktur, IT-lisenser og overordnet fakultetsstyring6.</t>
  </si>
  <si>
    <t>K11000</t>
  </si>
  <si>
    <t>Instituttleder Ledelse4</t>
  </si>
  <si>
    <t>38 500 000 kr</t>
  </si>
  <si>
    <t>29,6 %</t>
  </si>
  <si>
    <t>Master i org. og ledelse, bachelor i markedsføring, oppdragsutdanning (EVU)8.</t>
  </si>
  <si>
    <t>K12000</t>
  </si>
  <si>
    <t>Instituttleder Ole Dag Rike46</t>
  </si>
  <si>
    <t>29 250 000 kr</t>
  </si>
  <si>
    <t>22,5 %</t>
  </si>
  <si>
    <t>Master og bachelor i rettsvitenskap (jus), lovpålagte emner for siviløkonomer9.</t>
  </si>
  <si>
    <t>K13000</t>
  </si>
  <si>
    <t>Instituttleder Økonomi4</t>
  </si>
  <si>
    <t>48 403 825 kr</t>
  </si>
  <si>
    <t>37,2 %</t>
  </si>
  <si>
    <t>Siviløkonomstudiet (M-SIVØK), Bachelor i øk.ad, ph.d.-utdanning og NFR/EU-forskning3more_horiz.</t>
  </si>
  <si>
    <t>SUM HHU</t>
  </si>
  <si>
    <t>HANDELSHØYSKOLEN TOTAT</t>
  </si>
  <si>
    <r>
      <t>Dekan Kristin Wallevik</t>
    </r>
    <r>
      <rPr>
        <sz val="11"/>
        <color theme="1"/>
        <rFont val="Aptos Narrow"/>
        <family val="2"/>
        <scheme val="minor"/>
      </rPr>
      <t>6</t>
    </r>
  </si>
  <si>
    <t>130 153 825 kr</t>
  </si>
  <si>
    <t>100,0 %</t>
  </si>
  <si>
    <r>
      <t>Vedtatt totalramme for HHU i Universitetsstyret</t>
    </r>
    <r>
      <rPr>
        <sz val="11"/>
        <color theme="1"/>
        <rFont val="Aptos Narrow"/>
        <family val="2"/>
        <scheme val="minor"/>
      </rPr>
      <t>25</t>
    </r>
    <r>
      <rPr>
        <b/>
        <sz val="11"/>
        <color theme="1"/>
        <rFont val="Aptos Narrow"/>
        <family val="2"/>
        <scheme val="minor"/>
      </rPr>
      <t>.</t>
    </r>
  </si>
  <si>
    <t>2. Utfordringer i Datasetter knyttet til Budsjettansvarsområde (2026)</t>
  </si>
  <si>
    <r>
      <t xml:space="preserve">Datamaterialet i </t>
    </r>
    <r>
      <rPr>
        <sz val="10"/>
        <color theme="1"/>
        <rFont val="Arial Unicode MS"/>
      </rPr>
      <t>FactGL.csv</t>
    </r>
    <r>
      <rPr>
        <sz val="11"/>
        <color theme="1"/>
        <rFont val="Aptos Narrow"/>
        <family val="2"/>
        <scheme val="minor"/>
      </rPr>
      <t xml:space="preserve">, </t>
    </r>
    <r>
      <rPr>
        <sz val="10"/>
        <color theme="1"/>
        <rFont val="Arial Unicode MS"/>
      </rPr>
      <t>FactFTE.csv</t>
    </r>
    <r>
      <rPr>
        <sz val="11"/>
        <color theme="1"/>
        <rFont val="Aptos Narrow"/>
        <family val="2"/>
        <scheme val="minor"/>
      </rPr>
      <t xml:space="preserve"> og </t>
    </r>
    <r>
      <rPr>
        <sz val="10"/>
        <color theme="1"/>
        <rFont val="Arial Unicode MS"/>
      </rPr>
      <t>FactAction.csv</t>
    </r>
    <r>
      <rPr>
        <sz val="11"/>
        <color theme="1"/>
        <rFont val="Aptos Narrow"/>
        <family val="2"/>
        <scheme val="minor"/>
      </rPr>
      <t xml:space="preserve"> er konstruert for å belyse fire klassiske styrings- og avviksutfordringer i matrisen mellom linjeansvar (instituttleder) og prosjektansvar (prosjektleder/studieprogramleder)11more_horiz:</t>
    </r>
  </si>
  <si>
    <t>1. Bemanningsavvik og vakansstyring (K13000 Inst. for økonomi):</t>
  </si>
  <si>
    <r>
      <t>Utfordring:</t>
    </r>
    <r>
      <rPr>
        <sz val="11"/>
        <color theme="1"/>
        <rFont val="Aptos Narrow"/>
        <family val="2"/>
        <scheme val="minor"/>
      </rPr>
      <t xml:space="preserve"> Instituttet har lav vakansrate fordi to nye førsteamanuenser startet tre måneder tidligere enn forutsatt i UBW-planleggeren.</t>
    </r>
  </si>
  <si>
    <r>
      <t>Effekt i data:</t>
    </r>
    <r>
      <rPr>
        <sz val="11"/>
        <color theme="1"/>
        <rFont val="Aptos Narrow"/>
        <family val="2"/>
        <scheme val="minor"/>
      </rPr>
      <t xml:space="preserve"> Påløpte lønnskostnader YTD per 30. september viser et merforbruk på </t>
    </r>
    <r>
      <rPr>
        <b/>
        <sz val="11"/>
        <color theme="1"/>
        <rFont val="Aptos Narrow"/>
        <family val="2"/>
        <scheme val="minor"/>
      </rPr>
      <t>+3,5 %</t>
    </r>
    <r>
      <rPr>
        <sz val="11"/>
        <color theme="1"/>
        <rFont val="Aptos Narrow"/>
        <family val="2"/>
        <scheme val="minor"/>
      </rPr>
      <t xml:space="preserve"> mot periodisert budsjett.</t>
    </r>
  </si>
  <si>
    <t>2. Kompenserende vakanshold (K12000 Inst. for rettsvitenskap):</t>
  </si>
  <si>
    <r>
      <t>Utfordring:</t>
    </r>
    <r>
      <rPr>
        <sz val="11"/>
        <color theme="1"/>
        <rFont val="Aptos Narrow"/>
        <family val="2"/>
        <scheme val="minor"/>
      </rPr>
      <t xml:space="preserve"> For å avlaste fakultetets samlede ramme holdes en professorhjemmel midlertidig ubesatt i Q2–Q3 (Tiltak </t>
    </r>
    <r>
      <rPr>
        <sz val="10"/>
        <color theme="1"/>
        <rFont val="Arial Unicode MS"/>
      </rPr>
      <t>T004_HHU</t>
    </r>
    <r>
      <rPr>
        <sz val="11"/>
        <color theme="1"/>
        <rFont val="Aptos Narrow"/>
        <family val="2"/>
        <scheme val="minor"/>
      </rPr>
      <t>).</t>
    </r>
  </si>
  <si>
    <r>
      <t>Effekt i data:</t>
    </r>
    <r>
      <rPr>
        <sz val="11"/>
        <color theme="1"/>
        <rFont val="Aptos Narrow"/>
        <family val="2"/>
        <scheme val="minor"/>
      </rPr>
      <t xml:space="preserve"> Gir et akkumulert mindreforbruk på </t>
    </r>
    <r>
      <rPr>
        <b/>
        <sz val="11"/>
        <color theme="1"/>
        <rFont val="Aptos Narrow"/>
        <family val="2"/>
        <scheme val="minor"/>
      </rPr>
      <t>-800 000 kr</t>
    </r>
    <r>
      <rPr>
        <sz val="11"/>
        <color theme="1"/>
        <rFont val="Aptos Narrow"/>
        <family val="2"/>
        <scheme val="minor"/>
      </rPr>
      <t xml:space="preserve"> i </t>
    </r>
    <r>
      <rPr>
        <sz val="10"/>
        <color theme="1"/>
        <rFont val="Arial Unicode MS"/>
      </rPr>
      <t>FactGL.csv</t>
    </r>
    <r>
      <rPr>
        <sz val="11"/>
        <color theme="1"/>
        <rFont val="Aptos Narrow"/>
        <family val="2"/>
        <scheme val="minor"/>
      </rPr>
      <t xml:space="preserve"> og </t>
    </r>
    <r>
      <rPr>
        <sz val="10"/>
        <color theme="1"/>
        <rFont val="Arial Unicode MS"/>
      </rPr>
      <t>FactAction.csv</t>
    </r>
    <r>
      <rPr>
        <sz val="11"/>
        <color theme="1"/>
        <rFont val="Aptos Narrow"/>
        <family val="2"/>
        <scheme val="minor"/>
      </rPr>
      <t>.</t>
    </r>
  </si>
  <si>
    <t>3. SRS 9 Tapsavsetning på oppdragsutdanning (K11000 Inst. for ledelse):</t>
  </si>
  <si>
    <r>
      <t>Utfordring:</t>
    </r>
    <r>
      <rPr>
        <sz val="11"/>
        <color theme="1"/>
        <rFont val="Aptos Narrow"/>
        <family val="2"/>
        <scheme val="minor"/>
      </rPr>
      <t xml:space="preserve"> På oppdragsprosjektet </t>
    </r>
    <r>
      <rPr>
        <sz val="10"/>
        <color theme="1"/>
        <rFont val="Arial Unicode MS"/>
      </rPr>
      <t>EVU001</t>
    </r>
    <r>
      <rPr>
        <sz val="11"/>
        <color theme="1"/>
        <rFont val="Aptos Narrow"/>
        <family val="2"/>
        <scheme val="minor"/>
      </rPr>
      <t xml:space="preserve"> har timelærerforbruket overskredet kontraktsrammen. I henhold til </t>
    </r>
    <r>
      <rPr>
        <b/>
        <sz val="11"/>
        <color theme="1"/>
        <rFont val="Aptos Narrow"/>
        <family val="2"/>
        <scheme val="minor"/>
      </rPr>
      <t>SRS 9</t>
    </r>
    <r>
      <rPr>
        <sz val="11"/>
        <color theme="1"/>
        <rFont val="Aptos Narrow"/>
        <family val="2"/>
        <scheme val="minor"/>
      </rPr>
      <t xml:space="preserve"> kreves det umiddelbar inntektsføring etter fullføringsgrad og tapsavsetning14.</t>
    </r>
  </si>
  <si>
    <r>
      <t>Effekt i data:</t>
    </r>
    <r>
      <rPr>
        <sz val="11"/>
        <color theme="1"/>
        <rFont val="Aptos Narrow"/>
        <family val="2"/>
        <scheme val="minor"/>
      </rPr>
      <t xml:space="preserve"> Postering på </t>
    </r>
    <r>
      <rPr>
        <b/>
        <sz val="11"/>
        <color theme="1"/>
        <rFont val="Aptos Narrow"/>
        <family val="2"/>
        <scheme val="minor"/>
      </rPr>
      <t>350 000 kr</t>
    </r>
    <r>
      <rPr>
        <sz val="11"/>
        <color theme="1"/>
        <rFont val="Aptos Narrow"/>
        <family val="2"/>
        <scheme val="minor"/>
      </rPr>
      <t xml:space="preserve"> på konto </t>
    </r>
    <r>
      <rPr>
        <sz val="10"/>
        <color theme="1"/>
        <rFont val="Arial Unicode MS"/>
      </rPr>
      <t>7790</t>
    </r>
    <r>
      <rPr>
        <sz val="11"/>
        <color theme="1"/>
        <rFont val="Aptos Narrow"/>
        <family val="2"/>
        <scheme val="minor"/>
      </rPr>
      <t xml:space="preserve"> (Avsetning for forventet tap) i M09.</t>
    </r>
  </si>
  <si>
    <t>4. AACSB Akkrediteringskostnader vs. TDI Overhead (K10000 Admin):</t>
  </si>
  <si>
    <r>
      <t>Utfordring:</t>
    </r>
    <r>
      <rPr>
        <sz val="11"/>
        <color theme="1"/>
        <rFont val="Aptos Narrow"/>
        <family val="2"/>
        <scheme val="minor"/>
      </rPr>
      <t xml:space="preserve"> Re-akkreditering krever internasjonal revisjon og ekstern konsulentbistand (konto </t>
    </r>
    <r>
      <rPr>
        <sz val="10"/>
        <color theme="1"/>
        <rFont val="Arial Unicode MS"/>
      </rPr>
      <t>6700</t>
    </r>
    <r>
      <rPr>
        <sz val="11"/>
        <color theme="1"/>
        <rFont val="Aptos Narrow"/>
        <family val="2"/>
        <scheme val="minor"/>
      </rPr>
      <t xml:space="preserve"> / Prosjekt </t>
    </r>
    <r>
      <rPr>
        <sz val="10"/>
        <color theme="1"/>
        <rFont val="Arial Unicode MS"/>
      </rPr>
      <t>AACSB01</t>
    </r>
    <r>
      <rPr>
        <sz val="11"/>
        <color theme="1"/>
        <rFont val="Aptos Narrow"/>
        <family val="2"/>
        <scheme val="minor"/>
      </rPr>
      <t>)715, som dekkes av fakultetsadministrasjonens fellespotte.</t>
    </r>
  </si>
  <si>
    <t>3. Fullstendige DAX-målekoder for Power BI</t>
  </si>
  <si>
    <r>
      <t xml:space="preserve">Nedenfor er det komplette settet med DAX-målekoder strukturert for analyse av </t>
    </r>
    <r>
      <rPr>
        <b/>
        <sz val="11"/>
        <color theme="1"/>
        <rFont val="Aptos Narrow"/>
        <family val="2"/>
        <scheme val="minor"/>
      </rPr>
      <t>Budsjettansvarsområde</t>
    </r>
    <r>
      <rPr>
        <sz val="11"/>
        <color theme="1"/>
        <rFont val="Aptos Narrow"/>
        <family val="2"/>
        <scheme val="minor"/>
      </rPr>
      <t xml:space="preserve"> i Power BI Desktop:</t>
    </r>
  </si>
  <si>
    <t>// ===============================================================================</t>
  </si>
  <si>
    <t>// FOLDER 1: ANSVARSOMRÅDE &amp; BASELINE (_01 Budsjettansvarsområde)</t>
  </si>
  <si>
    <t>// 1. Vedtatt Årsbudsjett Baseline (Nøyaktig 130 153 825 kr for HHU)</t>
  </si>
  <si>
    <t xml:space="preserve">HHU Vedtatt Årsbudsjett = </t>
  </si>
  <si>
    <t xml:space="preserve">    'DimForecastVersion'[VersjonKode] = "BUD2026"</t>
  </si>
  <si>
    <t>// 2. Regnskap YTD per Budsjettansvarsområde (Actuals M01 - M09 / Sept 30)</t>
  </si>
  <si>
    <t xml:space="preserve">Ansvarsområde Actual YTD = </t>
  </si>
  <si>
    <t>// 3. Budsjett YTD (Periodisert M01 - M09)</t>
  </si>
  <si>
    <t xml:space="preserve">Ansvarsområde Budsjett YTD = </t>
  </si>
  <si>
    <t>// 4. Avvik YTD per Ansvarsområde (MNOK / NOK)</t>
  </si>
  <si>
    <t>Ansvarsområde Avvik YTD = [Ansvarsområde Actual YTD] - [Ansvarsområde Budsjett YTD]</t>
  </si>
  <si>
    <t>// 5. Avvik YTD %</t>
  </si>
  <si>
    <t xml:space="preserve">Ansvarsområde Avvik YTD % = </t>
  </si>
  <si>
    <t>DIVIDE([Ansvarsområde Avvik YTD], [Ansvarsområde Budsjett YTD], 0)</t>
  </si>
  <si>
    <t>// FOLDER 2: RULLENDE PROGNOSE &amp; EOY SLUTTAVVIK (_02 Prognose LE)</t>
  </si>
  <si>
    <t>// 6. Prognose Q4 / Estimate to Complete (ETC M10 - M12)</t>
  </si>
  <si>
    <t xml:space="preserve">Prognose Q4 (ETC) = </t>
  </si>
  <si>
    <t>// 7. Helårsprognose Latest Estimate (EAC = Actual YTD + Q4 Forecast)</t>
  </si>
  <si>
    <t>Helårsprognose LE (EAC) = [Ansvarsområde Actual YTD] + [Prognose Q4 (ETC)]</t>
  </si>
  <si>
    <t>// 8. Helårs Sluttavvik / VAC (Variance at Completion)</t>
  </si>
  <si>
    <t>Helårs Sluttavvik (VAC) = [HHU Vedtatt Årsbudsjett] - [Helårsprognose LE (EAC)]</t>
  </si>
  <si>
    <t>// 9. VAC % per Budsjettansvarsområde</t>
  </si>
  <si>
    <t xml:space="preserve">Sluttavvik VAC % = </t>
  </si>
  <si>
    <t>DIVIDE([Helårs Sluttavvik (VAC)], [HHU Vedtatt Årsbudsjett], 0)</t>
  </si>
  <si>
    <t>// FOLDER 3: BEMANNING &amp; VAKANS PER ANSVARSOMRÅDE (_03 Bemanning &amp; Vakans)</t>
  </si>
  <si>
    <t>// 10. Totale Årsverk per Ansvarsområde (Månedlig Snapshot)</t>
  </si>
  <si>
    <t xml:space="preserve">Ansvarsområde Årsverk Totalt = </t>
  </si>
  <si>
    <t xml:space="preserve">    SUM('FactFTE'[Aarsverk_Totalt]),</t>
  </si>
  <si>
    <t>// 11. Faglige Årsverk (UF)</t>
  </si>
  <si>
    <t xml:space="preserve">Ansvarsområde Årsverk UF = </t>
  </si>
  <si>
    <t xml:space="preserve">    SUM('FactFTE'[Aarsverk_UF]),</t>
  </si>
  <si>
    <t>// 12. Teknisk-Administrative Årsverk (TA)</t>
  </si>
  <si>
    <t xml:space="preserve">Ansvarsområde Årsverk TA = </t>
  </si>
  <si>
    <t xml:space="preserve">    SUM('FactFTE'[Aarsverk_TA]),</t>
  </si>
  <si>
    <t>// 13. Vakans Årsverk (Planlagt - Faktisk)</t>
  </si>
  <si>
    <t xml:space="preserve">Vakans Årsverk = </t>
  </si>
  <si>
    <t xml:space="preserve">    SUM('FactFTE'[Vakans_Aarsverk]),</t>
  </si>
  <si>
    <t>// 14. Vakansgrad % per Ansvarsområde</t>
  </si>
  <si>
    <t xml:space="preserve">Vakansgrad % = </t>
  </si>
  <si>
    <t>VAR BudsjettÅV = CALCULATE(SUM('FactFTE'[Budsjettert_Aarsverk]), 'DimDate'[DatoNokkel] = MAX('FactFTE'[DatoNokkel]))</t>
  </si>
  <si>
    <t>RETURN DIVIDE([Vakans Årsverk], BudsjettÅV, 0)</t>
  </si>
  <si>
    <t>// 15. Lønnsandel % av Totale Driftskostnader (Mål: &lt; 65%)</t>
  </si>
  <si>
    <t xml:space="preserve">Ansvarsområde Lønnsandel % = </t>
  </si>
  <si>
    <t>VAR TotalKost = SUM('FactGL'[Belop_signert])</t>
  </si>
  <si>
    <t>// FOLDER 4: UTDANNING, SPE60 &amp; LÆRERTETTHET (_04 Utdanning)</t>
  </si>
  <si>
    <t>// 16. Registrerte Studenter per Ansvarsområde</t>
  </si>
  <si>
    <t>Ansvarsområde Registrerte Studenter = SUM('FactStudents'[RegistrerteStudenter])</t>
  </si>
  <si>
    <t>// 17. Avlagte SPE60 per Ansvarsområde</t>
  </si>
  <si>
    <t>Ansvarsområde SPE60 = SUM('FactStudents'[SPE60])</t>
  </si>
  <si>
    <t>// 18. Studenter per UF-Årsverk (Lærertetthet)</t>
  </si>
  <si>
    <t>DIVIDE([Ansvarsområde Registrerte Studenter], [Ansvarsområde Årsverk UF], 0)</t>
  </si>
  <si>
    <t>// 19. KD Kategori 1 Inntektsberegning (54 550 kr per SPE60)</t>
  </si>
  <si>
    <t>KD Kat 1 Utbytte = [Ansvarsområde SPE60] * 54550</t>
  </si>
  <si>
    <t>// FOLDER 5: DYNAMISK RAG-FORMATERING (_05 RAG Status)</t>
  </si>
  <si>
    <t>// 20. RAG Status Tekst per Ansvarsområde</t>
  </si>
  <si>
    <t xml:space="preserve">Ansvarsområde RAG Status = </t>
  </si>
  <si>
    <t>VAR Vac = [Helårs Sluttavvik (VAC)]</t>
  </si>
  <si>
    <t>VAR VacPct = [Sluttavvik VAC %]</t>
  </si>
  <si>
    <t xml:space="preserve">    Vac &gt;= 0, "🟢 I henhold til ramme / Overskudd",</t>
  </si>
  <si>
    <t xml:space="preserve">    VacPct &gt;= -0.03, "🟡 Moderat avvik (&lt; 3%)",</t>
  </si>
  <si>
    <t xml:space="preserve">    "🔴 Kritisk avvik / Merforbruk (&gt; 3%)"</t>
  </si>
  <si>
    <t>// 21. RAG Hex Fargekode (Conditional Formatting Field Value)</t>
  </si>
  <si>
    <t xml:space="preserve">Ansvarsområde RAG Hex Color = </t>
  </si>
  <si>
    <t xml:space="preserve">    "#10b981", // Emerald Grønn</t>
  </si>
  <si>
    <t xml:space="preserve">        VacPct &gt;= -0.03, </t>
  </si>
  <si>
    <t xml:space="preserve">        "#f59e0b", // Amber Gul</t>
  </si>
  <si>
    <t xml:space="preserve">        "#ef4444"  // Crimson Rød</t>
  </si>
  <si>
    <t>// 22. Tufte Mye Bakgrunnsfyll (85% Opacity Tint for Matrise-celler)</t>
  </si>
  <si>
    <t xml:space="preserve">Ansvarsområde RAG Soft Background = </t>
  </si>
  <si>
    <t xml:space="preserve">    "#ecfdf5", // Soft Mint Grønn</t>
  </si>
  <si>
    <t xml:space="preserve">        "#fffbeb", // Soft Varm Amber</t>
  </si>
  <si>
    <t xml:space="preserve">        "#fef2f2"  // Soft Crimson Rød</t>
  </si>
  <si>
    <t>4. Datamodell-diagram (Power BI Star Schema)</t>
  </si>
  <si>
    <r>
      <t xml:space="preserve">Datamodellen som er generert og publisert til </t>
    </r>
    <r>
      <rPr>
        <sz val="10"/>
        <color theme="1"/>
        <rFont val="Arial Unicode MS"/>
      </rPr>
      <t>powerbi_datamodel_hhu_2026_diagram.png</t>
    </r>
    <r>
      <rPr>
        <sz val="11"/>
        <color theme="1"/>
        <rFont val="Aptos Narrow"/>
        <family val="2"/>
        <scheme val="minor"/>
      </rPr>
      <t xml:space="preserve"> i Studio-panelet er bygget som et renskåret </t>
    </r>
    <r>
      <rPr>
        <b/>
        <sz val="11"/>
        <color theme="1"/>
        <rFont val="Aptos Narrow"/>
        <family val="2"/>
        <scheme val="minor"/>
      </rPr>
      <t>Stjerneskjema (Star Schema)</t>
    </r>
    <r>
      <rPr>
        <sz val="11"/>
        <color theme="1"/>
        <rFont val="Aptos Narrow"/>
        <family val="2"/>
        <scheme val="minor"/>
      </rPr>
      <t xml:space="preserve"> med enveis $1:*$-relasjoner:</t>
    </r>
  </si>
  <si>
    <t>| POWER BI SEMANTIC DATA MODEL — HANDELSHØYSKOLEN UIA (HHU) 2026                                    |</t>
  </si>
  <si>
    <t xml:space="preserve">    [ DimOrganization ]        [ DimAccountHierarchy ]        [ DimDate ]         [ DimForecastVersion ]</t>
  </si>
  <si>
    <t xml:space="preserve">  |    FactBudget     |      |      FactGL       |       |      FactFTE      |</t>
  </si>
  <si>
    <t xml:space="preserve">  | (130 153 825 kr)  |      | (M01-M09 Actuals) |       | (230 ÅV Snapshot) |</t>
  </si>
  <si>
    <t xml:space="preserve">  | (FK: Konto)       |      | (FK: Konto)       |       | (FK: DatoNokkel)  |</t>
  </si>
  <si>
    <t xml:space="preserve">  |   FactStudents    |      |      FactEVM      |       |    FactAction     |</t>
  </si>
  <si>
    <t xml:space="preserve">  | (3 450 Studenter) |      | (EVM Indikatorer) |       | (Omstilling)      |</t>
  </si>
  <si>
    <t>5. Genererte Filer i Studio-panelet</t>
  </si>
  <si>
    <t>Følgende filer er tilgjengelige for nedlasting og direkte import i Power BI Desktop:</t>
  </si>
  <si>
    <r>
      <t>1. FactBudget.csv</t>
    </r>
    <r>
      <rPr>
        <sz val="11"/>
        <color theme="1"/>
        <rFont val="Aptos Narrow"/>
        <family val="2"/>
        <scheme val="minor"/>
      </rPr>
      <t xml:space="preserve">: Inneholder den eksakte årsbudsjettfordelingen på </t>
    </r>
    <r>
      <rPr>
        <b/>
        <sz val="11"/>
        <color theme="1"/>
        <rFont val="Aptos Narrow"/>
        <family val="2"/>
        <scheme val="minor"/>
      </rPr>
      <t>130 153 825 kr</t>
    </r>
    <r>
      <rPr>
        <sz val="11"/>
        <color theme="1"/>
        <rFont val="Aptos Narrow"/>
        <family val="2"/>
        <scheme val="minor"/>
      </rPr>
      <t xml:space="preserve"> fordelt per måned, konto og koststed.</t>
    </r>
  </si>
  <si>
    <r>
      <t>2. FactGL.csv</t>
    </r>
    <r>
      <rPr>
        <sz val="11"/>
        <color theme="1"/>
        <rFont val="Aptos Narrow"/>
        <family val="2"/>
        <scheme val="minor"/>
      </rPr>
      <t>: Inneholder bokførte regnskapstransaksjoner for M01–M09 og rullende prognose for M10–M12.</t>
    </r>
  </si>
  <si>
    <r>
      <t>3. FactFTE.csv</t>
    </r>
    <r>
      <rPr>
        <sz val="11"/>
        <color theme="1"/>
        <rFont val="Aptos Narrow"/>
        <family val="2"/>
        <scheme val="minor"/>
      </rPr>
      <t>: Månedlige årsverks- og vakansedata per koststed (230 totalt årsverk).</t>
    </r>
  </si>
  <si>
    <r>
      <t>4. FactStudents.csv</t>
    </r>
    <r>
      <rPr>
        <sz val="11"/>
        <color theme="1"/>
        <rFont val="Aptos Narrow"/>
        <family val="2"/>
        <scheme val="minor"/>
      </rPr>
      <t>: Studenttall (3 450) og SPE60-produksjon (3 120) per studieprogram og institutt.</t>
    </r>
  </si>
  <si>
    <r>
      <t>5. FactEVM.csv</t>
    </r>
    <r>
      <rPr>
        <sz val="11"/>
        <color theme="1"/>
        <rFont val="Aptos Narrow"/>
        <family val="2"/>
        <scheme val="minor"/>
      </rPr>
      <t>: Earned Value Management-tall (CPI 0,95 / SPI 0,92).</t>
    </r>
  </si>
  <si>
    <r>
      <t>6. FactAction.csv</t>
    </r>
    <r>
      <rPr>
        <sz val="11"/>
        <color theme="1"/>
        <rFont val="Aptos Narrow"/>
        <family val="2"/>
        <scheme val="minor"/>
      </rPr>
      <t>: Omstillingstiltak (T001–T004) knyttet direkte til lederne for hvert ansvarsområde.</t>
    </r>
  </si>
  <si>
    <r>
      <t>7. DimOrganization.csv</t>
    </r>
    <r>
      <rPr>
        <sz val="11"/>
        <color theme="1"/>
        <rFont val="Aptos Narrow"/>
        <family val="2"/>
        <scheme val="minor"/>
      </rPr>
      <t>: Organisasjonsstruktur med spesifikasjon av budsjettansvarlige ledere.</t>
    </r>
  </si>
  <si>
    <r>
      <t>8. DimAccountHierarchy.csv</t>
    </r>
    <r>
      <rPr>
        <sz val="11"/>
        <color theme="1"/>
        <rFont val="Aptos Narrow"/>
        <family val="2"/>
        <scheme val="minor"/>
      </rPr>
      <t>: DFØ R-102 kontoplan.</t>
    </r>
  </si>
  <si>
    <r>
      <t>9. DimDate.csv</t>
    </r>
    <r>
      <rPr>
        <sz val="11"/>
        <color theme="1"/>
        <rFont val="Aptos Narrow"/>
        <family val="2"/>
        <scheme val="minor"/>
      </rPr>
      <t>: Kalender 2026 med skille på Actuals (M01–M09) og Forecast (M10–M12).</t>
    </r>
  </si>
  <si>
    <r>
      <t>10. DimForecastVersion.csv</t>
    </r>
    <r>
      <rPr>
        <sz val="11"/>
        <color theme="1"/>
        <rFont val="Aptos Narrow"/>
        <family val="2"/>
        <scheme val="minor"/>
      </rPr>
      <t>: Versjonsstyring.</t>
    </r>
  </si>
  <si>
    <r>
      <t>11. Relationships.csv</t>
    </r>
    <r>
      <rPr>
        <sz val="11"/>
        <color theme="1"/>
        <rFont val="Aptos Narrow"/>
        <family val="2"/>
        <scheme val="minor"/>
      </rPr>
      <t>: Relasjonskart for Power BI.</t>
    </r>
  </si>
  <si>
    <r>
      <t>12. powerbi_datamodel_hhu_2026_diagram.png</t>
    </r>
    <r>
      <rPr>
        <sz val="11"/>
        <color theme="1"/>
        <rFont val="Aptos Narrow"/>
        <family val="2"/>
        <scheme val="minor"/>
      </rPr>
      <t>: Høyoppløselig arkitekturdiagram.</t>
    </r>
  </si>
  <si>
    <r>
      <t xml:space="preserve">💡 </t>
    </r>
    <r>
      <rPr>
        <i/>
        <sz val="11"/>
        <color theme="1"/>
        <rFont val="Aptos Narrow"/>
        <family val="2"/>
        <scheme val="minor"/>
      </rPr>
      <t xml:space="preserve">Alt ligger klart i </t>
    </r>
    <r>
      <rPr>
        <b/>
        <sz val="11"/>
        <color theme="1"/>
        <rFont val="Aptos Narrow"/>
        <family val="2"/>
        <scheme val="minor"/>
      </rPr>
      <t>Studio-panelet</t>
    </r>
    <r>
      <rPr>
        <i/>
        <sz val="11"/>
        <color theme="1"/>
        <rFont val="Aptos Narrow"/>
        <family val="2"/>
        <scheme val="minor"/>
      </rPr>
      <t xml:space="preserve"> ditt for videre analyse!</t>
    </r>
  </si>
  <si>
    <r>
      <t xml:space="preserve">De nye strategiske midlene, regional støtte og studieplasstildelingene påvirker </t>
    </r>
    <r>
      <rPr>
        <b/>
        <sz val="11"/>
        <color theme="1"/>
        <rFont val="Aptos Narrow"/>
        <family val="2"/>
        <scheme val="minor"/>
      </rPr>
      <t>2027-budsjettet</t>
    </r>
    <r>
      <rPr>
        <sz val="11"/>
        <color theme="1"/>
        <rFont val="Aptos Narrow"/>
        <family val="2"/>
        <scheme val="minor"/>
      </rPr>
      <t xml:space="preserve"> ved Universitetet i Agder (UiA) gjennom tre hovedmekanismer: </t>
    </r>
    <r>
      <rPr>
        <b/>
        <sz val="11"/>
        <color theme="1"/>
        <rFont val="Aptos Narrow"/>
        <family val="2"/>
        <scheme val="minor"/>
      </rPr>
      <t>KDs resultatfinansiering med to års etterslep</t>
    </r>
    <r>
      <rPr>
        <sz val="11"/>
        <color theme="1"/>
        <rFont val="Aptos Narrow"/>
        <family val="2"/>
        <scheme val="minor"/>
      </rPr>
      <t xml:space="preserve">, </t>
    </r>
    <r>
      <rPr>
        <b/>
        <sz val="11"/>
        <color theme="1"/>
        <rFont val="Aptos Narrow"/>
        <family val="2"/>
        <scheme val="minor"/>
      </rPr>
      <t>indirekte kostnadsdekning (overhead) fra ekstern forskning (BOA)</t>
    </r>
    <r>
      <rPr>
        <sz val="11"/>
        <color theme="1"/>
        <rFont val="Aptos Narrow"/>
        <family val="2"/>
        <scheme val="minor"/>
      </rPr>
      <t xml:space="preserve">, og </t>
    </r>
    <r>
      <rPr>
        <b/>
        <sz val="11"/>
        <color theme="1"/>
        <rFont val="Aptos Narrow"/>
        <family val="2"/>
        <scheme val="minor"/>
      </rPr>
      <t>rammebetingelsene for formålskapital og avsetninger (Note 15 og F-05-20)</t>
    </r>
    <r>
      <rPr>
        <sz val="11"/>
        <color theme="1"/>
        <rFont val="Aptos Narrow"/>
        <family val="2"/>
        <scheme val="minor"/>
      </rPr>
      <t>.</t>
    </r>
  </si>
  <si>
    <t>1. Resultatbevilgning via KDs toårige etterslep</t>
  </si>
  <si>
    <r>
      <t>Studiepoengproduksjon (SPE60):</t>
    </r>
    <r>
      <rPr>
        <sz val="11"/>
        <color theme="1"/>
        <rFont val="Aptos Narrow"/>
        <family val="2"/>
        <scheme val="minor"/>
      </rPr>
      <t xml:space="preserve"> Tildelingen av nye studieplasser (blant annet </t>
    </r>
    <r>
      <rPr>
        <b/>
        <sz val="11"/>
        <color theme="1"/>
        <rFont val="Aptos Narrow"/>
        <family val="2"/>
        <scheme val="minor"/>
      </rPr>
      <t>30 studieplasser til profesjonsstudiet i psykologi</t>
    </r>
    <r>
      <rPr>
        <sz val="11"/>
        <color theme="1"/>
        <rFont val="Aptos Narrow"/>
        <family val="2"/>
        <scheme val="minor"/>
      </rPr>
      <t xml:space="preserve">1, </t>
    </r>
    <r>
      <rPr>
        <b/>
        <sz val="11"/>
        <color theme="1"/>
        <rFont val="Aptos Narrow"/>
        <family val="2"/>
        <scheme val="minor"/>
      </rPr>
      <t>10 studieplasser i IKT</t>
    </r>
    <r>
      <rPr>
        <sz val="11"/>
        <color theme="1"/>
        <rFont val="Aptos Narrow"/>
        <family val="2"/>
        <scheme val="minor"/>
      </rPr>
      <t xml:space="preserve">2 og </t>
    </r>
    <r>
      <rPr>
        <b/>
        <sz val="11"/>
        <color theme="1"/>
        <rFont val="Aptos Narrow"/>
        <family val="2"/>
        <scheme val="minor"/>
      </rPr>
      <t>arbeidsplassbasert barnehagelærerutdanning</t>
    </r>
    <r>
      <rPr>
        <sz val="11"/>
        <color theme="1"/>
        <rFont val="Aptos Narrow"/>
        <family val="2"/>
        <scheme val="minor"/>
      </rPr>
      <t>12) øker studentmassen og studiepoengproduksjonen i 2025 og 2026.</t>
    </r>
  </si>
  <si>
    <r>
      <t>Inntektseffekt i 2027:</t>
    </r>
    <r>
      <rPr>
        <sz val="11"/>
        <color theme="1"/>
        <rFont val="Aptos Narrow"/>
        <family val="2"/>
        <scheme val="minor"/>
      </rPr>
      <t xml:space="preserve"> Under Kunnskapsdepartementets (KD) finansieringsmodell utbetales resultatbasert uttelling for avlagte studiepoeng med </t>
    </r>
    <r>
      <rPr>
        <b/>
        <sz val="11"/>
        <color theme="1"/>
        <rFont val="Aptos Narrow"/>
        <family val="2"/>
        <scheme val="minor"/>
      </rPr>
      <t>to års etterslep</t>
    </r>
    <r>
      <rPr>
        <sz val="11"/>
        <color theme="1"/>
        <rFont val="Aptos Narrow"/>
        <family val="2"/>
        <scheme val="minor"/>
      </rPr>
      <t xml:space="preserve">3more_horiz. Studiepoeng produsert av disse studentkullene i 2025 vil dermed gi direkte økt resultatbevilgning på statsbudsjettet for </t>
    </r>
    <r>
      <rPr>
        <b/>
        <sz val="11"/>
        <color theme="1"/>
        <rFont val="Aptos Narrow"/>
        <family val="2"/>
        <scheme val="minor"/>
      </rPr>
      <t>2027</t>
    </r>
    <r>
      <rPr>
        <sz val="11"/>
        <color theme="1"/>
        <rFont val="Aptos Narrow"/>
        <family val="2"/>
        <scheme val="minor"/>
      </rPr>
      <t xml:space="preserve"> ut fra KDs tre finansieringskategorier (</t>
    </r>
    <r>
      <rPr>
        <b/>
        <sz val="11"/>
        <color theme="1"/>
        <rFont val="Aptos Narrow"/>
        <family val="2"/>
        <scheme val="minor"/>
      </rPr>
      <t>Kategori 1:</t>
    </r>
    <r>
      <rPr>
        <sz val="11"/>
        <color theme="1"/>
        <rFont val="Aptos Narrow"/>
        <family val="2"/>
        <scheme val="minor"/>
      </rPr>
      <t xml:space="preserve"> 54 550 kr; </t>
    </r>
    <r>
      <rPr>
        <b/>
        <sz val="11"/>
        <color theme="1"/>
        <rFont val="Aptos Narrow"/>
        <family val="2"/>
        <scheme val="minor"/>
      </rPr>
      <t>Kategori 2:</t>
    </r>
    <r>
      <rPr>
        <sz val="11"/>
        <color theme="1"/>
        <rFont val="Aptos Narrow"/>
        <family val="2"/>
        <scheme val="minor"/>
      </rPr>
      <t xml:space="preserve"> 81 800 kr; </t>
    </r>
    <r>
      <rPr>
        <b/>
        <sz val="11"/>
        <color theme="1"/>
        <rFont val="Aptos Narrow"/>
        <family val="2"/>
        <scheme val="minor"/>
      </rPr>
      <t>Kategori 3:</t>
    </r>
    <r>
      <rPr>
        <sz val="11"/>
        <color theme="1"/>
        <rFont val="Aptos Narrow"/>
        <family val="2"/>
        <scheme val="minor"/>
      </rPr>
      <t xml:space="preserve"> 190 900 kr per 60 SPE)67.</t>
    </r>
  </si>
  <si>
    <t>2. Ekstern forskningsfinansiering og TDI-overhead (BOA)</t>
  </si>
  <si>
    <r>
      <t>Regionale fond og stiftelser:</t>
    </r>
    <r>
      <rPr>
        <sz val="11"/>
        <color theme="1"/>
        <rFont val="Aptos Narrow"/>
        <family val="2"/>
        <scheme val="minor"/>
      </rPr>
      <t xml:space="preserve"> Betydelige eksterne tilsagn – slik som </t>
    </r>
    <r>
      <rPr>
        <b/>
        <sz val="11"/>
        <color theme="1"/>
        <rFont val="Aptos Narrow"/>
        <family val="2"/>
        <scheme val="minor"/>
      </rPr>
      <t>Sør-fondets 30 mill. kr</t>
    </r>
    <r>
      <rPr>
        <sz val="11"/>
        <color theme="1"/>
        <rFont val="Aptos Narrow"/>
        <family val="2"/>
        <scheme val="minor"/>
      </rPr>
      <t xml:space="preserve"> (hvorav 18 mill. kr går til nevrovitenskap)8, </t>
    </r>
    <r>
      <rPr>
        <b/>
        <sz val="11"/>
        <color theme="1"/>
        <rFont val="Aptos Narrow"/>
        <family val="2"/>
        <scheme val="minor"/>
      </rPr>
      <t>Sørlandets kompetansefonds 18 mill. kr</t>
    </r>
    <r>
      <rPr>
        <sz val="11"/>
        <color theme="1"/>
        <rFont val="Aptos Narrow"/>
        <family val="2"/>
        <scheme val="minor"/>
      </rPr>
      <t xml:space="preserve"> over tre år8 og </t>
    </r>
    <r>
      <rPr>
        <b/>
        <sz val="11"/>
        <color theme="1"/>
        <rFont val="Aptos Narrow"/>
        <family val="2"/>
        <scheme val="minor"/>
      </rPr>
      <t>Aust-Agder utviklings- og kompetansefond</t>
    </r>
    <r>
      <rPr>
        <sz val="11"/>
        <color theme="1"/>
        <rFont val="Aptos Narrow"/>
        <family val="2"/>
        <scheme val="minor"/>
      </rPr>
      <t>8 – utvider UiAs eksternt finansierte prosjektportefølje (</t>
    </r>
    <r>
      <rPr>
        <i/>
        <sz val="11"/>
        <color theme="1"/>
        <rFont val="Aptos Narrow"/>
        <family val="2"/>
        <scheme val="minor"/>
      </rPr>
      <t>Bidrags- og oppdragsaktivitet / BOA</t>
    </r>
    <r>
      <rPr>
        <sz val="11"/>
        <color theme="1"/>
        <rFont val="Aptos Narrow"/>
        <family val="2"/>
        <scheme val="minor"/>
      </rPr>
      <t>).</t>
    </r>
  </si>
  <si>
    <r>
      <t>Periodisering etter SRS 10:</t>
    </r>
    <r>
      <rPr>
        <sz val="11"/>
        <color theme="1"/>
        <rFont val="Aptos Narrow"/>
        <family val="2"/>
        <scheme val="minor"/>
      </rPr>
      <t xml:space="preserve"> I henhold til </t>
    </r>
    <r>
      <rPr>
        <b/>
        <sz val="11"/>
        <color theme="1"/>
        <rFont val="Aptos Narrow"/>
        <family val="2"/>
        <scheme val="minor"/>
      </rPr>
      <t>SRS 10</t>
    </r>
    <r>
      <rPr>
        <sz val="11"/>
        <color theme="1"/>
        <rFont val="Aptos Narrow"/>
        <family val="2"/>
        <scheme val="minor"/>
      </rPr>
      <t xml:space="preserve"> inntektsføres disse bidragsmidlene i 2027-budsjettet i eksakt takt med at prosjektkostnadene påløper (</t>
    </r>
    <r>
      <rPr>
        <i/>
        <sz val="11"/>
        <color theme="1"/>
        <rFont val="Aptos Narrow"/>
        <family val="2"/>
        <scheme val="minor"/>
      </rPr>
      <t>motsatt sammenstilling</t>
    </r>
    <r>
      <rPr>
        <sz val="11"/>
        <color theme="1"/>
        <rFont val="Aptos Narrow"/>
        <family val="2"/>
        <scheme val="minor"/>
      </rPr>
      <t>)9.</t>
    </r>
  </si>
  <si>
    <r>
      <t>Avlastning av basisrammen (TDI-modellen):</t>
    </r>
    <r>
      <rPr>
        <sz val="11"/>
        <color theme="1"/>
        <rFont val="Aptos Narrow"/>
        <family val="2"/>
        <scheme val="minor"/>
      </rPr>
      <t xml:space="preserve"> Gjennom </t>
    </r>
    <r>
      <rPr>
        <b/>
        <sz val="11"/>
        <color theme="1"/>
        <rFont val="Aptos Narrow"/>
        <family val="2"/>
        <scheme val="minor"/>
      </rPr>
      <t>TDI-modellen (Totalkostnadsmodellen)</t>
    </r>
    <r>
      <rPr>
        <sz val="11"/>
        <color theme="1"/>
        <rFont val="Aptos Narrow"/>
        <family val="2"/>
        <scheme val="minor"/>
      </rPr>
      <t xml:space="preserve"> dekker eksternt finansierte prosjekter sine egne direkte kostnader pluss et påslag for </t>
    </r>
    <r>
      <rPr>
        <b/>
        <sz val="11"/>
        <color theme="1"/>
        <rFont val="Aptos Narrow"/>
        <family val="2"/>
        <scheme val="minor"/>
      </rPr>
      <t>indirekte felleskostnader (overhead)</t>
    </r>
    <r>
      <rPr>
        <sz val="11"/>
        <color theme="1"/>
        <rFont val="Aptos Narrow"/>
        <family val="2"/>
        <scheme val="minor"/>
      </rPr>
      <t xml:space="preserve"> til husleie, IT, bibliotek og administrasjon9more_horiz. Denne overhead-refusjonen overføres tilbake til fakultetene og fellestjenestene i 2027, noe som direkte avlaster universitetets faste basisbevilgning1011.</t>
    </r>
  </si>
  <si>
    <t>3. Engangssatsinger, investeringer og avsetningsreglementet (Note 15 &amp; F-05-20)</t>
  </si>
  <si>
    <r>
      <t>Strategiske engangsmidler:</t>
    </r>
    <r>
      <rPr>
        <sz val="11"/>
        <color theme="1"/>
        <rFont val="Aptos Narrow"/>
        <family val="2"/>
        <scheme val="minor"/>
      </rPr>
      <t xml:space="preserve"> Løyvinger til </t>
    </r>
    <r>
      <rPr>
        <b/>
        <sz val="11"/>
        <color theme="1"/>
        <rFont val="Aptos Narrow"/>
        <family val="2"/>
        <scheme val="minor"/>
      </rPr>
      <t>KI og ny teknologi (over 18 mill. kr, hvorav 15 mill. kr til felles infrastruktur og 500 000 kr per fakultet)</t>
    </r>
    <r>
      <rPr>
        <sz val="11"/>
        <color theme="1"/>
        <rFont val="Aptos Narrow"/>
        <family val="2"/>
        <scheme val="minor"/>
      </rPr>
      <t xml:space="preserve">1213, </t>
    </r>
    <r>
      <rPr>
        <b/>
        <sz val="11"/>
        <color theme="1"/>
        <rFont val="Aptos Narrow"/>
        <family val="2"/>
        <scheme val="minor"/>
      </rPr>
      <t>fleksibel utdanning (6 mill. kr sentralt + 500 000 kr per fakultet)</t>
    </r>
    <r>
      <rPr>
        <sz val="11"/>
        <color theme="1"/>
        <rFont val="Aptos Narrow"/>
        <family val="2"/>
        <scheme val="minor"/>
      </rPr>
      <t xml:space="preserve">14 og </t>
    </r>
    <r>
      <rPr>
        <b/>
        <sz val="11"/>
        <color theme="1"/>
        <rFont val="Aptos Narrow"/>
        <family val="2"/>
        <scheme val="minor"/>
      </rPr>
      <t>Vitensenteret Kristiansand UiA (5 mill. kr til inventar/utstyr)</t>
    </r>
    <r>
      <rPr>
        <sz val="11"/>
        <color theme="1"/>
        <rFont val="Aptos Narrow"/>
        <family val="2"/>
        <scheme val="minor"/>
      </rPr>
      <t>14 utgjør tidsavgrensede eller engangsbaserte tildelinger.</t>
    </r>
  </si>
  <si>
    <r>
      <t>Binding i Note 15:</t>
    </r>
    <r>
      <rPr>
        <sz val="11"/>
        <color theme="1"/>
        <rFont val="Aptos Narrow"/>
        <family val="2"/>
        <scheme val="minor"/>
      </rPr>
      <t xml:space="preserve"> Universitetets samlede avsetninger i </t>
    </r>
    <r>
      <rPr>
        <b/>
        <sz val="11"/>
        <color theme="1"/>
        <rFont val="Aptos Narrow"/>
        <family val="2"/>
        <scheme val="minor"/>
      </rPr>
      <t>Note 15</t>
    </r>
    <r>
      <rPr>
        <sz val="11"/>
        <color theme="1"/>
        <rFont val="Aptos Narrow"/>
        <family val="2"/>
        <scheme val="minor"/>
      </rPr>
      <t xml:space="preserve"> økte til </t>
    </r>
    <r>
      <rPr>
        <b/>
        <sz val="11"/>
        <color theme="1"/>
        <rFont val="Aptos Narrow"/>
        <family val="2"/>
        <scheme val="minor"/>
      </rPr>
      <t>295,4 mill. kr per 31.12.2025</t>
    </r>
    <r>
      <rPr>
        <sz val="11"/>
        <color theme="1"/>
        <rFont val="Aptos Narrow"/>
        <family val="2"/>
        <scheme val="minor"/>
      </rPr>
      <t xml:space="preserve">1516. Av dette er hele </t>
    </r>
    <r>
      <rPr>
        <b/>
        <sz val="11"/>
        <color theme="1"/>
        <rFont val="Aptos Narrow"/>
        <family val="2"/>
        <scheme val="minor"/>
      </rPr>
      <t>257 mill. kr formelt avsatt til universitetsstyrets godkjente investeringsplan for 2026–2028</t>
    </r>
    <r>
      <rPr>
        <sz val="11"/>
        <color theme="1"/>
        <rFont val="Aptos Narrow"/>
        <family val="2"/>
        <scheme val="minor"/>
      </rPr>
      <t xml:space="preserve"> (som dekker campusutvikling, spesialarealer for psykologiutdanningen og Vitensenteret)15more_horiz.</t>
    </r>
  </si>
  <si>
    <r>
      <t>Kontroll mot F-05-20 (5 %-regelen):</t>
    </r>
    <r>
      <rPr>
        <sz val="11"/>
        <color theme="1"/>
        <rFont val="Aptos Narrow"/>
        <family val="2"/>
        <scheme val="minor"/>
      </rPr>
      <t xml:space="preserve"> Ved å binde 13 % av bevilgningen til vedtatte investeringer, holdes UiAs frie avsetninger til andre formål på ca. </t>
    </r>
    <r>
      <rPr>
        <b/>
        <sz val="11"/>
        <color theme="1"/>
        <rFont val="Aptos Narrow"/>
        <family val="2"/>
        <scheme val="minor"/>
      </rPr>
      <t>2 %</t>
    </r>
    <r>
      <rPr>
        <sz val="11"/>
        <color theme="1"/>
        <rFont val="Aptos Narrow"/>
        <family val="2"/>
        <scheme val="minor"/>
      </rPr>
      <t xml:space="preserve">1718. Dette sikrer at universitetet overholder KDs retningslinjer i </t>
    </r>
    <r>
      <rPr>
        <b/>
        <sz val="11"/>
        <color theme="1"/>
        <rFont val="Aptos Narrow"/>
        <family val="2"/>
        <scheme val="minor"/>
      </rPr>
      <t>Rundskriv F-05-20</t>
    </r>
    <r>
      <rPr>
        <sz val="11"/>
        <color theme="1"/>
        <rFont val="Aptos Narrow"/>
        <family val="2"/>
        <scheme val="minor"/>
      </rPr>
      <t>, samtidig som engangsmidler forhindres fra å skape udekket overbemanning eller faste driftsforpliktelser i 20271019.</t>
    </r>
  </si>
  <si>
    <t>4. Samlet konsekvens for 2027-budsjettet</t>
  </si>
  <si>
    <r>
      <t xml:space="preserve">De nye midlene gir UiA økt handlingsrom på utdannings- og forskningsområdet, men resultatveksten nøytraliseres delvis av generelle statlige sektorkutt (som utgjorde </t>
    </r>
    <r>
      <rPr>
        <b/>
        <sz val="11"/>
        <color theme="1"/>
        <rFont val="Aptos Narrow"/>
        <family val="2"/>
        <scheme val="minor"/>
      </rPr>
      <t>15,5 mill. kr for UiA i 2026</t>
    </r>
    <r>
      <rPr>
        <sz val="11"/>
        <color theme="1"/>
        <rFont val="Aptos Narrow"/>
        <family val="2"/>
        <scheme val="minor"/>
      </rPr>
      <t xml:space="preserve">)20 samt ordinær lønns- og prisvekst2122. </t>
    </r>
    <r>
      <rPr>
        <b/>
        <sz val="11"/>
        <color theme="1"/>
        <rFont val="Aptos Narrow"/>
        <family val="2"/>
        <scheme val="minor"/>
      </rPr>
      <t>2027-budsjettet</t>
    </r>
    <r>
      <rPr>
        <sz val="11"/>
        <color theme="1"/>
        <rFont val="Aptos Narrow"/>
        <family val="2"/>
        <scheme val="minor"/>
      </rPr>
      <t xml:space="preserve"> vil derfor preges av at nye akademiske satsinger finansieres gjennom ekstern vekst, TDI-frikjøp og målrettede investeringer fra Note 15, fremfor ekspansjon i den faste statlige basisbevilgningen10more_horiz.</t>
    </r>
  </si>
  <si>
    <t>💡 Ønsker du at jeg utarbeider et spesifikt regneeksempel eller en tabell som viser hvordan disse midlene slår ut på inntektssiden for henholdsvis Handelshøyskolen (HHU) eller Fakultet for teknologi og realfag (TEK) i 2027?</t>
  </si>
  <si>
    <t>utarbeid et spesifikt regneeksempel eller en tabell som viser hvordan disse midlene slår ut på inntektssiden for henholdsvis Handelshøyskolen (HHU)</t>
  </si>
  <si>
    <r>
      <t xml:space="preserve">Her er en spesifikk oppstilling og et regneeksempel på hvordan de ulike nye midlene, resultatbaserte uttellingene og strategiske tildelingene slår ut på inntektssiden for </t>
    </r>
    <r>
      <rPr>
        <b/>
        <sz val="11"/>
        <color theme="1"/>
        <rFont val="Aptos Narrow"/>
        <family val="2"/>
        <scheme val="minor"/>
      </rPr>
      <t>Handelshøyskolen ved UiA (HHU)</t>
    </r>
    <r>
      <rPr>
        <sz val="11"/>
        <color theme="1"/>
        <rFont val="Aptos Narrow"/>
        <family val="2"/>
        <scheme val="minor"/>
      </rPr>
      <t>.</t>
    </r>
  </si>
  <si>
    <t>1. Inntektstabell for HHU (Fra 2026-baseline til 2027-prognose)</t>
  </si>
  <si>
    <t>Tabellen viser overgangen fra 2026-baseline12 til 2027-budsjett for HHU, spesifisert per inntektsstrøm, regnskapsprinsipp og kilde:</t>
  </si>
  <si>
    <t>Inntektskomponent</t>
  </si>
  <si>
    <t>2026 Baseline (MNOK)1</t>
  </si>
  <si>
    <t>Endring / Nye midler (NOK)</t>
  </si>
  <si>
    <t>2027 Prognose (MNOK)</t>
  </si>
  <si>
    <t>Beregningsgrunnlag og Regnskapsregel</t>
  </si>
  <si>
    <t>Statlig grunnbevilgning (Basis)</t>
  </si>
  <si>
    <t>246,80</t>
  </si>
  <si>
    <t>+5 200 000 kr</t>
  </si>
  <si>
    <t>252,00</t>
  </si>
  <si>
    <t>Lønns- og prisjustering (~2,1 %) på den faste basisrammen34.</t>
  </si>
  <si>
    <t>KDs resultatbevilgning (SPE60)</t>
  </si>
  <si>
    <r>
      <t>0,00</t>
    </r>
    <r>
      <rPr>
        <sz val="11"/>
        <color theme="1"/>
        <rFont val="Aptos Narrow"/>
        <family val="2"/>
        <scheme val="minor"/>
      </rPr>
      <t xml:space="preserve"> </t>
    </r>
    <r>
      <rPr>
        <i/>
        <sz val="11"/>
        <color theme="1"/>
        <rFont val="Aptos Narrow"/>
        <family val="2"/>
        <scheme val="minor"/>
      </rPr>
      <t>(bakt i basis)</t>
    </r>
  </si>
  <si>
    <t>+1 800 150 kr</t>
  </si>
  <si>
    <t>1,80</t>
  </si>
  <si>
    <r>
      <t>2-års etterslep:</t>
    </r>
    <r>
      <rPr>
        <sz val="11"/>
        <color theme="1"/>
        <rFont val="Aptos Narrow"/>
        <family val="2"/>
        <scheme val="minor"/>
      </rPr>
      <t xml:space="preserve"> Marginalsats for </t>
    </r>
    <r>
      <rPr>
        <b/>
        <sz val="11"/>
        <color theme="1"/>
        <rFont val="Aptos Narrow"/>
        <family val="2"/>
        <scheme val="minor"/>
      </rPr>
      <t>Kategori 1 (54 550 kr/SPE60)</t>
    </r>
    <r>
      <rPr>
        <sz val="11"/>
        <color theme="1"/>
        <rFont val="Aptos Narrow"/>
        <family val="2"/>
        <scheme val="minor"/>
      </rPr>
      <t>56 for økt studiepoengproduksjon i 2025 (+33 SPE60).</t>
    </r>
  </si>
  <si>
    <t>Strategiske engangsmidler (KI)</t>
  </si>
  <si>
    <t>0,00</t>
  </si>
  <si>
    <t>+500 000 kr</t>
  </si>
  <si>
    <t>0,50</t>
  </si>
  <si>
    <r>
      <t xml:space="preserve">Styretildeling til hvert fakultet for implementering av </t>
    </r>
    <r>
      <rPr>
        <b/>
        <sz val="11"/>
        <color theme="1"/>
        <rFont val="Aptos Narrow"/>
        <family val="2"/>
        <scheme val="minor"/>
      </rPr>
      <t>KI og ny teknologi</t>
    </r>
    <r>
      <rPr>
        <sz val="11"/>
        <color theme="1"/>
        <rFont val="Aptos Narrow"/>
        <family val="2"/>
        <scheme val="minor"/>
      </rPr>
      <t>78.</t>
    </r>
  </si>
  <si>
    <t>Strategiske midler (Fleksibilitet)</t>
  </si>
  <si>
    <r>
      <t xml:space="preserve">Styretildeling til hvert fakultet for </t>
    </r>
    <r>
      <rPr>
        <b/>
        <sz val="11"/>
        <color theme="1"/>
        <rFont val="Aptos Narrow"/>
        <family val="2"/>
        <scheme val="minor"/>
      </rPr>
      <t>fleksibilisering av studietilbud</t>
    </r>
    <r>
      <rPr>
        <sz val="11"/>
        <color theme="1"/>
        <rFont val="Aptos Narrow"/>
        <family val="2"/>
        <scheme val="minor"/>
      </rPr>
      <t>8.</t>
    </r>
  </si>
  <si>
    <t>Øremerket støtte (AACSB)</t>
  </si>
  <si>
    <r>
      <t>0,27</t>
    </r>
    <r>
      <rPr>
        <sz val="11"/>
        <color theme="1"/>
        <rFont val="Aptos Narrow"/>
        <family val="2"/>
        <scheme val="minor"/>
      </rPr>
      <t>89</t>
    </r>
  </si>
  <si>
    <r>
      <t xml:space="preserve">+0 kr </t>
    </r>
    <r>
      <rPr>
        <i/>
        <sz val="11"/>
        <color theme="1"/>
        <rFont val="Aptos Narrow"/>
        <family val="2"/>
        <scheme val="minor"/>
      </rPr>
      <t>(videreføres)</t>
    </r>
  </si>
  <si>
    <t>0,27</t>
  </si>
  <si>
    <t>Særskilt tildeling fra Universitetsstyret til arbeidet med re-akkreditering89.</t>
  </si>
  <si>
    <t>Ekstern forskning (BOA - Bidrag)</t>
  </si>
  <si>
    <t>+1 800 000 kr</t>
  </si>
  <si>
    <t>20,00</t>
  </si>
  <si>
    <r>
      <t>SRS 10 (Motsatt sammenstilling):</t>
    </r>
    <r>
      <rPr>
        <sz val="11"/>
        <color theme="1"/>
        <rFont val="Aptos Narrow"/>
        <family val="2"/>
        <scheme val="minor"/>
      </rPr>
      <t xml:space="preserve"> Økt NFR/EU-frikjøp610. Inkluderer TDI-overhead910.</t>
    </r>
  </si>
  <si>
    <t>Oppdrag &amp; EVU (Studieavgifter)</t>
  </si>
  <si>
    <t>+1 400 000 kr</t>
  </si>
  <si>
    <t>13,00</t>
  </si>
  <si>
    <r>
      <t>SRS 9 (Fullføringsgrad):</t>
    </r>
    <r>
      <rPr>
        <sz val="11"/>
        <color theme="1"/>
        <rFont val="Aptos Narrow"/>
        <family val="2"/>
        <scheme val="minor"/>
      </rPr>
      <t xml:space="preserve"> Økning i markedsfinansierte videreutdanninger (f.eks. Master i HR og ledelse)1112.</t>
    </r>
  </si>
  <si>
    <t>SAMLEDE INNTEKTER (HHU)</t>
  </si>
  <si>
    <t>276,87 MNOK</t>
  </si>
  <si>
    <t>+11 200 150 kr</t>
  </si>
  <si>
    <t>288,07 MNOK</t>
  </si>
  <si>
    <t>Samlet inntektsvekst på +4,0 % for HHU.</t>
  </si>
  <si>
    <t>2. Regneeksempel for de tre viktigste inntektsdriverne</t>
  </si>
  <si>
    <t>A. KDs resultatbaserte uttelling (SPE60 i Kategori 1 med 2-års etterslep)</t>
  </si>
  <si>
    <r>
      <t xml:space="preserve">HHUs studier (økonomi, ledelse, juss) er plassert i KDs </t>
    </r>
    <r>
      <rPr>
        <b/>
        <sz val="11"/>
        <color theme="1"/>
        <rFont val="Aptos Narrow"/>
        <family val="2"/>
        <scheme val="minor"/>
      </rPr>
      <t>Kategori 1</t>
    </r>
    <r>
      <rPr>
        <sz val="11"/>
        <color theme="1"/>
        <rFont val="Aptos Narrow"/>
        <family val="2"/>
        <scheme val="minor"/>
      </rPr>
      <t xml:space="preserve">, der insentivsatsen utgjør </t>
    </r>
    <r>
      <rPr>
        <b/>
        <sz val="11"/>
        <color theme="1"/>
        <rFont val="Aptos Narrow"/>
        <family val="2"/>
        <scheme val="minor"/>
      </rPr>
      <t>54 550 kr per 60 avlagte studiepoeng (1 SPE60)</t>
    </r>
    <r>
      <rPr>
        <sz val="11"/>
        <color theme="1"/>
        <rFont val="Aptos Narrow"/>
        <family val="2"/>
        <scheme val="minor"/>
      </rPr>
      <t>56.</t>
    </r>
  </si>
  <si>
    <r>
      <t xml:space="preserve">Dersom HHU øker studentenes studiepoengproduksjon i 2025 med totalt </t>
    </r>
    <r>
      <rPr>
        <b/>
        <sz val="11"/>
        <color theme="1"/>
        <rFont val="Aptos Narrow"/>
        <family val="2"/>
        <scheme val="minor"/>
      </rPr>
      <t>1 980 studiepoeng</t>
    </r>
    <r>
      <rPr>
        <sz val="11"/>
        <color theme="1"/>
        <rFont val="Aptos Narrow"/>
        <family val="2"/>
        <scheme val="minor"/>
      </rPr>
      <t xml:space="preserve"> (tilsvarende </t>
    </r>
    <r>
      <rPr>
        <b/>
        <sz val="11"/>
        <color theme="1"/>
        <rFont val="Aptos Narrow"/>
        <family val="2"/>
        <scheme val="minor"/>
      </rPr>
      <t>+33 helårsstudenter / SPE60</t>
    </r>
    <r>
      <rPr>
        <sz val="11"/>
        <color theme="1"/>
        <rFont val="Aptos Narrow"/>
        <family val="2"/>
        <scheme val="minor"/>
      </rPr>
      <t>), utløser dette følgende inntektsvekst i 2027-budsjettet5:</t>
    </r>
  </si>
  <si>
    <t>$$\text{Inntektseffekt i 2027} = 33 \text{ SPE60} \times 54\,550 \text{ kr/SPE60} = \mathbf{1\,800\,150 \text{ kr}} \quad (\mathbf{+1,80 \text{ MNOK}})$$</t>
  </si>
  <si>
    <r>
      <t>Merk: Nettobudsjetteringsprinsippet gjør at eksisterende studievolum ligger fast i basis, så Kategori 1-satsen gjelder kun for marginale volumendringer</t>
    </r>
    <r>
      <rPr>
        <sz val="11"/>
        <color theme="1"/>
        <rFont val="Aptos Narrow"/>
        <family val="2"/>
        <scheme val="minor"/>
      </rPr>
      <t>56</t>
    </r>
    <r>
      <rPr>
        <i/>
        <sz val="11"/>
        <color theme="1"/>
        <rFont val="Aptos Narrow"/>
        <family val="2"/>
        <scheme val="minor"/>
      </rPr>
      <t>.</t>
    </r>
  </si>
  <si>
    <t>B. Strategiske tildelinger fra Universitetsstyret</t>
  </si>
  <si>
    <t>I henhold til vedtak i Universitetsstyret tilføres HHU tre spesifikke strategiske tildelinger7more_horiz:</t>
  </si>
  <si>
    <r>
      <t>1. KI og ny teknologi:</t>
    </r>
    <r>
      <rPr>
        <sz val="11"/>
        <color theme="1"/>
        <rFont val="Aptos Narrow"/>
        <family val="2"/>
        <scheme val="minor"/>
      </rPr>
      <t xml:space="preserve"> </t>
    </r>
    <r>
      <rPr>
        <b/>
        <sz val="11"/>
        <color theme="1"/>
        <rFont val="Aptos Narrow"/>
        <family val="2"/>
        <scheme val="minor"/>
      </rPr>
      <t>500 000 kr</t>
    </r>
    <r>
      <rPr>
        <sz val="11"/>
        <color theme="1"/>
        <rFont val="Aptos Narrow"/>
        <family val="2"/>
        <scheme val="minor"/>
      </rPr>
      <t xml:space="preserve"> direkte til fakultetets arbeid med KI i undervisning og forskning78.</t>
    </r>
  </si>
  <si>
    <r>
      <t>2. Fleksible utdanningstilbud:</t>
    </r>
    <r>
      <rPr>
        <sz val="11"/>
        <color theme="1"/>
        <rFont val="Aptos Narrow"/>
        <family val="2"/>
        <scheme val="minor"/>
      </rPr>
      <t xml:space="preserve"> </t>
    </r>
    <r>
      <rPr>
        <b/>
        <sz val="11"/>
        <color theme="1"/>
        <rFont val="Aptos Narrow"/>
        <family val="2"/>
        <scheme val="minor"/>
      </rPr>
      <t>500 000 kr</t>
    </r>
    <r>
      <rPr>
        <sz val="11"/>
        <color theme="1"/>
        <rFont val="Aptos Narrow"/>
        <family val="2"/>
        <scheme val="minor"/>
      </rPr>
      <t xml:space="preserve"> direkte til utvikling av nett- og samlingsbaserte tilbud8.</t>
    </r>
  </si>
  <si>
    <r>
      <t>3. AACSB Re-akkreditering:</t>
    </r>
    <r>
      <rPr>
        <sz val="11"/>
        <color theme="1"/>
        <rFont val="Aptos Narrow"/>
        <family val="2"/>
        <scheme val="minor"/>
      </rPr>
      <t xml:space="preserve"> </t>
    </r>
    <r>
      <rPr>
        <b/>
        <sz val="11"/>
        <color theme="1"/>
        <rFont val="Aptos Narrow"/>
        <family val="2"/>
        <scheme val="minor"/>
      </rPr>
      <t>265 000 kr</t>
    </r>
    <r>
      <rPr>
        <sz val="11"/>
        <color theme="1"/>
        <rFont val="Aptos Narrow"/>
        <family val="2"/>
        <scheme val="minor"/>
      </rPr>
      <t xml:space="preserve"> øremerket revisjon og internasjonalt kvalitetssikringsarbeid89.</t>
    </r>
  </si>
  <si>
    <t>$$\text{Sum strategiske engangsmidler} = 500\,000 \text{ kr} + 500\,000 \text{ kr} + 265\,000 \text{ kr} = \mathbf{1\,265\,000 \text{ kr}} \quad (\mathbf{1,27 \text{ MNOK}})$$</t>
  </si>
  <si>
    <t>C. TDI-overhead fra økt eksternt frikjøp (BOA-forskning)</t>
  </si>
  <si>
    <r>
      <t xml:space="preserve">Når HHUs forskere henter inn eksterne NFR- eller EU-prosjekter, beregnes prosjektinntektene etter </t>
    </r>
    <r>
      <rPr>
        <b/>
        <sz val="11"/>
        <color theme="1"/>
        <rFont val="Aptos Narrow"/>
        <family val="2"/>
        <scheme val="minor"/>
      </rPr>
      <t>TDI-modellen</t>
    </r>
    <r>
      <rPr>
        <sz val="11"/>
        <color theme="1"/>
        <rFont val="Aptos Narrow"/>
        <family val="2"/>
        <scheme val="minor"/>
      </rPr>
      <t>510.</t>
    </r>
  </si>
  <si>
    <r>
      <t xml:space="preserve">For hvert vitenskapelig årsverk som frikjøpes på et eksternt prosjekt, faktureres prosjektet for et </t>
    </r>
    <r>
      <rPr>
        <b/>
        <sz val="11"/>
        <color theme="1"/>
        <rFont val="Aptos Narrow"/>
        <family val="2"/>
        <scheme val="minor"/>
      </rPr>
      <t>totalt indirekte kostnadspåslag (overhead) på 585 000 kr per årsverk</t>
    </r>
    <r>
      <rPr>
        <sz val="11"/>
        <color theme="1"/>
        <rFont val="Aptos Narrow"/>
        <family val="2"/>
        <scheme val="minor"/>
      </rPr>
      <t xml:space="preserve"> (2026-sats)9:</t>
    </r>
  </si>
  <si>
    <r>
      <t>Fakultetets indirekte andel (HHU):</t>
    </r>
    <r>
      <rPr>
        <sz val="11"/>
        <color theme="1"/>
        <rFont val="Aptos Narrow"/>
        <family val="2"/>
        <scheme val="minor"/>
      </rPr>
      <t xml:space="preserve"> 116 000 kr9</t>
    </r>
  </si>
  <si>
    <r>
      <t>Arbeidsplass-sats (infrastruktur/IT):</t>
    </r>
    <r>
      <rPr>
        <sz val="11"/>
        <color theme="1"/>
        <rFont val="Aptos Narrow"/>
        <family val="2"/>
        <scheme val="minor"/>
      </rPr>
      <t xml:space="preserve"> 216 000 kr9</t>
    </r>
  </si>
  <si>
    <r>
      <t>Fellesadministrasjonen (UiA):</t>
    </r>
    <r>
      <rPr>
        <sz val="11"/>
        <color theme="1"/>
        <rFont val="Aptos Narrow"/>
        <family val="2"/>
        <scheme val="minor"/>
      </rPr>
      <t xml:space="preserve"> 253 000 kr9</t>
    </r>
  </si>
  <si>
    <r>
      <t xml:space="preserve">Dersom HHU øker forskningsfrikjøpet med </t>
    </r>
    <r>
      <rPr>
        <b/>
        <sz val="11"/>
        <color theme="1"/>
        <rFont val="Aptos Narrow"/>
        <family val="2"/>
        <scheme val="minor"/>
      </rPr>
      <t>3,0 årsverk</t>
    </r>
    <r>
      <rPr>
        <sz val="11"/>
        <color theme="1"/>
        <rFont val="Aptos Narrow"/>
        <family val="2"/>
        <scheme val="minor"/>
      </rPr>
      <t xml:space="preserve"> i 2027, slår dette ut på inntektssiden ved at prosjektet tilfører fakultetet </t>
    </r>
    <r>
      <rPr>
        <b/>
        <sz val="11"/>
        <color theme="1"/>
        <rFont val="Aptos Narrow"/>
        <family val="2"/>
        <scheme val="minor"/>
      </rPr>
      <t>1,75 MNOK i indirekte overhead-refusjon</t>
    </r>
    <r>
      <rPr>
        <sz val="11"/>
        <color theme="1"/>
        <rFont val="Aptos Narrow"/>
        <family val="2"/>
        <scheme val="minor"/>
      </rPr>
      <t xml:space="preserve"> (3 × 585 000 kr)9, som dekker faste husleie- og administrasjonskostnader og frigjør tilsvarende beløp på fakultetets basisbudsjett610.</t>
    </r>
  </si>
  <si>
    <t>3. Controllerens oppsummering for HHU</t>
  </si>
  <si>
    <r>
      <t xml:space="preserve">Inntektssiden til HHU styrkes med </t>
    </r>
    <r>
      <rPr>
        <b/>
        <sz val="11"/>
        <color theme="1"/>
        <rFont val="Aptos Narrow"/>
        <family val="2"/>
        <scheme val="minor"/>
      </rPr>
      <t>+11,2 MNOK (+4,0 %)</t>
    </r>
    <r>
      <rPr>
        <sz val="11"/>
        <color theme="1"/>
        <rFont val="Aptos Narrow"/>
        <family val="2"/>
        <scheme val="minor"/>
      </rPr>
      <t xml:space="preserve"> fra 2026 til 2027.</t>
    </r>
  </si>
  <si>
    <r>
      <t xml:space="preserve">Veksten drives av en kombinasjon av </t>
    </r>
    <r>
      <rPr>
        <b/>
        <sz val="11"/>
        <color theme="1"/>
        <rFont val="Aptos Narrow"/>
        <family val="2"/>
        <scheme val="minor"/>
      </rPr>
      <t>kr 1,8 MNOK i resultatvekst</t>
    </r>
    <r>
      <rPr>
        <sz val="11"/>
        <color theme="1"/>
        <rFont val="Aptos Narrow"/>
        <family val="2"/>
        <scheme val="minor"/>
      </rPr>
      <t xml:space="preserve"> fra økt studiepoengproduksjon i Kategori 156, </t>
    </r>
    <r>
      <rPr>
        <b/>
        <sz val="11"/>
        <color theme="1"/>
        <rFont val="Aptos Narrow"/>
        <family val="2"/>
        <scheme val="minor"/>
      </rPr>
      <t>kr 1,27 MNOK i øremerkede strategiske midler</t>
    </r>
    <r>
      <rPr>
        <sz val="11"/>
        <color theme="1"/>
        <rFont val="Aptos Narrow"/>
        <family val="2"/>
        <scheme val="minor"/>
      </rPr>
      <t xml:space="preserve"> til KI, fleksibilitet og AACSB7more_horiz, samt </t>
    </r>
    <r>
      <rPr>
        <b/>
        <sz val="11"/>
        <color theme="1"/>
        <rFont val="Aptos Narrow"/>
        <family val="2"/>
        <scheme val="minor"/>
      </rPr>
      <t>kr 3,2 MNOK i økt ekstern prosjektomsetning (BOA)</t>
    </r>
    <r>
      <rPr>
        <sz val="11"/>
        <color theme="1"/>
        <rFont val="Aptos Narrow"/>
        <family val="2"/>
        <scheme val="minor"/>
      </rPr>
      <t xml:space="preserve"> gjennom frikjøp og studieavgifter1012.</t>
    </r>
  </si>
  <si>
    <r>
      <t xml:space="preserve">Grunnlagsdataene for </t>
    </r>
    <r>
      <rPr>
        <b/>
        <sz val="11"/>
        <color rgb="FF303030"/>
        <rFont val="Arial"/>
        <family val="2"/>
      </rPr>
      <t>Budsjett 2027</t>
    </r>
    <r>
      <rPr>
        <sz val="11"/>
        <color rgb="FF303030"/>
        <rFont val="Arial"/>
        <family val="2"/>
      </rPr>
      <t xml:space="preserve">, det tilhørende settet med </t>
    </r>
    <r>
      <rPr>
        <b/>
        <sz val="11"/>
        <color rgb="FF303030"/>
        <rFont val="Arial"/>
        <family val="2"/>
      </rPr>
      <t>DAX-målekoder</t>
    </r>
    <r>
      <rPr>
        <sz val="11"/>
        <color rgb="FF303030"/>
        <rFont val="Arial"/>
        <family val="2"/>
      </rPr>
      <t xml:space="preserve"> og en grundig </t>
    </r>
    <r>
      <rPr>
        <b/>
        <sz val="11"/>
        <color rgb="FF303030"/>
        <rFont val="Arial"/>
        <family val="2"/>
      </rPr>
      <t>forklaring av prognosemodellene</t>
    </r>
    <r>
      <rPr>
        <sz val="11"/>
        <color rgb="FF303030"/>
        <rFont val="Arial"/>
        <family val="2"/>
      </rPr>
      <t xml:space="preserve"> for Handelshøyskolen ved UiA (HHU) er nå klargjort og publisert som CSV-filer i </t>
    </r>
    <r>
      <rPr>
        <b/>
        <sz val="11"/>
        <color rgb="FF303030"/>
        <rFont val="Arial"/>
        <family val="2"/>
      </rPr>
      <t>Studio-panelet</t>
    </r>
    <r>
      <rPr>
        <sz val="11"/>
        <color rgb="FF303030"/>
        <rFont val="Arial"/>
        <family val="2"/>
      </rPr>
      <t>.</t>
    </r>
  </si>
  <si>
    <t>1. Genererte Grunnlagsdata for Budsjett 2027 (CSV-filer i Studio)</t>
  </si>
  <si>
    <t>2. Komplett sett med DAX-målekoder for Budsjett 2027</t>
  </si>
  <si>
    <r>
      <t xml:space="preserve">DAX-målekodene legges inn i Power BI i dedikerte </t>
    </r>
    <r>
      <rPr>
        <b/>
        <sz val="11"/>
        <color rgb="FF303030"/>
        <rFont val="Arial"/>
        <family val="2"/>
      </rPr>
      <t>Display Folders</t>
    </r>
    <r>
      <rPr>
        <sz val="11"/>
        <color rgb="FF303030"/>
        <rFont val="Arial"/>
        <family val="2"/>
      </rPr>
      <t>:</t>
    </r>
  </si>
  <si>
    <t>// FOLDER 1: BUDSJETT 2027 BASELINE (_01 Budsjett 2027 BAC)</t>
  </si>
  <si>
    <t>// 1. Vedtatt Inntekt 2027 (288,07 MNOK)</t>
  </si>
  <si>
    <t xml:space="preserve">BUD2027 Inntekter = </t>
  </si>
  <si>
    <t xml:space="preserve">    SUM('FactBudget_2027'[BudsjettBelop]),</t>
  </si>
  <si>
    <t xml:space="preserve">    'DimAccountHierarchy'[Kontotype] = "Inntekt",</t>
  </si>
  <si>
    <t>// 2. Vedtatt Kostnad 2027 (282,00 MNOK)</t>
  </si>
  <si>
    <t xml:space="preserve">BUD2027 Kostnader = </t>
  </si>
  <si>
    <t xml:space="preserve">    'DimAccountHierarchy'[Kontotype] = "Kostnad",</t>
  </si>
  <si>
    <t>// 3. Planlagt Netto Driftsresultat 2027 (+6,07 MNOK)</t>
  </si>
  <si>
    <t>BUD2027 Netto Resultat = [BUD2027 Inntekter] - [BUD2027 Kostnader]</t>
  </si>
  <si>
    <t>// FOLDER 2: KDs FINANSIERINGSMODELL &amp; 2-ÅRS LAG (_02 KD Modell 2027)</t>
  </si>
  <si>
    <t>// 4. Avlagte SPE60 i 2025 (Grunnlag for 2027-tildeling)</t>
  </si>
  <si>
    <t xml:space="preserve">SPE60 Produksjon 2025 = </t>
  </si>
  <si>
    <t xml:space="preserve">    SUM('FactStudents_2027'[SPE60]),</t>
  </si>
  <si>
    <t xml:space="preserve">    'DimDate_2027'[Budsjettaar] = 2027</t>
  </si>
  <si>
    <t>// 5. Marginalsats Kategori 1 Resultatbevilgning 2027</t>
  </si>
  <si>
    <t xml:space="preserve">Kat 1 Resultatbevilgning 2027 = </t>
  </si>
  <si>
    <t xml:space="preserve">    SUM('FactStudents_2027'[KD_Marginal_Inntekt_2027]),</t>
  </si>
  <si>
    <t xml:space="preserve">    'FactStudents_2027'[KDKategori] = "Kategori 1"</t>
  </si>
  <si>
    <t>// FOLDER 3: YoY SAMMENLIGNING 2027 VS 2026 (_03 Temporal YoY)</t>
  </si>
  <si>
    <t>// 6. Inntektsvekst YoY (MNOK)</t>
  </si>
  <si>
    <t>Inntekt YoY Vekst MNOK = [BUD2027 Inntekter] - [HHU Total Revenue 2026]</t>
  </si>
  <si>
    <t>// 7. Inntektsvekst YoY %</t>
  </si>
  <si>
    <t xml:space="preserve">Inntekt YoY Vekst % = </t>
  </si>
  <si>
    <t>DIVIDE([Inntekt YoY Vekst MNOK], [HHU Total Revenue 2026], 0)</t>
  </si>
  <si>
    <t>// 8. Lønnsandel % i 2027 (Mål: &lt; 64,5%)</t>
  </si>
  <si>
    <t xml:space="preserve">Lønnsandel 2027 % = </t>
  </si>
  <si>
    <t>VAR Lonn2027 = CALCULATE(SUM('FactBudget_2027'[BudsjettBelop]), 'DimAccountHierarchy'[Nivaa1_Navn] = "Lønnskostnad")</t>
  </si>
  <si>
    <t>RETURN DIVIDE(Lonn2027, [BUD2027 Inntekter], 0)</t>
  </si>
  <si>
    <t>// FOLDER 4: RULLENDE PROGNOSE &amp; SLUTTAVVIK (_04 Prognose LE)</t>
  </si>
  <si>
    <t>// 9. Tertialprognose LE 2027 (Actual YTD + ETC)</t>
  </si>
  <si>
    <t>EAC 2027 Latest Estimate = [Actual YTD 2027] + [Forecast Q4 2027]</t>
  </si>
  <si>
    <t>// 10. Sluttavvik VAC 2027 (Vedtatt Budsjett - Prognose)</t>
  </si>
  <si>
    <t>VAC Sluttavvik 2027 = [BUD2027 Netto Resultat] - [EAC 2027 Latest Estimate]</t>
  </si>
  <si>
    <t>// 11. RAG Status Tekst 2027</t>
  </si>
  <si>
    <t xml:space="preserve">2027 RAG Status Text = </t>
  </si>
  <si>
    <t>VAR Resultat = [BUD2027 Netto Resultat]</t>
  </si>
  <si>
    <t>VAR LonnPct = [Lønnsandel 2027 %]</t>
  </si>
  <si>
    <t xml:space="preserve">    Resultat &gt;= 4.0 &amp;&amp; LonnPct &lt;= 0.645, "🟢 Sterk økonomi (Overskudd &amp; Lønn &lt; 64,5%)",</t>
  </si>
  <si>
    <t xml:space="preserve">    Resultat &gt;= 0.0, "🟡 Moderat margin (Overskudd &lt; 4,0 MNOK)",</t>
  </si>
  <si>
    <t xml:space="preserve">    "🔴 Underskudd / Høy lønnsandel"</t>
  </si>
  <si>
    <t>// 12. RAG Hex Fargekode (Field Value)</t>
  </si>
  <si>
    <t xml:space="preserve">2027 RAG Hex Color = </t>
  </si>
  <si>
    <t>IF([BUD2027 Netto Resultat] &gt;= 4.0, "#10b981", IF([BUD2027 Netto Resultat] &gt;= 0.0, "#f59e0b", "#ef4444"))</t>
  </si>
  <si>
    <t>// 13. Tufte Mye Bakgrunnsfyll (85% Opacity Tint)</t>
  </si>
  <si>
    <t xml:space="preserve">2027 RAG Soft Background = </t>
  </si>
  <si>
    <t>IF([BUD2027 Netto Resultat] &gt;= 4.0, "#ecfdf5", IF([BUD2027 Netto Resultat] &gt;= 0.0, "#fffbeb", "#fef2f2"))</t>
  </si>
  <si>
    <t>3. Forklaring til Prognosene og Budsjettmodelleringen for 2027</t>
  </si>
  <si>
    <t>Prognosemodellen for 2027 er bygget opp rundt fire sentrale økonomiske mekanismer:</t>
  </si>
  <si>
    <t xml:space="preserve">   [ MEKANISME 1: 2-ÅRS LAG ]      2025 SPE60-produksjon (+33 SPE) utløser +1,8 MNOK i Kategori 1 i 2027</t>
  </si>
  <si>
    <t xml:space="preserve">   [ MEKANISME 2: TDI OVERHEAD ]   Frikjøp i NFR/EU tilfører ~22 % overhead til felles drift</t>
  </si>
  <si>
    <t xml:space="preserve">   [ MEKANISME 3: VAKANSFAKTOR ]   3,5 % vakansreduksjon i UBW sikrer lønnsandel på 63,9 %</t>
  </si>
  <si>
    <t xml:space="preserve">   [ MEKANISME 4: NOTE 15 ]        +6,07 MNOK overskudd sluses mot godkjente investeringsplaner (F-05-20)</t>
  </si>
  <si>
    <t>Mekanisme 1: KDs Resultatmodell og 2-Års Etterslep (Lag)</t>
  </si>
  <si>
    <t>Mekanisme 2: TDI-modellen og Frikjøp fra Ekstern Forskning (BOA)</t>
  </si>
  <si>
    <t>Mekanisme 3: Bemanningsstyring, Rekrutteringstid og Vakansfaktor</t>
  </si>
  <si>
    <t>Mekanisme 4: Avsetningsreglementet og 5 %-regelen (F-05-20)</t>
  </si>
  <si>
    <r>
      <t xml:space="preserve">De nye CSV-filene er strukturert for direkte import i Power BI Desktop (semi-kolon </t>
    </r>
    <r>
      <rPr>
        <sz val="11"/>
        <color rgb="FF303030"/>
        <rFont val="Google Sans Code"/>
        <family val="3"/>
      </rPr>
      <t>;</t>
    </r>
    <r>
      <rPr>
        <sz val="11"/>
        <color rgb="FF303030"/>
        <rFont val="Arial"/>
        <family val="2"/>
      </rPr>
      <t xml:space="preserve"> skilletegn, UTF-8 med BOM):</t>
    </r>
  </si>
  <si>
    <r>
      <t>FactBudget_2027.csv</t>
    </r>
    <r>
      <rPr>
        <sz val="11"/>
        <color rgb="FF303030"/>
        <rFont val="Arial"/>
        <family val="2"/>
      </rPr>
      <t xml:space="preserve">: Periodisert årsbudsjett for alle 12 måneder i 2027. Reflekterer HHUs samlede ramme på </t>
    </r>
    <r>
      <rPr>
        <b/>
        <sz val="11"/>
        <color rgb="FF303030"/>
        <rFont val="Arial"/>
        <family val="2"/>
      </rPr>
      <t>288,07 MNOK i inntekter</t>
    </r>
    <r>
      <rPr>
        <sz val="11"/>
        <color rgb="FF303030"/>
        <rFont val="Arial"/>
        <family val="2"/>
      </rPr>
      <t xml:space="preserve"> og </t>
    </r>
    <r>
      <rPr>
        <b/>
        <sz val="11"/>
        <color rgb="FF303030"/>
        <rFont val="Arial"/>
        <family val="2"/>
      </rPr>
      <t>282,00 MNOK i kostnader</t>
    </r>
    <r>
      <rPr>
        <sz val="11"/>
        <color rgb="FF303030"/>
        <rFont val="Arial"/>
        <family val="2"/>
      </rPr>
      <t xml:space="preserve">, som gir et planlagt driftsüberskudd på </t>
    </r>
    <r>
      <rPr>
        <b/>
        <sz val="11"/>
        <color rgb="FF303030"/>
        <rFont val="Arial"/>
        <family val="2"/>
      </rPr>
      <t>+6,07 MNOK</t>
    </r>
    <r>
      <rPr>
        <sz val="11"/>
        <color rgb="FF303030"/>
        <rFont val="Arial"/>
        <family val="2"/>
      </rPr>
      <t xml:space="preserve"> (baseline BAC </t>
    </r>
    <r>
      <rPr>
        <b/>
        <sz val="11"/>
        <color rgb="FF303030"/>
        <rFont val="Arial"/>
        <family val="2"/>
      </rPr>
      <t>+4,80 MNOK</t>
    </r>
    <r>
      <rPr>
        <sz val="11"/>
        <color rgb="FF303030"/>
        <rFont val="Arial"/>
        <family val="2"/>
      </rPr>
      <t>), fordelt på kontoplan DFØ R-102 og HHUs 4 budsjettansvarsområder.</t>
    </r>
  </si>
  <si>
    <r>
      <t>FactFTE_2027.csv</t>
    </r>
    <r>
      <rPr>
        <sz val="11"/>
        <color rgb="FF303030"/>
        <rFont val="Arial"/>
        <family val="2"/>
      </rPr>
      <t xml:space="preserve">: Bemannings- og årsverksplan for 2027. HHU disponerer </t>
    </r>
    <r>
      <rPr>
        <b/>
        <sz val="11"/>
        <color rgb="FF303030"/>
        <rFont val="Arial"/>
        <family val="2"/>
      </rPr>
      <t>230 årsverk</t>
    </r>
    <r>
      <rPr>
        <sz val="11"/>
        <color rgb="FF303030"/>
        <rFont val="Arial"/>
        <family val="2"/>
      </rPr>
      <t xml:space="preserve"> (</t>
    </r>
    <r>
      <rPr>
        <b/>
        <sz val="11"/>
        <color rgb="FF303030"/>
        <rFont val="Arial"/>
        <family val="2"/>
      </rPr>
      <t>155 UF</t>
    </r>
    <r>
      <rPr>
        <sz val="11"/>
        <color rgb="FF303030"/>
        <rFont val="Arial"/>
        <family val="2"/>
      </rPr>
      <t xml:space="preserve"> og </t>
    </r>
    <r>
      <rPr>
        <b/>
        <sz val="11"/>
        <color rgb="FF303030"/>
        <rFont val="Arial"/>
        <family val="2"/>
      </rPr>
      <t>75 TA</t>
    </r>
    <r>
      <rPr>
        <sz val="11"/>
        <color rgb="FF303030"/>
        <rFont val="Arial"/>
        <family val="2"/>
      </rPr>
      <t xml:space="preserve"> fordelt på 252 ansatte), med en innlagt sentral </t>
    </r>
    <r>
      <rPr>
        <b/>
        <sz val="11"/>
        <color rgb="FF303030"/>
        <rFont val="Arial"/>
        <family val="2"/>
      </rPr>
      <t>3,5 % vakansfaktor</t>
    </r>
    <r>
      <rPr>
        <sz val="11"/>
        <color rgb="FF303030"/>
        <rFont val="Arial"/>
        <family val="2"/>
      </rPr>
      <t xml:space="preserve"> i UBW Planlegger for å ta høyde for naturlig rekrutteringstid (3–6 måneder).</t>
    </r>
  </si>
  <si>
    <r>
      <t>FactStudents_2027.csv</t>
    </r>
    <r>
      <rPr>
        <sz val="11"/>
        <color rgb="FF303030"/>
        <rFont val="Arial"/>
        <family val="2"/>
      </rPr>
      <t xml:space="preserve">: Utdannings- og studiepoengmodell for 2027. Dokumenterer </t>
    </r>
    <r>
      <rPr>
        <b/>
        <sz val="11"/>
        <color rgb="FF303030"/>
        <rFont val="Arial"/>
        <family val="2"/>
      </rPr>
      <t>3 450 registrerte studenter</t>
    </r>
    <r>
      <rPr>
        <sz val="11"/>
        <color rgb="FF303030"/>
        <rFont val="Arial"/>
        <family val="2"/>
      </rPr>
      <t xml:space="preserve"> og </t>
    </r>
    <r>
      <rPr>
        <b/>
        <sz val="11"/>
        <color rgb="FF303030"/>
        <rFont val="Arial"/>
        <family val="2"/>
      </rPr>
      <t>3 153 SPE60</t>
    </r>
    <r>
      <rPr>
        <sz val="11"/>
        <color rgb="FF303030"/>
        <rFont val="Arial"/>
        <family val="2"/>
      </rPr>
      <t xml:space="preserve"> (hvor </t>
    </r>
    <r>
      <rPr>
        <b/>
        <sz val="11"/>
        <color rgb="FF303030"/>
        <rFont val="Arial"/>
        <family val="2"/>
      </rPr>
      <t>33 SPE60</t>
    </r>
    <r>
      <rPr>
        <sz val="11"/>
        <color rgb="FF303030"/>
        <rFont val="Arial"/>
        <family val="2"/>
      </rPr>
      <t xml:space="preserve"> utgjør resultatvekst fra 2025-produksjonen utbetalt i Kategori 1 @ </t>
    </r>
    <r>
      <rPr>
        <b/>
        <sz val="11"/>
        <color rgb="FF303030"/>
        <rFont val="Arial"/>
        <family val="2"/>
      </rPr>
      <t>54 550 kr/SPE60</t>
    </r>
    <r>
      <rPr>
        <sz val="11"/>
        <color rgb="FF303030"/>
        <rFont val="Arial"/>
        <family val="2"/>
      </rPr>
      <t>).</t>
    </r>
  </si>
  <si>
    <r>
      <t>FactAction_2027.csv</t>
    </r>
    <r>
      <rPr>
        <sz val="11"/>
        <color rgb="FF303030"/>
        <rFont val="Arial"/>
        <family val="2"/>
      </rPr>
      <t>: Omstillingstiltak T001_2027–T004_2027 (frys i administrativ rekruttering, faglig reallokering til Siviløkonom, lansering av EVU Master i HR, samt økt TDI research buy-out).</t>
    </r>
  </si>
  <si>
    <r>
      <t>DimDate_2027.csv</t>
    </r>
    <r>
      <rPr>
        <sz val="11"/>
        <color rgb="FF303030"/>
        <rFont val="Arial"/>
        <family val="2"/>
      </rPr>
      <t xml:space="preserve">, </t>
    </r>
    <r>
      <rPr>
        <b/>
        <sz val="11"/>
        <color rgb="FF303030"/>
        <rFont val="Courier New"/>
        <family val="3"/>
      </rPr>
      <t>DimOrganization.csv</t>
    </r>
    <r>
      <rPr>
        <sz val="11"/>
        <color rgb="FF303030"/>
        <rFont val="Arial"/>
        <family val="2"/>
      </rPr>
      <t xml:space="preserve">, </t>
    </r>
    <r>
      <rPr>
        <b/>
        <sz val="11"/>
        <color rgb="FF303030"/>
        <rFont val="Courier New"/>
        <family val="3"/>
      </rPr>
      <t>DimAccountHierarchy.csv</t>
    </r>
    <r>
      <rPr>
        <sz val="11"/>
        <color rgb="FF303030"/>
        <rFont val="Arial"/>
        <family val="2"/>
      </rPr>
      <t xml:space="preserve">, </t>
    </r>
    <r>
      <rPr>
        <b/>
        <sz val="11"/>
        <color rgb="FF303030"/>
        <rFont val="Courier New"/>
        <family val="3"/>
      </rPr>
      <t>DimForecastVersion.csv</t>
    </r>
    <r>
      <rPr>
        <sz val="11"/>
        <color rgb="FF303030"/>
        <rFont val="Arial"/>
        <family val="2"/>
      </rPr>
      <t>: Dimensjonstabeller for 2027.</t>
    </r>
  </si>
  <si>
    <r>
      <t>Forklaring:</t>
    </r>
    <r>
      <rPr>
        <sz val="11"/>
        <color rgb="FF303030"/>
        <rFont val="Arial"/>
        <family val="2"/>
      </rPr>
      <t xml:space="preserve"> Kunnskapsdepartementets finansieringsmodell utbetaler resultatmessig uttelling for studiepoeng med </t>
    </r>
    <r>
      <rPr>
        <b/>
        <sz val="11"/>
        <color rgb="FF303030"/>
        <rFont val="Arial"/>
        <family val="2"/>
      </rPr>
      <t>to års etterslep</t>
    </r>
    <r>
      <rPr>
        <sz val="11"/>
        <color rgb="FF303030"/>
        <rFont val="Arial"/>
        <family val="2"/>
      </rPr>
      <t xml:space="preserve">. Studiepoeng produsert i regnskapsåret </t>
    </r>
    <r>
      <rPr>
        <b/>
        <sz val="11"/>
        <color rgb="FF303030"/>
        <rFont val="Arial"/>
        <family val="2"/>
      </rPr>
      <t>2025</t>
    </r>
    <r>
      <rPr>
        <sz val="11"/>
        <color rgb="FF303030"/>
        <rFont val="Arial"/>
        <family val="2"/>
      </rPr>
      <t xml:space="preserve"> utbetales på statsbudsjettet for </t>
    </r>
    <r>
      <rPr>
        <b/>
        <sz val="11"/>
        <color rgb="FF303030"/>
        <rFont val="Arial"/>
        <family val="2"/>
      </rPr>
      <t>2027</t>
    </r>
    <r>
      <rPr>
        <sz val="11"/>
        <color rgb="FF303030"/>
        <rFont val="Arial"/>
        <family val="2"/>
      </rPr>
      <t>.</t>
    </r>
  </si>
  <si>
    <r>
      <t>Tallstørrelse:</t>
    </r>
    <r>
      <rPr>
        <sz val="11"/>
        <color rgb="FF303030"/>
        <rFont val="Arial"/>
        <family val="2"/>
      </rPr>
      <t xml:space="preserve"> HHUs økning på </t>
    </r>
    <r>
      <rPr>
        <b/>
        <sz val="11"/>
        <color rgb="FF303030"/>
        <rFont val="Arial"/>
        <family val="2"/>
      </rPr>
      <t>+33 SPE60</t>
    </r>
    <r>
      <rPr>
        <sz val="11"/>
        <color rgb="FF303030"/>
        <rFont val="Arial"/>
        <family val="2"/>
      </rPr>
      <t xml:space="preserve"> i 2025 utløser </t>
    </r>
    <r>
      <rPr>
        <b/>
        <sz val="11"/>
        <color rgb="FF303030"/>
        <rFont val="Arial"/>
        <family val="2"/>
      </rPr>
      <t>+1 800 150 kr</t>
    </r>
    <r>
      <rPr>
        <sz val="11"/>
        <color rgb="FF303030"/>
        <rFont val="Arial"/>
        <family val="2"/>
      </rPr>
      <t xml:space="preserve"> i økt resultatbevilgning i 2027, beregnet etter </t>
    </r>
    <r>
      <rPr>
        <b/>
        <sz val="11"/>
        <color rgb="FF303030"/>
        <rFont val="Arial"/>
        <family val="2"/>
      </rPr>
      <t>Kategori 1-satsen (54 550 kr/SPE60)</t>
    </r>
    <r>
      <rPr>
        <sz val="11"/>
        <color rgb="FF303030"/>
        <rFont val="Arial"/>
        <family val="2"/>
      </rPr>
      <t>.</t>
    </r>
  </si>
  <si>
    <r>
      <t>Styringssignal:</t>
    </r>
    <r>
      <rPr>
        <sz val="11"/>
        <color rgb="FF303030"/>
        <rFont val="Arial"/>
        <family val="2"/>
      </rPr>
      <t xml:space="preserve"> Under </t>
    </r>
    <r>
      <rPr>
        <b/>
        <sz val="11"/>
        <color rgb="FF303030"/>
        <rFont val="Arial"/>
        <family val="2"/>
      </rPr>
      <t>nettobudsjetteringsprinsippet</t>
    </r>
    <r>
      <rPr>
        <sz val="11"/>
        <color rgb="FF303030"/>
        <rFont val="Arial"/>
        <family val="2"/>
      </rPr>
      <t xml:space="preserve"> ligger eksisterende studievolum beskyttet i basisbevilgningen. Kategorisatsen gjelder kun for marginale volumendringer.</t>
    </r>
  </si>
  <si>
    <r>
      <t>Forklaring:</t>
    </r>
    <r>
      <rPr>
        <sz val="11"/>
        <color rgb="FF303030"/>
        <rFont val="Arial"/>
        <family val="2"/>
      </rPr>
      <t xml:space="preserve"> Når HHU henter inn eksterne NFR- og EU-prosjekter, benyttes </t>
    </r>
    <r>
      <rPr>
        <b/>
        <sz val="11"/>
        <color rgb="FF303030"/>
        <rFont val="Arial"/>
        <family val="2"/>
      </rPr>
      <t>TDI-modellen</t>
    </r>
    <r>
      <rPr>
        <sz val="11"/>
        <color rgb="FF303030"/>
        <rFont val="Arial"/>
        <family val="2"/>
      </rPr>
      <t xml:space="preserve"> for å fakturere både direkte lønnskostnader og indirekte felleskostnader (</t>
    </r>
    <r>
      <rPr>
        <b/>
        <sz val="11"/>
        <color rgb="FF303030"/>
        <rFont val="Arial"/>
        <family val="2"/>
      </rPr>
      <t>overhead på ca. 22 %</t>
    </r>
    <r>
      <rPr>
        <sz val="11"/>
        <color rgb="FF303030"/>
        <rFont val="Arial"/>
        <family val="2"/>
      </rPr>
      <t>).</t>
    </r>
  </si>
  <si>
    <r>
      <t>Tallstørrelse:</t>
    </r>
    <r>
      <rPr>
        <sz val="11"/>
        <color rgb="FF303030"/>
        <rFont val="Arial"/>
        <family val="2"/>
      </rPr>
      <t xml:space="preserve"> Et økt frikjøp på </t>
    </r>
    <r>
      <rPr>
        <b/>
        <sz val="11"/>
        <color rgb="FF303030"/>
        <rFont val="Arial"/>
        <family val="2"/>
      </rPr>
      <t>3,0 vitenskapelige årsverk</t>
    </r>
    <r>
      <rPr>
        <sz val="11"/>
        <color rgb="FF303030"/>
        <rFont val="Arial"/>
        <family val="2"/>
      </rPr>
      <t xml:space="preserve"> i 2027 overfører ordinære lønnskostnader fra basisbudsjettet til eksterne prosjektmidler, samtidig som fakultetet tilføres </t>
    </r>
    <r>
      <rPr>
        <b/>
        <sz val="11"/>
        <color rgb="FF303030"/>
        <rFont val="Arial"/>
        <family val="2"/>
      </rPr>
      <t>1,8 MNOK i frikjøpsinntekt (T004_2027)</t>
    </r>
    <r>
      <rPr>
        <sz val="11"/>
        <color rgb="FF303030"/>
        <rFont val="Arial"/>
        <family val="2"/>
      </rPr>
      <t xml:space="preserve"> som dekker faste husleie-, IT- og administrasjonsutgifter.</t>
    </r>
  </si>
  <si>
    <r>
      <t>Forklaring:</t>
    </r>
    <r>
      <rPr>
        <sz val="11"/>
        <color rgb="FF303030"/>
        <rFont val="Arial"/>
        <family val="2"/>
      </rPr>
      <t xml:space="preserve"> Personalkostnadene utgjør </t>
    </r>
    <r>
      <rPr>
        <b/>
        <sz val="11"/>
        <color rgb="FF303030"/>
        <rFont val="Arial"/>
        <family val="2"/>
      </rPr>
      <t>184,0 MNOK</t>
    </r>
    <r>
      <rPr>
        <sz val="11"/>
        <color rgb="FF303030"/>
        <rFont val="Arial"/>
        <family val="2"/>
      </rPr>
      <t xml:space="preserve"> (</t>
    </r>
    <r>
      <rPr>
        <b/>
        <sz val="11"/>
        <color rgb="FF303030"/>
        <rFont val="Arial"/>
        <family val="2"/>
      </rPr>
      <t>63,9 %</t>
    </r>
    <r>
      <rPr>
        <sz val="11"/>
        <color rgb="FF303030"/>
        <rFont val="Arial"/>
        <family val="2"/>
      </rPr>
      <t xml:space="preserve"> av inntektene) i 2027. For å forhindre overbudsjettering av fast lønn, legges det inn en </t>
    </r>
    <r>
      <rPr>
        <b/>
        <sz val="11"/>
        <color rgb="FF303030"/>
        <rFont val="Arial"/>
        <family val="2"/>
      </rPr>
      <t>3,5 % vakansfaktor</t>
    </r>
    <r>
      <rPr>
        <sz val="11"/>
        <color rgb="FF303030"/>
        <rFont val="Arial"/>
        <family val="2"/>
      </rPr>
      <t xml:space="preserve"> og en forventet rekrutteringstid på </t>
    </r>
    <r>
      <rPr>
        <b/>
        <sz val="11"/>
        <color rgb="FF303030"/>
        <rFont val="Arial"/>
        <family val="2"/>
      </rPr>
      <t>3–6 måneder</t>
    </r>
    <r>
      <rPr>
        <sz val="11"/>
        <color rgb="FF303030"/>
        <rFont val="Arial"/>
        <family val="2"/>
      </rPr>
      <t xml:space="preserve"> ved nyansettelser.</t>
    </r>
  </si>
  <si>
    <r>
      <t>Tallstørrelse:</t>
    </r>
    <r>
      <rPr>
        <sz val="11"/>
        <color rgb="FF303030"/>
        <rFont val="Arial"/>
        <family val="2"/>
      </rPr>
      <t xml:space="preserve"> Tiltak </t>
    </r>
    <r>
      <rPr>
        <b/>
        <sz val="11"/>
        <color rgb="FF303030"/>
        <rFont val="Arial"/>
        <family val="2"/>
      </rPr>
      <t>T001_2027</t>
    </r>
    <r>
      <rPr>
        <sz val="11"/>
        <color rgb="FF303030"/>
        <rFont val="Arial"/>
        <family val="2"/>
      </rPr>
      <t xml:space="preserve"> (frys i administrativ rekruttering) og vakansfaktoren reduserer utbetalt fast lønn med </t>
    </r>
    <r>
      <rPr>
        <b/>
        <sz val="11"/>
        <color rgb="FF303030"/>
        <rFont val="Arial"/>
        <family val="2"/>
      </rPr>
      <t>1,8 MNOK</t>
    </r>
    <r>
      <rPr>
        <sz val="11"/>
        <color rgb="FF303030"/>
        <rFont val="Arial"/>
        <family val="2"/>
      </rPr>
      <t>, slik at lønnsandelen holdes trygt under sektornormen på 65,0 %.</t>
    </r>
  </si>
  <si>
    <r>
      <t>Forklaring:</t>
    </r>
    <r>
      <rPr>
        <sz val="11"/>
        <color rgb="FF303030"/>
        <rFont val="Arial"/>
        <family val="2"/>
      </rPr>
      <t xml:space="preserve"> Planlagt driftsüberskudd på </t>
    </r>
    <r>
      <rPr>
        <b/>
        <sz val="11"/>
        <color rgb="FF303030"/>
        <rFont val="Arial"/>
        <family val="2"/>
      </rPr>
      <t>+6,07 MNOK</t>
    </r>
    <r>
      <rPr>
        <sz val="11"/>
        <color rgb="FF303030"/>
        <rFont val="Arial"/>
        <family val="2"/>
      </rPr>
      <t xml:space="preserve"> vil tilføres HHUs avsetninger (</t>
    </r>
    <r>
      <rPr>
        <b/>
        <sz val="11"/>
        <color rgb="FF303030"/>
        <rFont val="Arial"/>
        <family val="2"/>
      </rPr>
      <t>Note 15 / Formålskapital</t>
    </r>
    <r>
      <rPr>
        <sz val="11"/>
        <color rgb="FF303030"/>
        <rFont val="Arial"/>
        <family val="2"/>
      </rPr>
      <t>).</t>
    </r>
  </si>
  <si>
    <r>
      <t>Tallstørrelse:</t>
    </r>
    <r>
      <rPr>
        <sz val="11"/>
        <color rgb="FF303030"/>
        <rFont val="Arial"/>
        <family val="2"/>
      </rPr>
      <t xml:space="preserve"> I henhold til </t>
    </r>
    <r>
      <rPr>
        <b/>
        <sz val="11"/>
        <color rgb="FF303030"/>
        <rFont val="Arial"/>
        <family val="2"/>
      </rPr>
      <t>Rundskriv F-05-20</t>
    </r>
    <r>
      <rPr>
        <sz val="11"/>
        <color rgb="FF303030"/>
        <rFont val="Arial"/>
        <family val="2"/>
      </rPr>
      <t xml:space="preserve"> må ubrukte avsetninger utover </t>
    </r>
    <r>
      <rPr>
        <b/>
        <sz val="11"/>
        <color rgb="FF303030"/>
        <rFont val="Arial"/>
        <family val="2"/>
      </rPr>
      <t>5 % av årets bevilgning</t>
    </r>
    <r>
      <rPr>
        <sz val="11"/>
        <color rgb="FF303030"/>
        <rFont val="Arial"/>
        <family val="2"/>
      </rPr>
      <t xml:space="preserve"> være formelt bundet til Universitetsstyrets godkjente investeringsplaner (IT-fornyelse, laboratorier, AACSB-revisjon) for å forhindre statlig </t>
    </r>
  </si>
  <si>
    <t>Konto</t>
  </si>
  <si>
    <t>Kontonavn</t>
  </si>
  <si>
    <t>Nivaa1_Navn</t>
  </si>
  <si>
    <t>Kontotype</t>
  </si>
  <si>
    <t>SRS_regnskapslinje</t>
  </si>
  <si>
    <t>Inntekt fra bevilgninger (Basis)</t>
  </si>
  <si>
    <t>Salgs- og driftsinntekt</t>
  </si>
  <si>
    <t>Inntekt</t>
  </si>
  <si>
    <t>Inntekt fra bevilgninger</t>
  </si>
  <si>
    <t>Tilskudd fra NFR (Bidrag)</t>
  </si>
  <si>
    <t>Tilskudd og overføringer</t>
  </si>
  <si>
    <t>Tilskudd fra EU (Bidrag)</t>
  </si>
  <si>
    <t>Oppdrags- og EVU-inntekter</t>
  </si>
  <si>
    <t>Salgsinntekt</t>
  </si>
  <si>
    <t>Lønn fast ansatte</t>
  </si>
  <si>
    <t>Lønnskostnad</t>
  </si>
  <si>
    <t>Kostnad</t>
  </si>
  <si>
    <t>Lønnskostnader</t>
  </si>
  <si>
    <t>Overtid og ekstraundervisning</t>
  </si>
  <si>
    <t>Lønn midlertidig ansatte &amp; timelærere</t>
  </si>
  <si>
    <t>Feriepenger</t>
  </si>
  <si>
    <t>Arbeidsgiveravgift</t>
  </si>
  <si>
    <t>Pensjonspremie til SPK</t>
  </si>
  <si>
    <t>Refusjon av sykepenger (NAV)</t>
  </si>
  <si>
    <t>Leie lokaler &amp; Arbeidsplass-sats</t>
  </si>
  <si>
    <t>Annen driftskostnad</t>
  </si>
  <si>
    <t>Andre driftskostnader</t>
  </si>
  <si>
    <t>IKT-utstyr og programvarelisenser</t>
  </si>
  <si>
    <t>Konsulenttjenester &amp; AACSB revisjon</t>
  </si>
  <si>
    <t>Reisekostnader og konferanser</t>
  </si>
  <si>
    <t>Avsetning for forventet tap på oppdrag (SRS 9)</t>
  </si>
  <si>
    <t>DatoNokkel</t>
  </si>
  <si>
    <t>Aar</t>
  </si>
  <si>
    <t>MaanedNummer</t>
  </si>
  <si>
    <t>MaanedNavn</t>
  </si>
  <si>
    <t>MaanedNavnKort</t>
  </si>
  <si>
    <t>Kvartal</t>
  </si>
  <si>
    <t>ErActualYTD</t>
  </si>
  <si>
    <t>PeriodeBeskrivelse</t>
  </si>
  <si>
    <t>Januar</t>
  </si>
  <si>
    <t>Jan</t>
  </si>
  <si>
    <t>Q1</t>
  </si>
  <si>
    <t>Actual YTD (M01-M09)</t>
  </si>
  <si>
    <t>Februar</t>
  </si>
  <si>
    <t>Feb</t>
  </si>
  <si>
    <t>Mars</t>
  </si>
  <si>
    <t>Mar</t>
  </si>
  <si>
    <t>April</t>
  </si>
  <si>
    <t>Apr</t>
  </si>
  <si>
    <t>Q2</t>
  </si>
  <si>
    <t>Mai</t>
  </si>
  <si>
    <t>Juni</t>
  </si>
  <si>
    <t>Jun</t>
  </si>
  <si>
    <t>Juli</t>
  </si>
  <si>
    <t>Jul</t>
  </si>
  <si>
    <t>Q3</t>
  </si>
  <si>
    <t>August</t>
  </si>
  <si>
    <t>Aug</t>
  </si>
  <si>
    <t>September</t>
  </si>
  <si>
    <t>Sep</t>
  </si>
  <si>
    <t>Oktober</t>
  </si>
  <si>
    <t>Okt</t>
  </si>
  <si>
    <t>Q4</t>
  </si>
  <si>
    <t>Forecast Q4 (M10-M12)</t>
  </si>
  <si>
    <t>November</t>
  </si>
  <si>
    <t>Nov</t>
  </si>
  <si>
    <t>Desember</t>
  </si>
  <si>
    <t>Des</t>
  </si>
  <si>
    <t>Dato</t>
  </si>
  <si>
    <t>Budsjettaar</t>
  </si>
  <si>
    <t>January</t>
  </si>
  <si>
    <t>February</t>
  </si>
  <si>
    <t>March</t>
  </si>
  <si>
    <t>May</t>
  </si>
  <si>
    <t>June</t>
  </si>
  <si>
    <t>July</t>
  </si>
  <si>
    <t>October</t>
  </si>
  <si>
    <t>Oct</t>
  </si>
  <si>
    <t>December</t>
  </si>
  <si>
    <t>Dec</t>
  </si>
  <si>
    <t>VersjonKode</t>
  </si>
  <si>
    <t>VersjonNavn</t>
  </si>
  <si>
    <t>Status</t>
  </si>
  <si>
    <t>SisteOppdatert</t>
  </si>
  <si>
    <t>BUD2026</t>
  </si>
  <si>
    <t>Vedtatt Årsbudsjett 2026</t>
  </si>
  <si>
    <t>Låst Baseline</t>
  </si>
  <si>
    <t>ACTUAL_YTD_SEP2026</t>
  </si>
  <si>
    <t>Regnskap YTD 30.09.2026</t>
  </si>
  <si>
    <t>Bokført (Actual)</t>
  </si>
  <si>
    <t>FC_Q4_2026</t>
  </si>
  <si>
    <t>Prognose Q4 2026 (ETC)</t>
  </si>
  <si>
    <t>Rullende Estimering</t>
  </si>
  <si>
    <t>LE_2026</t>
  </si>
  <si>
    <t>Helårsprognose Latest Estimate (EAC)</t>
  </si>
  <si>
    <t>Gjeldende Sluttprognose</t>
  </si>
  <si>
    <t>OrgKode</t>
  </si>
  <si>
    <t>Enhetsnavn</t>
  </si>
  <si>
    <t>Nivaa1</t>
  </si>
  <si>
    <t>Nivaa2</t>
  </si>
  <si>
    <t>Nivaa3</t>
  </si>
  <si>
    <t>Budsjettansvarlig</t>
  </si>
  <si>
    <t>LederTittel</t>
  </si>
  <si>
    <t>Virksomhetstype</t>
  </si>
  <si>
    <t>UiA</t>
  </si>
  <si>
    <t>Handelshøyskolen ved UiA (HHU)</t>
  </si>
  <si>
    <t>Fakultetsadministrasjon</t>
  </si>
  <si>
    <t>Fakultetsdirektør Kristian Jørgensen</t>
  </si>
  <si>
    <t>Fakultetsdirektør</t>
  </si>
  <si>
    <t>Drift</t>
  </si>
  <si>
    <t>Instituttleder Ledelse</t>
  </si>
  <si>
    <t>Instituttleder</t>
  </si>
  <si>
    <t>Drift/BOA</t>
  </si>
  <si>
    <t>Instituttleder Ole Dag Rike</t>
  </si>
  <si>
    <t>Instituttleder Økonomi</t>
  </si>
  <si>
    <t>FraTabell</t>
  </si>
  <si>
    <t>FraKolonne</t>
  </si>
  <si>
    <t>TilTabell</t>
  </si>
  <si>
    <t>TilKolonne</t>
  </si>
  <si>
    <t>Kardinalitet</t>
  </si>
  <si>
    <t>Kryssfiltrering</t>
  </si>
  <si>
    <t>FactBudget</t>
  </si>
  <si>
    <t>DimOrganization</t>
  </si>
  <si>
    <t>*:1</t>
  </si>
  <si>
    <t>Single</t>
  </si>
  <si>
    <t>DimAccountHierarchy</t>
  </si>
  <si>
    <t>DimDate</t>
  </si>
  <si>
    <t>FactGL</t>
  </si>
  <si>
    <t>FactFTE</t>
  </si>
  <si>
    <t>FactStudents</t>
  </si>
  <si>
    <t>FactEVM</t>
  </si>
  <si>
    <t>FactAction</t>
  </si>
  <si>
    <t>TiltakID</t>
  </si>
  <si>
    <t>Budsjettansvarsområde</t>
  </si>
  <si>
    <t>AnsvarligLeder</t>
  </si>
  <si>
    <t>TiltakNavn</t>
  </si>
  <si>
    <t>ForventetInnsparingNOK</t>
  </si>
  <si>
    <t>RealisertInnsparingNOK</t>
  </si>
  <si>
    <t>FristDato</t>
  </si>
  <si>
    <t>T001_HHU</t>
  </si>
  <si>
    <t>Frys i ikke-kritisk administrativ rekruttering (TA)</t>
  </si>
  <si>
    <t>Gjennomført</t>
  </si>
  <si>
    <t>T002_HHU</t>
  </si>
  <si>
    <t>Inst. Økonomi</t>
  </si>
  <si>
    <t>Økt overføring av vitenskapelig tid til BOA frikjøp (NFR/EU)</t>
  </si>
  <si>
    <t>Pågår</t>
  </si>
  <si>
    <t>T003_HHU</t>
  </si>
  <si>
    <t>Inst. Ledelse &amp; Innovasjon</t>
  </si>
  <si>
    <t>Lønnsomhetskorrigering og prosjektkontroll på EVU001 (SRS 9)</t>
  </si>
  <si>
    <t>T004_HHU</t>
  </si>
  <si>
    <t>Inst. Rettsvitenskap</t>
  </si>
  <si>
    <t>Midlertidig vakanshold av professorhjemmel i Q2-Q3</t>
  </si>
  <si>
    <t>Tiltaksnavn</t>
  </si>
  <si>
    <t>Ansvarlig</t>
  </si>
  <si>
    <t>ForventetEffekt</t>
  </si>
  <si>
    <t>RealisertEffekt</t>
  </si>
  <si>
    <t>Beskrivelse</t>
  </si>
  <si>
    <t>T001_2027</t>
  </si>
  <si>
    <t>Frys i administrativ rekruttering (TA-årsverk)</t>
  </si>
  <si>
    <t>Kristian Jørgensen</t>
  </si>
  <si>
    <t>🟢 Gjennomført</t>
  </si>
  <si>
    <t>Holde 2 TA-stillinger ubesatt i Q1-Q2 2027 for å dempe lønnsvekst</t>
  </si>
  <si>
    <t>T002_2027</t>
  </si>
  <si>
    <t>Strategisk reallokering av faglige UF-hjemler</t>
  </si>
  <si>
    <t>🟢 I rute</t>
  </si>
  <si>
    <t>Overføre 2,0 UF-årsverk fra lavere etterspurt emneportefølje til Siviløkonom M-SIVØK</t>
  </si>
  <si>
    <t>T003_2027</t>
  </si>
  <si>
    <t>Ekspansjon i oppdragsutdanning (EVU Master HR)</t>
  </si>
  <si>
    <t>Inntekt (SRS 9)</t>
  </si>
  <si>
    <t>Lansering av ny modulbasert ledelsesutdanning mot Sørlandets næringsliv</t>
  </si>
  <si>
    <t>T004_2027</t>
  </si>
  <si>
    <t>TDI Research Buy-out vekst (NFR/EU Frikjøp)</t>
  </si>
  <si>
    <t>Inntekt (SRS 10)</t>
  </si>
  <si>
    <t>Forskningsleder HHU</t>
  </si>
  <si>
    <t>Øke eksternt frikjøp med 3,0 UF-årsverk for å sikre ~22% TDI overhead-refusjon</t>
  </si>
  <si>
    <t>BAC_BudgetAtCompletion</t>
  </si>
  <si>
    <t>PlannedValue_PV</t>
  </si>
  <si>
    <t>EarnedValue_EV</t>
  </si>
  <si>
    <t>ActualCost_AC</t>
  </si>
  <si>
    <t>EstimateAtCompletion_EAC</t>
  </si>
  <si>
    <t>EstimateToComplete_ETC</t>
  </si>
  <si>
    <t>VarianceAtCompletion_VAC</t>
  </si>
  <si>
    <t>CostPerformanceIndex_CPI</t>
  </si>
  <si>
    <t>SchedulePerformanceIndex_SPI</t>
  </si>
  <si>
    <t>BudsjettansvarligLeder</t>
  </si>
  <si>
    <t>Aarsverk_UF</t>
  </si>
  <si>
    <t>Aarsverk_TA</t>
  </si>
  <si>
    <t>Aarsverk_Totalt</t>
  </si>
  <si>
    <t>Budsjettert_Aarsverk</t>
  </si>
  <si>
    <t>Vakans_Aarsverk</t>
  </si>
  <si>
    <t>Antall_Ansatte</t>
  </si>
  <si>
    <t>Vakansgrad_Pct</t>
  </si>
  <si>
    <t>FTENokkel</t>
  </si>
  <si>
    <t>Maanedlig_Lonnskostnad</t>
  </si>
  <si>
    <t>Lennsandel_Pct</t>
  </si>
  <si>
    <t>FTE2027_20270131_K10000</t>
  </si>
  <si>
    <t>FTE2027_20270131_K11000</t>
  </si>
  <si>
    <t>FTE2027_20270131_K12000</t>
  </si>
  <si>
    <t>FTE2027_20270131_K13000</t>
  </si>
  <si>
    <t>FTE2027_20270228_K10000</t>
  </si>
  <si>
    <t>FTE2027_20270228_K11000</t>
  </si>
  <si>
    <t>FTE2027_20270228_K12000</t>
  </si>
  <si>
    <t>FTE2027_20270228_K13000</t>
  </si>
  <si>
    <t>FTE2027_20270331_K10000</t>
  </si>
  <si>
    <t>FTE2027_20270331_K11000</t>
  </si>
  <si>
    <t>FTE2027_20270331_K12000</t>
  </si>
  <si>
    <t>FTE2027_20270331_K13000</t>
  </si>
  <si>
    <t>FTE2027_20270430_K10000</t>
  </si>
  <si>
    <t>FTE2027_20270430_K11000</t>
  </si>
  <si>
    <t>FTE2027_20270430_K12000</t>
  </si>
  <si>
    <t>FTE2027_20270430_K13000</t>
  </si>
  <si>
    <t>FTE2027_20270531_K10000</t>
  </si>
  <si>
    <t>FTE2027_20270531_K11000</t>
  </si>
  <si>
    <t>FTE2027_20270531_K12000</t>
  </si>
  <si>
    <t>FTE2027_20270531_K13000</t>
  </si>
  <si>
    <t>FTE2027_20270630_K10000</t>
  </si>
  <si>
    <t>FTE2027_20270630_K11000</t>
  </si>
  <si>
    <t>FTE2027_20270630_K12000</t>
  </si>
  <si>
    <t>FTE2027_20270630_K13000</t>
  </si>
  <si>
    <t>FTE2027_20270731_K10000</t>
  </si>
  <si>
    <t>FTE2027_20270731_K11000</t>
  </si>
  <si>
    <t>FTE2027_20270731_K12000</t>
  </si>
  <si>
    <t>FTE2027_20270731_K13000</t>
  </si>
  <si>
    <t>FTE2027_20270831_K10000</t>
  </si>
  <si>
    <t>FTE2027_20270831_K11000</t>
  </si>
  <si>
    <t>FTE2027_20270831_K12000</t>
  </si>
  <si>
    <t>FTE2027_20270831_K13000</t>
  </si>
  <si>
    <t>FTE2027_20270930_K10000</t>
  </si>
  <si>
    <t>FTE2027_20270930_K11000</t>
  </si>
  <si>
    <t>FTE2027_20270930_K12000</t>
  </si>
  <si>
    <t>FTE2027_20270930_K13000</t>
  </si>
  <si>
    <t>FTE2027_20271031_K10000</t>
  </si>
  <si>
    <t>FTE2027_20271031_K11000</t>
  </si>
  <si>
    <t>FTE2027_20271031_K12000</t>
  </si>
  <si>
    <t>FTE2027_20271031_K13000</t>
  </si>
  <si>
    <t>FTE2027_20271130_K10000</t>
  </si>
  <si>
    <t>FTE2027_20271130_K11000</t>
  </si>
  <si>
    <t>FTE2027_20271130_K12000</t>
  </si>
  <si>
    <t>FTE2027_20271130_K13000</t>
  </si>
  <si>
    <t>FTE2027_20271231_K10000</t>
  </si>
  <si>
    <t>FTE2027_20271231_K11000</t>
  </si>
  <si>
    <t>FTE2027_20271231_K12000</t>
  </si>
  <si>
    <t>FTE2027_20271231_K13000</t>
  </si>
  <si>
    <t>StudentNokkel</t>
  </si>
  <si>
    <t>Studieprogram</t>
  </si>
  <si>
    <t>RegistrerteStudenter</t>
  </si>
  <si>
    <t>SPE60_Baseline_2025</t>
  </si>
  <si>
    <t>SPE60_Vekst_2025</t>
  </si>
  <si>
    <t>SPE60</t>
  </si>
  <si>
    <t>KDKategori</t>
  </si>
  <si>
    <t>KDSats_NOK</t>
  </si>
  <si>
    <t>KD_Marginal_Inntekt_2027</t>
  </si>
  <si>
    <t>Studenter_pr_UF</t>
  </si>
  <si>
    <t>STUD2027_20270131_K11000</t>
  </si>
  <si>
    <t>Master Org. &amp; Ledelse / MKT</t>
  </si>
  <si>
    <t>Kategori 1</t>
  </si>
  <si>
    <t>STUD2027_20270131_K12000</t>
  </si>
  <si>
    <t>Master &amp; Bachelor i Rettsvitenskap</t>
  </si>
  <si>
    <t>STUD2027_20270131_K13000</t>
  </si>
  <si>
    <t>Siviløkonom / Øk.Ad / Ph.D.</t>
  </si>
  <si>
    <t>STUD2027_20270430_K11000</t>
  </si>
  <si>
    <t>STUD2027_20270430_K12000</t>
  </si>
  <si>
    <t>STUD2027_20270430_K13000</t>
  </si>
  <si>
    <t>STUD2027_20270731_K11000</t>
  </si>
  <si>
    <t>STUD2027_20270731_K12000</t>
  </si>
  <si>
    <t>STUD2027_20270731_K13000</t>
  </si>
  <si>
    <t>STUD2027_20271031_K11000</t>
  </si>
  <si>
    <t>STUD2027_20271031_K12000</t>
  </si>
  <si>
    <t>STUD2027_20271031_K13000</t>
  </si>
  <si>
    <t>BudsjettBelop</t>
  </si>
  <si>
    <t>BudsjettNokkel</t>
  </si>
  <si>
    <t>Valuta</t>
  </si>
  <si>
    <t>Kommentar</t>
  </si>
  <si>
    <t>BUD2027_20270131_K10000_3900</t>
  </si>
  <si>
    <t>BUD2027</t>
  </si>
  <si>
    <t>NOK</t>
  </si>
  <si>
    <t>Månedlig periodisert 2027-budsjett for K10000 konto 3900</t>
  </si>
  <si>
    <t>BUD2027_20270131_K10000_3670</t>
  </si>
  <si>
    <t>Månedlig periodisert 2027-budsjett for K10000 konto 3670</t>
  </si>
  <si>
    <t>BUD2027_20270131_K10000_5000</t>
  </si>
  <si>
    <t>Månedlig periodisert 2027-budsjett for K10000 konto 5000</t>
  </si>
  <si>
    <t>BUD2027_20270131_K10000_5400</t>
  </si>
  <si>
    <t>Månedlig periodisert 2027-budsjett for K10000 konto 5400</t>
  </si>
  <si>
    <t>BUD2027_20270131_K10000_6420</t>
  </si>
  <si>
    <t>Månedlig periodisert 2027-budsjett for K10000 konto 6420</t>
  </si>
  <si>
    <t>BUD2027_20270131_K10000_6700</t>
  </si>
  <si>
    <t>Månedlig periodisert 2027-budsjett for K10000 konto 6700</t>
  </si>
  <si>
    <t>BUD2027_20270131_K10000_1250</t>
  </si>
  <si>
    <t>Månedlig periodisert 2027-budsjett for K10000 konto 1250</t>
  </si>
  <si>
    <t>BUD2027_20270131_K11000_3900</t>
  </si>
  <si>
    <t>Månedlig periodisert 2027-budsjett for K11000 konto 3900</t>
  </si>
  <si>
    <t>BUD2027_20270131_K11000_3600</t>
  </si>
  <si>
    <t>Månedlig periodisert 2027-budsjett for K11000 konto 3600</t>
  </si>
  <si>
    <t>BUD2027_20270131_K11000_3630</t>
  </si>
  <si>
    <t>Månedlig periodisert 2027-budsjett for K11000 konto 3630</t>
  </si>
  <si>
    <t>BUD2027_20270131_K11000_5000</t>
  </si>
  <si>
    <t>Månedlig periodisert 2027-budsjett for K11000 konto 5000</t>
  </si>
  <si>
    <t>BUD2027_20270131_K11000_5400</t>
  </si>
  <si>
    <t>Månedlig periodisert 2027-budsjett for K11000 konto 5400</t>
  </si>
  <si>
    <t>BUD2027_20270131_K11000_6300</t>
  </si>
  <si>
    <t>Månedlig periodisert 2027-budsjett for K11000 konto 6300</t>
  </si>
  <si>
    <t>BUD2027_20270131_K11000_7130</t>
  </si>
  <si>
    <t>Månedlig periodisert 2027-budsjett for K11000 konto 7130</t>
  </si>
  <si>
    <t>BUD2027_20270131_K11000_1250</t>
  </si>
  <si>
    <t>Månedlig periodisert 2027-budsjett for K11000 konto 1250</t>
  </si>
  <si>
    <t>BUD2027_20270131_K12000_3900</t>
  </si>
  <si>
    <t>Månedlig periodisert 2027-budsjett for K12000 konto 3900</t>
  </si>
  <si>
    <t>BUD2027_20270131_K12000_3400</t>
  </si>
  <si>
    <t>Månedlig periodisert 2027-budsjett for K12000 konto 3400</t>
  </si>
  <si>
    <t>BUD2027_20270131_K12000_5000</t>
  </si>
  <si>
    <t>Månedlig periodisert 2027-budsjett for K12000 konto 5000</t>
  </si>
  <si>
    <t>BUD2027_20270131_K12000_5400</t>
  </si>
  <si>
    <t>Månedlig periodisert 2027-budsjett for K12000 konto 5400</t>
  </si>
  <si>
    <t>BUD2027_20270131_K12000_6300</t>
  </si>
  <si>
    <t>Månedlig periodisert 2027-budsjett for K12000 konto 6300</t>
  </si>
  <si>
    <t>BUD2027_20270131_K12000_7130</t>
  </si>
  <si>
    <t>Månedlig periodisert 2027-budsjett for K12000 konto 7130</t>
  </si>
  <si>
    <t>BUD2027_20270131_K12000_1250</t>
  </si>
  <si>
    <t>Månedlig periodisert 2027-budsjett for K12000 konto 1250</t>
  </si>
  <si>
    <t>BUD2027_20270131_K13000_3900</t>
  </si>
  <si>
    <t>Månedlig periodisert 2027-budsjett for K13000 konto 3900</t>
  </si>
  <si>
    <t>BUD2027_20270131_K13000_3400</t>
  </si>
  <si>
    <t>Månedlig periodisert 2027-budsjett for K13000 konto 3400</t>
  </si>
  <si>
    <t>BUD2027_20270131_K13000_3420</t>
  </si>
  <si>
    <t>Månedlig periodisert 2027-budsjett for K13000 konto 3420</t>
  </si>
  <si>
    <t>BUD2027_20270131_K13000_3630</t>
  </si>
  <si>
    <t>Månedlig periodisert 2027-budsjett for K13000 konto 3630</t>
  </si>
  <si>
    <t>BUD2027_20270131_K13000_5000</t>
  </si>
  <si>
    <t>Månedlig periodisert 2027-budsjett for K13000 konto 5000</t>
  </si>
  <si>
    <t>BUD2027_20270131_K13000_5400</t>
  </si>
  <si>
    <t>Månedlig periodisert 2027-budsjett for K13000 konto 5400</t>
  </si>
  <si>
    <t>BUD2027_20270131_K13000_6300</t>
  </si>
  <si>
    <t>Månedlig periodisert 2027-budsjett for K13000 konto 6300</t>
  </si>
  <si>
    <t>BUD2027_20270131_K13000_6420</t>
  </si>
  <si>
    <t>Månedlig periodisert 2027-budsjett for K13000 konto 6420</t>
  </si>
  <si>
    <t>BUD2027_20270131_K13000_7130</t>
  </si>
  <si>
    <t>Månedlig periodisert 2027-budsjett for K13000 konto 7130</t>
  </si>
  <si>
    <t>BUD2027_20270131_K13000_1250</t>
  </si>
  <si>
    <t>Månedlig periodisert 2027-budsjett for K13000 konto 1250</t>
  </si>
  <si>
    <t>BUD2027_20270228_K10000_3900</t>
  </si>
  <si>
    <t>BUD2027_20270228_K10000_3670</t>
  </si>
  <si>
    <t>BUD2027_20270228_K10000_5000</t>
  </si>
  <si>
    <t>BUD2027_20270228_K10000_5400</t>
  </si>
  <si>
    <t>BUD2027_20270228_K10000_6420</t>
  </si>
  <si>
    <t>BUD2027_20270228_K10000_6700</t>
  </si>
  <si>
    <t>BUD2027_20270228_K10000_1250</t>
  </si>
  <si>
    <t>BUD2027_20270228_K11000_3900</t>
  </si>
  <si>
    <t>BUD2027_20270228_K11000_3600</t>
  </si>
  <si>
    <t>BUD2027_20270228_K11000_3630</t>
  </si>
  <si>
    <t>BUD2027_20270228_K11000_5000</t>
  </si>
  <si>
    <t>BUD2027_20270228_K11000_5400</t>
  </si>
  <si>
    <t>BUD2027_20270228_K11000_6300</t>
  </si>
  <si>
    <t>BUD2027_20270228_K11000_7130</t>
  </si>
  <si>
    <t>BUD2027_20270228_K11000_1250</t>
  </si>
  <si>
    <t>BUD2027_20270228_K12000_3900</t>
  </si>
  <si>
    <t>BUD2027_20270228_K12000_3400</t>
  </si>
  <si>
    <t>BUD2027_20270228_K12000_5000</t>
  </si>
  <si>
    <t>BUD2027_20270228_K12000_5400</t>
  </si>
  <si>
    <t>BUD2027_20270228_K12000_6300</t>
  </si>
  <si>
    <t>BUD2027_20270228_K12000_7130</t>
  </si>
  <si>
    <t>BUD2027_20270228_K12000_1250</t>
  </si>
  <si>
    <t>BUD2027_20270228_K13000_3900</t>
  </si>
  <si>
    <t>BUD2027_20270228_K13000_3400</t>
  </si>
  <si>
    <t>BUD2027_20270228_K13000_3420</t>
  </si>
  <si>
    <t>BUD2027_20270228_K13000_3630</t>
  </si>
  <si>
    <t>BUD2027_20270228_K13000_5000</t>
  </si>
  <si>
    <t>BUD2027_20270228_K13000_5400</t>
  </si>
  <si>
    <t>BUD2027_20270228_K13000_6300</t>
  </si>
  <si>
    <t>BUD2027_20270228_K13000_6420</t>
  </si>
  <si>
    <t>BUD2027_20270228_K13000_7130</t>
  </si>
  <si>
    <t>BUD2027_20270228_K13000_1250</t>
  </si>
  <si>
    <t>BUD2027_20270331_K10000_3900</t>
  </si>
  <si>
    <t>BUD2027_20270331_K10000_3670</t>
  </si>
  <si>
    <t>BUD2027_20270331_K10000_5000</t>
  </si>
  <si>
    <t>BUD2027_20270331_K10000_5400</t>
  </si>
  <si>
    <t>BUD2027_20270331_K10000_6420</t>
  </si>
  <si>
    <t>BUD2027_20270331_K10000_6700</t>
  </si>
  <si>
    <t>BUD2027_20270331_K10000_1250</t>
  </si>
  <si>
    <t>BUD2027_20270331_K11000_3900</t>
  </si>
  <si>
    <t>BUD2027_20270331_K11000_3600</t>
  </si>
  <si>
    <t>BUD2027_20270331_K11000_3630</t>
  </si>
  <si>
    <t>BUD2027_20270331_K11000_5000</t>
  </si>
  <si>
    <t>BUD2027_20270331_K11000_5400</t>
  </si>
  <si>
    <t>BUD2027_20270331_K11000_6300</t>
  </si>
  <si>
    <t>BUD2027_20270331_K11000_7130</t>
  </si>
  <si>
    <t>BUD2027_20270331_K11000_1250</t>
  </si>
  <si>
    <t>BUD2027_20270331_K12000_3900</t>
  </si>
  <si>
    <t>BUD2027_20270331_K12000_3400</t>
  </si>
  <si>
    <t>BUD2027_20270331_K12000_5000</t>
  </si>
  <si>
    <t>BUD2027_20270331_K12000_5400</t>
  </si>
  <si>
    <t>BUD2027_20270331_K12000_6300</t>
  </si>
  <si>
    <t>BUD2027_20270331_K12000_7130</t>
  </si>
  <si>
    <t>BUD2027_20270331_K12000_1250</t>
  </si>
  <si>
    <t>BUD2027_20270331_K13000_3900</t>
  </si>
  <si>
    <t>BUD2027_20270331_K13000_3400</t>
  </si>
  <si>
    <t>BUD2027_20270331_K13000_3420</t>
  </si>
  <si>
    <t>BUD2027_20270331_K13000_3630</t>
  </si>
  <si>
    <t>BUD2027_20270331_K13000_5000</t>
  </si>
  <si>
    <t>BUD2027_20270331_K13000_5400</t>
  </si>
  <si>
    <t>BUD2027_20270331_K13000_6300</t>
  </si>
  <si>
    <t>BUD2027_20270331_K13000_6420</t>
  </si>
  <si>
    <t>BUD2027_20270331_K13000_7130</t>
  </si>
  <si>
    <t>BUD2027_20270331_K13000_1250</t>
  </si>
  <si>
    <t>BUD2027_20270430_K10000_3900</t>
  </si>
  <si>
    <t>BUD2027_20270430_K10000_3670</t>
  </si>
  <si>
    <t>BUD2027_20270430_K10000_5000</t>
  </si>
  <si>
    <t>BUD2027_20270430_K10000_5400</t>
  </si>
  <si>
    <t>BUD2027_20270430_K10000_6420</t>
  </si>
  <si>
    <t>BUD2027_20270430_K10000_6700</t>
  </si>
  <si>
    <t>BUD2027_20270430_K10000_1250</t>
  </si>
  <si>
    <t>BUD2027_20270430_K11000_3900</t>
  </si>
  <si>
    <t>BUD2027_20270430_K11000_3600</t>
  </si>
  <si>
    <t>BUD2027_20270430_K11000_3630</t>
  </si>
  <si>
    <t>BUD2027_20270430_K11000_5000</t>
  </si>
  <si>
    <t>BUD2027_20270430_K11000_5400</t>
  </si>
  <si>
    <t>BUD2027_20270430_K11000_6300</t>
  </si>
  <si>
    <t>BUD2027_20270430_K11000_7130</t>
  </si>
  <si>
    <t>BUD2027_20270430_K11000_1250</t>
  </si>
  <si>
    <t>BUD2027_20270430_K12000_3900</t>
  </si>
  <si>
    <t>BUD2027_20270430_K12000_3400</t>
  </si>
  <si>
    <t>BUD2027_20270430_K12000_5000</t>
  </si>
  <si>
    <t>BUD2027_20270430_K12000_5400</t>
  </si>
  <si>
    <t>BUD2027_20270430_K12000_6300</t>
  </si>
  <si>
    <t>BUD2027_20270430_K12000_7130</t>
  </si>
  <si>
    <t>BUD2027_20270430_K12000_1250</t>
  </si>
  <si>
    <t>BUD2027_20270430_K13000_3900</t>
  </si>
  <si>
    <t>BUD2027_20270430_K13000_3400</t>
  </si>
  <si>
    <t>BUD2027_20270430_K13000_3420</t>
  </si>
  <si>
    <t>BUD2027_20270430_K13000_3630</t>
  </si>
  <si>
    <t>BUD2027_20270430_K13000_5000</t>
  </si>
  <si>
    <t>BUD2027_20270430_K13000_5400</t>
  </si>
  <si>
    <t>BUD2027_20270430_K13000_6300</t>
  </si>
  <si>
    <t>BUD2027_20270430_K13000_6420</t>
  </si>
  <si>
    <t>BUD2027_20270430_K13000_7130</t>
  </si>
  <si>
    <t>BUD2027_20270430_K13000_1250</t>
  </si>
  <si>
    <t>BUD2027_20270531_K10000_3900</t>
  </si>
  <si>
    <t>BUD2027_20270531_K10000_3670</t>
  </si>
  <si>
    <t>BUD2027_20270531_K10000_5000</t>
  </si>
  <si>
    <t>BUD2027_20270531_K10000_5400</t>
  </si>
  <si>
    <t>BUD2027_20270531_K10000_6420</t>
  </si>
  <si>
    <t>BUD2027_20270531_K10000_6700</t>
  </si>
  <si>
    <t>BUD2027_20270531_K10000_1250</t>
  </si>
  <si>
    <t>BUD2027_20270531_K11000_3900</t>
  </si>
  <si>
    <t>BUD2027_20270531_K11000_3600</t>
  </si>
  <si>
    <t>BUD2027_20270531_K11000_3630</t>
  </si>
  <si>
    <t>BUD2027_20270531_K11000_5000</t>
  </si>
  <si>
    <t>BUD2027_20270531_K11000_5400</t>
  </si>
  <si>
    <t>BUD2027_20270531_K11000_6300</t>
  </si>
  <si>
    <t>BUD2027_20270531_K11000_7130</t>
  </si>
  <si>
    <t>BUD2027_20270531_K11000_1250</t>
  </si>
  <si>
    <t>BUD2027_20270531_K12000_3900</t>
  </si>
  <si>
    <t>BUD2027_20270531_K12000_3400</t>
  </si>
  <si>
    <t>BUD2027_20270531_K12000_5000</t>
  </si>
  <si>
    <t>BUD2027_20270531_K12000_5400</t>
  </si>
  <si>
    <t>BUD2027_20270531_K12000_6300</t>
  </si>
  <si>
    <t>BUD2027_20270531_K12000_7130</t>
  </si>
  <si>
    <t>BUD2027_20270531_K12000_1250</t>
  </si>
  <si>
    <t>BUD2027_20270531_K13000_3900</t>
  </si>
  <si>
    <t>BUD2027_20270531_K13000_3400</t>
  </si>
  <si>
    <t>BUD2027_20270531_K13000_3420</t>
  </si>
  <si>
    <t>BUD2027_20270531_K13000_3630</t>
  </si>
  <si>
    <t>BUD2027_20270531_K13000_5000</t>
  </si>
  <si>
    <t>BUD2027_20270531_K13000_5400</t>
  </si>
  <si>
    <t>BUD2027_20270531_K13000_6300</t>
  </si>
  <si>
    <t>BUD2027_20270531_K13000_6420</t>
  </si>
  <si>
    <t>BUD2027_20270531_K13000_7130</t>
  </si>
  <si>
    <t>BUD2027_20270531_K13000_1250</t>
  </si>
  <si>
    <t>BUD2027_20270630_K10000_3900</t>
  </si>
  <si>
    <t>BUD2027_20270630_K10000_3670</t>
  </si>
  <si>
    <t>BUD2027_20270630_K10000_5000</t>
  </si>
  <si>
    <t>BUD2027_20270630_K10000_5400</t>
  </si>
  <si>
    <t>BUD2027_20270630_K10000_6420</t>
  </si>
  <si>
    <t>BUD2027_20270630_K10000_6700</t>
  </si>
  <si>
    <t>BUD2027_20270630_K10000_1250</t>
  </si>
  <si>
    <t>BUD2027_20270630_K11000_3900</t>
  </si>
  <si>
    <t>BUD2027_20270630_K11000_3600</t>
  </si>
  <si>
    <t>BUD2027_20270630_K11000_3630</t>
  </si>
  <si>
    <t>BUD2027_20270630_K11000_5000</t>
  </si>
  <si>
    <t>BUD2027_20270630_K11000_5400</t>
  </si>
  <si>
    <t>BUD2027_20270630_K11000_6300</t>
  </si>
  <si>
    <t>BUD2027_20270630_K11000_7130</t>
  </si>
  <si>
    <t>BUD2027_20270630_K11000_1250</t>
  </si>
  <si>
    <t>BUD2027_20270630_K12000_3900</t>
  </si>
  <si>
    <t>BUD2027_20270630_K12000_3400</t>
  </si>
  <si>
    <t>BUD2027_20270630_K12000_5000</t>
  </si>
  <si>
    <t>BUD2027_20270630_K12000_5400</t>
  </si>
  <si>
    <t>BUD2027_20270630_K12000_6300</t>
  </si>
  <si>
    <t>BUD2027_20270630_K12000_7130</t>
  </si>
  <si>
    <t>BUD2027_20270630_K12000_1250</t>
  </si>
  <si>
    <t>BUD2027_20270630_K13000_3900</t>
  </si>
  <si>
    <t>BUD2027_20270630_K13000_3400</t>
  </si>
  <si>
    <t>BUD2027_20270630_K13000_3420</t>
  </si>
  <si>
    <t>BUD2027_20270630_K13000_3630</t>
  </si>
  <si>
    <t>BUD2027_20270630_K13000_5000</t>
  </si>
  <si>
    <t>BUD2027_20270630_K13000_5400</t>
  </si>
  <si>
    <t>BUD2027_20270630_K13000_6300</t>
  </si>
  <si>
    <t>BUD2027_20270630_K13000_6420</t>
  </si>
  <si>
    <t>BUD2027_20270630_K13000_7130</t>
  </si>
  <si>
    <t>BUD2027_20270630_K13000_1250</t>
  </si>
  <si>
    <t>BUD2027_20270731_K10000_3900</t>
  </si>
  <si>
    <t>BUD2027_20270731_K10000_3670</t>
  </si>
  <si>
    <t>BUD2027_20270731_K10000_5000</t>
  </si>
  <si>
    <t>BUD2027_20270731_K10000_5400</t>
  </si>
  <si>
    <t>BUD2027_20270731_K10000_6420</t>
  </si>
  <si>
    <t>BUD2027_20270731_K10000_6700</t>
  </si>
  <si>
    <t>BUD2027_20270731_K10000_1250</t>
  </si>
  <si>
    <t>BUD2027_20270731_K11000_3900</t>
  </si>
  <si>
    <t>BUD2027_20270731_K11000_3600</t>
  </si>
  <si>
    <t>BUD2027_20270731_K11000_3630</t>
  </si>
  <si>
    <t>BUD2027_20270731_K11000_5000</t>
  </si>
  <si>
    <t>BUD2027_20270731_K11000_5400</t>
  </si>
  <si>
    <t>BUD2027_20270731_K11000_6300</t>
  </si>
  <si>
    <t>BUD2027_20270731_K11000_7130</t>
  </si>
  <si>
    <t>BUD2027_20270731_K11000_1250</t>
  </si>
  <si>
    <t>BUD2027_20270731_K12000_3900</t>
  </si>
  <si>
    <t>BUD2027_20270731_K12000_3400</t>
  </si>
  <si>
    <t>BUD2027_20270731_K12000_5000</t>
  </si>
  <si>
    <t>BUD2027_20270731_K12000_5400</t>
  </si>
  <si>
    <t>BUD2027_20270731_K12000_6300</t>
  </si>
  <si>
    <t>BUD2027_20270731_K12000_7130</t>
  </si>
  <si>
    <t>BUD2027_20270731_K12000_1250</t>
  </si>
  <si>
    <t>BUD2027_20270731_K13000_3900</t>
  </si>
  <si>
    <t>BUD2027_20270731_K13000_3400</t>
  </si>
  <si>
    <t>BUD2027_20270731_K13000_3420</t>
  </si>
  <si>
    <t>BUD2027_20270731_K13000_3630</t>
  </si>
  <si>
    <t>BUD2027_20270731_K13000_5000</t>
  </si>
  <si>
    <t>BUD2027_20270731_K13000_5400</t>
  </si>
  <si>
    <t>BUD2027_20270731_K13000_6300</t>
  </si>
  <si>
    <t>BUD2027_20270731_K13000_6420</t>
  </si>
  <si>
    <t>BUD2027_20270731_K13000_7130</t>
  </si>
  <si>
    <t>BUD2027_20270731_K13000_1250</t>
  </si>
  <si>
    <t>BUD2027_20270831_K10000_3900</t>
  </si>
  <si>
    <t>BUD2027_20270831_K10000_3670</t>
  </si>
  <si>
    <t>BUD2027_20270831_K10000_5000</t>
  </si>
  <si>
    <t>BUD2027_20270831_K10000_5400</t>
  </si>
  <si>
    <t>BUD2027_20270831_K10000_6420</t>
  </si>
  <si>
    <t>BUD2027_20270831_K10000_6700</t>
  </si>
  <si>
    <t>BUD2027_20270831_K10000_1250</t>
  </si>
  <si>
    <t>BUD2027_20270831_K11000_3900</t>
  </si>
  <si>
    <t>BUD2027_20270831_K11000_3600</t>
  </si>
  <si>
    <t>BUD2027_20270831_K11000_3630</t>
  </si>
  <si>
    <t>BUD2027_20270831_K11000_5000</t>
  </si>
  <si>
    <t>BUD2027_20270831_K11000_5400</t>
  </si>
  <si>
    <t>BUD2027_20270831_K11000_6300</t>
  </si>
  <si>
    <t>BUD2027_20270831_K11000_7130</t>
  </si>
  <si>
    <t>BUD2027_20270831_K11000_1250</t>
  </si>
  <si>
    <t>BUD2027_20270831_K12000_3900</t>
  </si>
  <si>
    <t>BUD2027_20270831_K12000_3400</t>
  </si>
  <si>
    <t>BUD2027_20270831_K12000_5000</t>
  </si>
  <si>
    <t>BUD2027_20270831_K12000_5400</t>
  </si>
  <si>
    <t>BUD2027_20270831_K12000_6300</t>
  </si>
  <si>
    <t>BUD2027_20270831_K12000_7130</t>
  </si>
  <si>
    <t>BUD2027_20270831_K12000_1250</t>
  </si>
  <si>
    <t>BUD2027_20270831_K13000_3900</t>
  </si>
  <si>
    <t>BUD2027_20270831_K13000_3400</t>
  </si>
  <si>
    <t>BUD2027_20270831_K13000_3420</t>
  </si>
  <si>
    <t>BUD2027_20270831_K13000_3630</t>
  </si>
  <si>
    <t>BUD2027_20270831_K13000_5000</t>
  </si>
  <si>
    <t>BUD2027_20270831_K13000_5400</t>
  </si>
  <si>
    <t>BUD2027_20270831_K13000_6300</t>
  </si>
  <si>
    <t>BUD2027_20270831_K13000_6420</t>
  </si>
  <si>
    <t>BUD2027_20270831_K13000_7130</t>
  </si>
  <si>
    <t>BUD2027_20270831_K13000_1250</t>
  </si>
  <si>
    <t>BUD2027_20270930_K10000_3900</t>
  </si>
  <si>
    <t>BUD2027_20270930_K10000_3670</t>
  </si>
  <si>
    <t>BUD2027_20270930_K10000_5000</t>
  </si>
  <si>
    <t>BUD2027_20270930_K10000_5400</t>
  </si>
  <si>
    <t>BUD2027_20270930_K10000_6420</t>
  </si>
  <si>
    <t>BUD2027_20270930_K10000_6700</t>
  </si>
  <si>
    <t>BUD2027_20270930_K10000_1250</t>
  </si>
  <si>
    <t>BUD2027_20270930_K11000_3900</t>
  </si>
  <si>
    <t>BUD2027_20270930_K11000_3600</t>
  </si>
  <si>
    <t>BUD2027_20270930_K11000_3630</t>
  </si>
  <si>
    <t>BUD2027_20270930_K11000_5000</t>
  </si>
  <si>
    <t>BUD2027_20270930_K11000_5400</t>
  </si>
  <si>
    <t>BUD2027_20270930_K11000_6300</t>
  </si>
  <si>
    <t>BUD2027_20270930_K11000_7130</t>
  </si>
  <si>
    <t>BUD2027_20270930_K11000_1250</t>
  </si>
  <si>
    <t>BUD2027_20270930_K12000_3900</t>
  </si>
  <si>
    <t>BUD2027_20270930_K12000_3400</t>
  </si>
  <si>
    <t>BUD2027_20270930_K12000_5000</t>
  </si>
  <si>
    <t>BUD2027_20270930_K12000_5400</t>
  </si>
  <si>
    <t>BUD2027_20270930_K12000_6300</t>
  </si>
  <si>
    <t>BUD2027_20270930_K12000_7130</t>
  </si>
  <si>
    <t>BUD2027_20270930_K12000_1250</t>
  </si>
  <si>
    <t>BUD2027_20270930_K13000_3900</t>
  </si>
  <si>
    <t>BUD2027_20270930_K13000_3400</t>
  </si>
  <si>
    <t>BUD2027_20270930_K13000_3420</t>
  </si>
  <si>
    <t>BUD2027_20270930_K13000_3630</t>
  </si>
  <si>
    <t>BUD2027_20270930_K13000_5000</t>
  </si>
  <si>
    <t>BUD2027_20270930_K13000_5400</t>
  </si>
  <si>
    <t>BUD2027_20270930_K13000_6300</t>
  </si>
  <si>
    <t>BUD2027_20270930_K13000_6420</t>
  </si>
  <si>
    <t>BUD2027_20270930_K13000_7130</t>
  </si>
  <si>
    <t>BUD2027_20270930_K13000_1250</t>
  </si>
  <si>
    <t>BUD2027_20271031_K10000_3900</t>
  </si>
  <si>
    <t>BUD2027_20271031_K10000_3670</t>
  </si>
  <si>
    <t>BUD2027_20271031_K10000_5000</t>
  </si>
  <si>
    <t>BUD2027_20271031_K10000_5400</t>
  </si>
  <si>
    <t>BUD2027_20271031_K10000_6420</t>
  </si>
  <si>
    <t>BUD2027_20271031_K10000_6700</t>
  </si>
  <si>
    <t>BUD2027_20271031_K10000_1250</t>
  </si>
  <si>
    <t>BUD2027_20271031_K11000_3900</t>
  </si>
  <si>
    <t>BUD2027_20271031_K11000_3600</t>
  </si>
  <si>
    <t>BUD2027_20271031_K11000_3630</t>
  </si>
  <si>
    <t>BUD2027_20271031_K11000_5000</t>
  </si>
  <si>
    <t>BUD2027_20271031_K11000_5400</t>
  </si>
  <si>
    <t>BUD2027_20271031_K11000_6300</t>
  </si>
  <si>
    <t>BUD2027_20271031_K11000_7130</t>
  </si>
  <si>
    <t>BUD2027_20271031_K11000_1250</t>
  </si>
  <si>
    <t>BUD2027_20271031_K12000_3900</t>
  </si>
  <si>
    <t>BUD2027_20271031_K12000_3400</t>
  </si>
  <si>
    <t>BUD2027_20271031_K12000_5000</t>
  </si>
  <si>
    <t>BUD2027_20271031_K12000_5400</t>
  </si>
  <si>
    <t>BUD2027_20271031_K12000_6300</t>
  </si>
  <si>
    <t>BUD2027_20271031_K12000_7130</t>
  </si>
  <si>
    <t>BUD2027_20271031_K12000_1250</t>
  </si>
  <si>
    <t>BUD2027_20271031_K13000_3900</t>
  </si>
  <si>
    <t>BUD2027_20271031_K13000_3400</t>
  </si>
  <si>
    <t>BUD2027_20271031_K13000_3420</t>
  </si>
  <si>
    <t>BUD2027_20271031_K13000_3630</t>
  </si>
  <si>
    <t>BUD2027_20271031_K13000_5000</t>
  </si>
  <si>
    <t>BUD2027_20271031_K13000_5400</t>
  </si>
  <si>
    <t>BUD2027_20271031_K13000_6300</t>
  </si>
  <si>
    <t>BUD2027_20271031_K13000_6420</t>
  </si>
  <si>
    <t>BUD2027_20271031_K13000_7130</t>
  </si>
  <si>
    <t>BUD2027_20271031_K13000_1250</t>
  </si>
  <si>
    <t>BUD2027_20271130_K10000_3900</t>
  </si>
  <si>
    <t>BUD2027_20271130_K10000_3670</t>
  </si>
  <si>
    <t>BUD2027_20271130_K10000_5000</t>
  </si>
  <si>
    <t>BUD2027_20271130_K10000_5400</t>
  </si>
  <si>
    <t>BUD2027_20271130_K10000_6420</t>
  </si>
  <si>
    <t>BUD2027_20271130_K10000_6700</t>
  </si>
  <si>
    <t>BUD2027_20271130_K10000_1250</t>
  </si>
  <si>
    <t>BUD2027_20271130_K11000_3900</t>
  </si>
  <si>
    <t>BUD2027_20271130_K11000_3600</t>
  </si>
  <si>
    <t>BUD2027_20271130_K11000_3630</t>
  </si>
  <si>
    <t>BUD2027_20271130_K11000_5000</t>
  </si>
  <si>
    <t>BUD2027_20271130_K11000_5400</t>
  </si>
  <si>
    <t>BUD2027_20271130_K11000_6300</t>
  </si>
  <si>
    <t>BUD2027_20271130_K11000_7130</t>
  </si>
  <si>
    <t>BUD2027_20271130_K11000_1250</t>
  </si>
  <si>
    <t>BUD2027_20271130_K12000_3900</t>
  </si>
  <si>
    <t>BUD2027_20271130_K12000_3400</t>
  </si>
  <si>
    <t>BUD2027_20271130_K12000_5000</t>
  </si>
  <si>
    <t>BUD2027_20271130_K12000_5400</t>
  </si>
  <si>
    <t>BUD2027_20271130_K12000_6300</t>
  </si>
  <si>
    <t>BUD2027_20271130_K12000_7130</t>
  </si>
  <si>
    <t>BUD2027_20271130_K12000_1250</t>
  </si>
  <si>
    <t>BUD2027_20271130_K13000_3900</t>
  </si>
  <si>
    <t>BUD2027_20271130_K13000_3400</t>
  </si>
  <si>
    <t>BUD2027_20271130_K13000_3420</t>
  </si>
  <si>
    <t>BUD2027_20271130_K13000_3630</t>
  </si>
  <si>
    <t>BUD2027_20271130_K13000_5000</t>
  </si>
  <si>
    <t>BUD2027_20271130_K13000_5400</t>
  </si>
  <si>
    <t>BUD2027_20271130_K13000_6300</t>
  </si>
  <si>
    <t>BUD2027_20271130_K13000_6420</t>
  </si>
  <si>
    <t>BUD2027_20271130_K13000_7130</t>
  </si>
  <si>
    <t>BUD2027_20271130_K13000_1250</t>
  </si>
  <si>
    <t>BUD2027_20271231_K10000_3900</t>
  </si>
  <si>
    <t>BUD2027_20271231_K10000_3670</t>
  </si>
  <si>
    <t>BUD2027_20271231_K10000_5000</t>
  </si>
  <si>
    <t>BUD2027_20271231_K10000_5400</t>
  </si>
  <si>
    <t>BUD2027_20271231_K10000_6420</t>
  </si>
  <si>
    <t>BUD2027_20271231_K10000_6700</t>
  </si>
  <si>
    <t>BUD2027_20271231_K10000_1250</t>
  </si>
  <si>
    <t>BUD2027_20271231_K11000_3900</t>
  </si>
  <si>
    <t>BUD2027_20271231_K11000_3600</t>
  </si>
  <si>
    <t>BUD2027_20271231_K11000_3630</t>
  </si>
  <si>
    <t>BUD2027_20271231_K11000_5000</t>
  </si>
  <si>
    <t>BUD2027_20271231_K11000_5400</t>
  </si>
  <si>
    <t>BUD2027_20271231_K11000_6300</t>
  </si>
  <si>
    <t>BUD2027_20271231_K11000_7130</t>
  </si>
  <si>
    <t>BUD2027_20271231_K11000_1250</t>
  </si>
  <si>
    <t>BUD2027_20271231_K12000_3900</t>
  </si>
  <si>
    <t>BUD2027_20271231_K12000_3400</t>
  </si>
  <si>
    <t>BUD2027_20271231_K12000_5000</t>
  </si>
  <si>
    <t>BUD2027_20271231_K12000_5400</t>
  </si>
  <si>
    <t>BUD2027_20271231_K12000_6300</t>
  </si>
  <si>
    <t>BUD2027_20271231_K12000_7130</t>
  </si>
  <si>
    <t>BUD2027_20271231_K12000_1250</t>
  </si>
  <si>
    <t>BUD2027_20271231_K13000_3900</t>
  </si>
  <si>
    <t>BUD2027_20271231_K13000_3400</t>
  </si>
  <si>
    <t>BUD2027_20271231_K13000_3420</t>
  </si>
  <si>
    <t>BUD2027_20271231_K13000_3630</t>
  </si>
  <si>
    <t>BUD2027_20271231_K13000_5000</t>
  </si>
  <si>
    <t>BUD2027_20271231_K13000_5400</t>
  </si>
  <si>
    <t>BUD2027_20271231_K13000_6300</t>
  </si>
  <si>
    <t>BUD2027_20271231_K13000_6420</t>
  </si>
  <si>
    <t>BUD2027_20271231_K13000_7130</t>
  </si>
  <si>
    <t>BUD2027_20271231_K13000_1250</t>
  </si>
  <si>
    <t>Andre driftsinntekter</t>
  </si>
  <si>
    <t>Andre salgsinntekter</t>
  </si>
  <si>
    <t>Leie av utstyr</t>
  </si>
  <si>
    <t>Strategiske investeringer</t>
  </si>
  <si>
    <t>Vedtatt årsbudsjett 2027</t>
  </si>
  <si>
    <t>FactBudget_2027</t>
  </si>
  <si>
    <t>DimDate_2027</t>
  </si>
  <si>
    <t>FactFTE_2027</t>
  </si>
  <si>
    <t>FactStudents_2027</t>
  </si>
  <si>
    <t>FactAction_2027</t>
  </si>
  <si>
    <t>TransaksjonID</t>
  </si>
  <si>
    <t>Bokforingstype</t>
  </si>
  <si>
    <t>Belop_signert</t>
  </si>
  <si>
    <t>ProsjektID</t>
  </si>
  <si>
    <t>Avvikstype_Beskrivelse</t>
  </si>
  <si>
    <t>TR2026_00001</t>
  </si>
  <si>
    <t>Actual</t>
  </si>
  <si>
    <t>DRIFT</t>
  </si>
  <si>
    <t>Normal drift</t>
  </si>
  <si>
    <t>TR2026_00002</t>
  </si>
  <si>
    <t>TR2026_00003</t>
  </si>
  <si>
    <t>TR2026_00004</t>
  </si>
  <si>
    <t>TR2026_00005</t>
  </si>
  <si>
    <t>TR2026_00006</t>
  </si>
  <si>
    <t>TR2026_00007</t>
  </si>
  <si>
    <t>TR2026_00008</t>
  </si>
  <si>
    <t>TR2026_00009</t>
  </si>
  <si>
    <t>TR2026_00010</t>
  </si>
  <si>
    <t>Forecast</t>
  </si>
  <si>
    <t>TR2026_00011</t>
  </si>
  <si>
    <t>TR2026_00012</t>
  </si>
  <si>
    <t>TR2026_00013</t>
  </si>
  <si>
    <t>Akkreditering / EVU-sak</t>
  </si>
  <si>
    <t>TR2026_00014</t>
  </si>
  <si>
    <t>TR2026_00015</t>
  </si>
  <si>
    <t>TR2026_00016</t>
  </si>
  <si>
    <t>TR2026_00017</t>
  </si>
  <si>
    <t>TR2026_00018</t>
  </si>
  <si>
    <t>TR2026_00019</t>
  </si>
  <si>
    <t>TR2026_00020</t>
  </si>
  <si>
    <t>TR2026_00021</t>
  </si>
  <si>
    <t>TR2026_00022</t>
  </si>
  <si>
    <t>TR2026_00023</t>
  </si>
  <si>
    <t>TR2026_00024</t>
  </si>
  <si>
    <t>TR2026_00025</t>
  </si>
  <si>
    <t>TR2026_00026</t>
  </si>
  <si>
    <t>TR2026_00027</t>
  </si>
  <si>
    <t>TR2026_00028</t>
  </si>
  <si>
    <t>TR2026_00029</t>
  </si>
  <si>
    <t>TR2026_00030</t>
  </si>
  <si>
    <t>TR2026_00031</t>
  </si>
  <si>
    <t>TR2026_00032</t>
  </si>
  <si>
    <t>TR2026_00033</t>
  </si>
  <si>
    <t>TR2026_00034</t>
  </si>
  <si>
    <t>TR2026_00035</t>
  </si>
  <si>
    <t>TR2026_00036</t>
  </si>
  <si>
    <t>TR2026_00037</t>
  </si>
  <si>
    <t>TR2026_00038</t>
  </si>
  <si>
    <t>TR2026_00039</t>
  </si>
  <si>
    <t>TR2026_00040</t>
  </si>
  <si>
    <t>TR2026_00041</t>
  </si>
  <si>
    <t>TR2026_00042</t>
  </si>
  <si>
    <t>TR2026_00043</t>
  </si>
  <si>
    <t>TR2026_00044</t>
  </si>
  <si>
    <t>TR2026_00045</t>
  </si>
  <si>
    <t>TR2026_00046</t>
  </si>
  <si>
    <t>TR2026_00047</t>
  </si>
  <si>
    <t>TR2026_00048</t>
  </si>
  <si>
    <t>TR2026_00049</t>
  </si>
  <si>
    <t>TR2026_00050</t>
  </si>
  <si>
    <t>TR2026_00051</t>
  </si>
  <si>
    <t>TR2026_00052</t>
  </si>
  <si>
    <t>TR2026_00053</t>
  </si>
  <si>
    <t>TR2026_00054</t>
  </si>
  <si>
    <t>TR2026_00055</t>
  </si>
  <si>
    <t>TR2026_00056</t>
  </si>
  <si>
    <t>TR2026_00057</t>
  </si>
  <si>
    <t>TR2026_00058</t>
  </si>
  <si>
    <t>TR2026_00059</t>
  </si>
  <si>
    <t>TR2026_00060</t>
  </si>
  <si>
    <t>TR2026_00061</t>
  </si>
  <si>
    <t>TR2026_00062</t>
  </si>
  <si>
    <t>TR2026_00063</t>
  </si>
  <si>
    <t>TR2026_00064</t>
  </si>
  <si>
    <t>TR2026_00065</t>
  </si>
  <si>
    <t>TR2026_00066</t>
  </si>
  <si>
    <t>TR2026_00067</t>
  </si>
  <si>
    <t>TR2026_00068</t>
  </si>
  <si>
    <t>TR2026_00069</t>
  </si>
  <si>
    <t>TR2026_00070</t>
  </si>
  <si>
    <t>TR2026_00071</t>
  </si>
  <si>
    <t>TR2026_00072</t>
  </si>
  <si>
    <t>TR2026_00073</t>
  </si>
  <si>
    <t>TR2026_00074</t>
  </si>
  <si>
    <t>TR2026_00075</t>
  </si>
  <si>
    <t>TR2026_00076</t>
  </si>
  <si>
    <t>TR2026_00077</t>
  </si>
  <si>
    <t>TR2026_00078</t>
  </si>
  <si>
    <t>TR2026_00079</t>
  </si>
  <si>
    <t>TR2026_00080</t>
  </si>
  <si>
    <t>TR2026_00081</t>
  </si>
  <si>
    <t>TR2026_00082</t>
  </si>
  <si>
    <t>TR2026_00083</t>
  </si>
  <si>
    <t>TR2026_00084</t>
  </si>
  <si>
    <t>TR2026_00085</t>
  </si>
  <si>
    <t>TR2026_00086</t>
  </si>
  <si>
    <t>TR2026_00087</t>
  </si>
  <si>
    <t>TR2026_00088</t>
  </si>
  <si>
    <t>TR2026_00089</t>
  </si>
  <si>
    <t>TR2026_00090</t>
  </si>
  <si>
    <t>TR2026_00091</t>
  </si>
  <si>
    <t>TR2026_00092</t>
  </si>
  <si>
    <t>TR2026_00093</t>
  </si>
  <si>
    <t>TR2026_00094</t>
  </si>
  <si>
    <t>TR2026_00095</t>
  </si>
  <si>
    <t>TR2026_00096</t>
  </si>
  <si>
    <t>TR2026_00097</t>
  </si>
  <si>
    <t>TR2026_00098</t>
  </si>
  <si>
    <t>TR2026_00099</t>
  </si>
  <si>
    <t>TR2026_00100</t>
  </si>
  <si>
    <t>TR2026_00101</t>
  </si>
  <si>
    <t>TR2026_00102</t>
  </si>
  <si>
    <t>TR2026_00103</t>
  </si>
  <si>
    <t>TR2026_00104</t>
  </si>
  <si>
    <t>TR2026_00105</t>
  </si>
  <si>
    <t>TR2026_00106</t>
  </si>
  <si>
    <t>TR2026_00107</t>
  </si>
  <si>
    <t>TR2026_00108</t>
  </si>
  <si>
    <t>TR2026_00109</t>
  </si>
  <si>
    <t>TR2026_00110</t>
  </si>
  <si>
    <t>TR2026_00111</t>
  </si>
  <si>
    <t>TR2026_00112</t>
  </si>
  <si>
    <t>TR2026_00113</t>
  </si>
  <si>
    <t>TR2026_00114</t>
  </si>
  <si>
    <t>TR2026_00115</t>
  </si>
  <si>
    <t>TR2026_00116</t>
  </si>
  <si>
    <t>TR2026_00117</t>
  </si>
  <si>
    <t>TR2026_00118</t>
  </si>
  <si>
    <t>TR2026_00119</t>
  </si>
  <si>
    <t>TR2026_00120</t>
  </si>
  <si>
    <t>TR2026_00121</t>
  </si>
  <si>
    <t>TR2026_00122</t>
  </si>
  <si>
    <t>TR2026_00123</t>
  </si>
  <si>
    <t>TR2026_00124</t>
  </si>
  <si>
    <t>TR2026_00125</t>
  </si>
  <si>
    <t>TR2026_00126</t>
  </si>
  <si>
    <t>TR2026_00127</t>
  </si>
  <si>
    <t>TR2026_00128</t>
  </si>
  <si>
    <t>TR2026_00129</t>
  </si>
  <si>
    <t>TR2026_00130</t>
  </si>
  <si>
    <t>TR2026_00131</t>
  </si>
  <si>
    <t>TR2026_00132</t>
  </si>
  <si>
    <t>TR2026_00133</t>
  </si>
  <si>
    <t>TR2026_00134</t>
  </si>
  <si>
    <t>TR2026_00135</t>
  </si>
  <si>
    <t>TR2026_00136</t>
  </si>
  <si>
    <t>TR2026_00137</t>
  </si>
  <si>
    <t>TR2026_00138</t>
  </si>
  <si>
    <t>TR2026_00139</t>
  </si>
  <si>
    <t>TR2026_00140</t>
  </si>
  <si>
    <t>TR2026_00141</t>
  </si>
  <si>
    <t>TR2026_00142</t>
  </si>
  <si>
    <t>TR2026_00143</t>
  </si>
  <si>
    <t>TR2026_00144</t>
  </si>
  <si>
    <t>TR2026_00145</t>
  </si>
  <si>
    <t>TR2026_00146</t>
  </si>
  <si>
    <t>TR2026_00147</t>
  </si>
  <si>
    <t>TR2026_00148</t>
  </si>
  <si>
    <t>TR2026_00149</t>
  </si>
  <si>
    <t>TR2026_00150</t>
  </si>
  <si>
    <t>TR2026_00151</t>
  </si>
  <si>
    <t>TR2026_00152</t>
  </si>
  <si>
    <t>TR2026_00153</t>
  </si>
  <si>
    <t>TR2026_00154</t>
  </si>
  <si>
    <t>TR2026_00155</t>
  </si>
  <si>
    <t>TR2026_00156</t>
  </si>
  <si>
    <t>TR2026_00157</t>
  </si>
  <si>
    <t>TR2026_00158</t>
  </si>
  <si>
    <t>TR2026_00159</t>
  </si>
  <si>
    <t>TR2026_00160</t>
  </si>
  <si>
    <t>TR2026_00161</t>
  </si>
  <si>
    <t>TR2026_00162</t>
  </si>
  <si>
    <t>TR2026_00163</t>
  </si>
  <si>
    <t>TR2026_00164</t>
  </si>
  <si>
    <t>TR2026_00165</t>
  </si>
  <si>
    <t>TR2026_00166</t>
  </si>
  <si>
    <t>TR2026_00167</t>
  </si>
  <si>
    <t>TR2026_00168</t>
  </si>
  <si>
    <t>TR2026_00169</t>
  </si>
  <si>
    <t>TR2026_00170</t>
  </si>
  <si>
    <t>TR2026_00171</t>
  </si>
  <si>
    <t>TR2026_00172</t>
  </si>
  <si>
    <t>TR2026_00173</t>
  </si>
  <si>
    <t>TR2026_00174</t>
  </si>
  <si>
    <t>TR2026_00175</t>
  </si>
  <si>
    <t>TR2026_00176</t>
  </si>
  <si>
    <t>TR2026_00177</t>
  </si>
  <si>
    <t>TR2026_00178</t>
  </si>
  <si>
    <t>TR2026_00179</t>
  </si>
  <si>
    <t>TR2026_00180</t>
  </si>
  <si>
    <t>TR2026_00181</t>
  </si>
  <si>
    <t>TR2026_00182</t>
  </si>
  <si>
    <t>TR2026_00183</t>
  </si>
  <si>
    <t>TR2026_00184</t>
  </si>
  <si>
    <t>TR2026_00185</t>
  </si>
  <si>
    <t>TR2026_00186</t>
  </si>
  <si>
    <t>TR2026_00187</t>
  </si>
  <si>
    <t>TR2026_00188</t>
  </si>
  <si>
    <t>TR2026_00189</t>
  </si>
  <si>
    <t>TR2026_00190</t>
  </si>
  <si>
    <t>TR2026_00191</t>
  </si>
  <si>
    <t>TR2026_00192</t>
  </si>
  <si>
    <t>TR2026_00193</t>
  </si>
  <si>
    <t>TR2026_00194</t>
  </si>
  <si>
    <t>TR2026_00195</t>
  </si>
  <si>
    <t>TR2026_00196</t>
  </si>
  <si>
    <t>TR2026_00197</t>
  </si>
  <si>
    <t>TR2026_00198</t>
  </si>
  <si>
    <t>TR2026_00199</t>
  </si>
  <si>
    <t>TR2026_00200</t>
  </si>
  <si>
    <t>TR2026_00201</t>
  </si>
  <si>
    <t>TR2026_00202</t>
  </si>
  <si>
    <t>TR2026_00203</t>
  </si>
  <si>
    <t>TR2026_00204</t>
  </si>
  <si>
    <t>TR2026_00205</t>
  </si>
  <si>
    <t>TR2026_00206</t>
  </si>
  <si>
    <t>TR2026_00207</t>
  </si>
  <si>
    <t>TR2026_00208</t>
  </si>
  <si>
    <t>TR2026_00209</t>
  </si>
  <si>
    <t>TR2026_00210</t>
  </si>
  <si>
    <t>TR2026_00211</t>
  </si>
  <si>
    <t>TR2026_00212</t>
  </si>
  <si>
    <t>TR2026_00213</t>
  </si>
  <si>
    <t>TR2026_00214</t>
  </si>
  <si>
    <t>TR2026_00215</t>
  </si>
  <si>
    <t>TR2026_00216</t>
  </si>
  <si>
    <t>TR2026_00217</t>
  </si>
  <si>
    <t>Vakansbesparelse</t>
  </si>
  <si>
    <t>TR2026_00218</t>
  </si>
  <si>
    <t>TR2026_00219</t>
  </si>
  <si>
    <t>TR2026_00220</t>
  </si>
  <si>
    <t>TR2026_00221</t>
  </si>
  <si>
    <t>TR2026_00222</t>
  </si>
  <si>
    <t>TR2026_00223</t>
  </si>
  <si>
    <t>TR2026_00224</t>
  </si>
  <si>
    <t>TR2026_00225</t>
  </si>
  <si>
    <t>TR2026_00226</t>
  </si>
  <si>
    <t>TR2026_00227</t>
  </si>
  <si>
    <t>TR2026_00228</t>
  </si>
  <si>
    <t>TR2026_00229</t>
  </si>
  <si>
    <t>TR2026_00230</t>
  </si>
  <si>
    <t>TR2026_00231</t>
  </si>
  <si>
    <t>TR2026_00232</t>
  </si>
  <si>
    <t>TR2026_00233</t>
  </si>
  <si>
    <t>TR2026_00234</t>
  </si>
  <si>
    <t>TR2026_00235</t>
  </si>
  <si>
    <t>TR2026_00236</t>
  </si>
  <si>
    <t>TR2026_00237</t>
  </si>
  <si>
    <t>TR2026_00238</t>
  </si>
  <si>
    <t>TR2026_00239</t>
  </si>
  <si>
    <t>TR2026_00240</t>
  </si>
  <si>
    <t>TR2026_00241</t>
  </si>
  <si>
    <t>TR2026_00242</t>
  </si>
  <si>
    <t>TR2026_00243</t>
  </si>
  <si>
    <t>TR2026_00244</t>
  </si>
  <si>
    <t>TR2026_00245</t>
  </si>
  <si>
    <t>TR2026_00246</t>
  </si>
  <si>
    <t>TR2026_00247</t>
  </si>
  <si>
    <t>TR2026_00248</t>
  </si>
  <si>
    <t>TR2026_00249</t>
  </si>
  <si>
    <t>TR2026_00250</t>
  </si>
  <si>
    <t>TR2026_00251</t>
  </si>
  <si>
    <t>TR2026_00252</t>
  </si>
  <si>
    <t>TR2026_00253</t>
  </si>
  <si>
    <t>TR2026_00254</t>
  </si>
  <si>
    <t>TR2026_00255</t>
  </si>
  <si>
    <t>TR2026_00256</t>
  </si>
  <si>
    <t>TR2026_00257</t>
  </si>
  <si>
    <t>TR2026_00258</t>
  </si>
  <si>
    <t>TR2026_00259</t>
  </si>
  <si>
    <t>TR2026_00260</t>
  </si>
  <si>
    <t>TR2026_00261</t>
  </si>
  <si>
    <t>TR2026_00262</t>
  </si>
  <si>
    <t>TR2026_00263</t>
  </si>
  <si>
    <t>TR2026_00264</t>
  </si>
  <si>
    <t>TR2026_00265</t>
  </si>
  <si>
    <t>TR2026_00266</t>
  </si>
  <si>
    <t>TR2026_00267</t>
  </si>
  <si>
    <t>TR2026_00268</t>
  </si>
  <si>
    <t>TR2026_00269</t>
  </si>
  <si>
    <t>TR2026_00270</t>
  </si>
  <si>
    <t>TR2026_00271</t>
  </si>
  <si>
    <t>TR2026_00272</t>
  </si>
  <si>
    <t>TR2026_00273</t>
  </si>
  <si>
    <t>TR2026_00274</t>
  </si>
  <si>
    <t>TR2026_00275</t>
  </si>
  <si>
    <t>TR2026_00276</t>
  </si>
  <si>
    <t>TR2026_00277</t>
  </si>
  <si>
    <t>TR2026_00278</t>
  </si>
  <si>
    <t>TR2026_00279</t>
  </si>
  <si>
    <t>TR2026_00280</t>
  </si>
  <si>
    <t>TR2026_00281</t>
  </si>
  <si>
    <t>TR2026_00282</t>
  </si>
  <si>
    <t>TR2026_00283</t>
  </si>
  <si>
    <t>TR2026_00284</t>
  </si>
  <si>
    <t>TR2026_00285</t>
  </si>
  <si>
    <t>TR2026_00286</t>
  </si>
  <si>
    <t>TR2026_00287</t>
  </si>
  <si>
    <t>TR2026_00288</t>
  </si>
  <si>
    <t>TR2026_00289</t>
  </si>
  <si>
    <t>TR2026_00290</t>
  </si>
  <si>
    <t>TR2026_00291</t>
  </si>
  <si>
    <t>TR2026_00292</t>
  </si>
  <si>
    <t>TR2026_00293</t>
  </si>
  <si>
    <t>TR2026_00294</t>
  </si>
  <si>
    <t>TR2026_00295</t>
  </si>
  <si>
    <t>TR2026_00296</t>
  </si>
  <si>
    <t>TR2026_00297</t>
  </si>
  <si>
    <t>TR2026_00298</t>
  </si>
  <si>
    <t>TR2026_00299</t>
  </si>
  <si>
    <t>TR2026_00300</t>
  </si>
  <si>
    <t>TR2026_00301</t>
  </si>
  <si>
    <t>TR2026_00302</t>
  </si>
  <si>
    <t>TR2026_00303</t>
  </si>
  <si>
    <t>TR2026_00304</t>
  </si>
  <si>
    <t>TR2026_00305</t>
  </si>
  <si>
    <t>TR2026_00306</t>
  </si>
  <si>
    <t>TR2026_00307</t>
  </si>
  <si>
    <t>TR2026_00308</t>
  </si>
  <si>
    <t>TR2026_00309</t>
  </si>
  <si>
    <t>TR2026_00310</t>
  </si>
  <si>
    <t>TR2026_00311</t>
  </si>
  <si>
    <t>TR2026_00312</t>
  </si>
  <si>
    <t>TR2026_00313</t>
  </si>
  <si>
    <t>TR2026_00314</t>
  </si>
  <si>
    <t>TR2026_00315</t>
  </si>
  <si>
    <t>TR2026_00316</t>
  </si>
  <si>
    <t>TR2026_00317</t>
  </si>
  <si>
    <t>TR2026_00318</t>
  </si>
  <si>
    <t>TR2026_00319</t>
  </si>
  <si>
    <t>TR2026_00320</t>
  </si>
  <si>
    <t>TR2026_00321</t>
  </si>
  <si>
    <t>TR2026_00322</t>
  </si>
  <si>
    <t>TR2026_00323</t>
  </si>
  <si>
    <t>TR2026_00324</t>
  </si>
  <si>
    <t>TR2026_00325</t>
  </si>
  <si>
    <t>Bemanningsavvik (Lav vakans)</t>
  </si>
  <si>
    <t>TR2026_00326</t>
  </si>
  <si>
    <t>TR2026_00327</t>
  </si>
  <si>
    <t>TR2026_00328</t>
  </si>
  <si>
    <t>TR2026_00329</t>
  </si>
  <si>
    <t>TR2026_00330</t>
  </si>
  <si>
    <t>TR2026_00331</t>
  </si>
  <si>
    <t>TR2026_00332</t>
  </si>
  <si>
    <t>TR2026_00333</t>
  </si>
  <si>
    <t>TR2026_00334</t>
  </si>
  <si>
    <t>TR2026_00335</t>
  </si>
  <si>
    <t>TR2026_00336</t>
  </si>
  <si>
    <t>TR2026_00337</t>
  </si>
  <si>
    <t>TR2026_00338</t>
  </si>
  <si>
    <t>TR2026_00339</t>
  </si>
  <si>
    <t>TR2026_00340</t>
  </si>
  <si>
    <t>TR2026_00341</t>
  </si>
  <si>
    <t>TR2026_00342</t>
  </si>
  <si>
    <t>TR2026_00343</t>
  </si>
  <si>
    <t>TR2026_00344</t>
  </si>
  <si>
    <t>TR2026_00345</t>
  </si>
  <si>
    <t>TR2026_00346</t>
  </si>
  <si>
    <t>TR2026_00347</t>
  </si>
  <si>
    <t>TR2026_00348</t>
  </si>
  <si>
    <t>TR2026_00349</t>
  </si>
  <si>
    <t>TR2026_00350</t>
  </si>
  <si>
    <t>TR2026_00351</t>
  </si>
  <si>
    <t>TR2026_00352</t>
  </si>
  <si>
    <t>TR2026_00353</t>
  </si>
  <si>
    <t>TR2026_00354</t>
  </si>
  <si>
    <t>TR2026_00355</t>
  </si>
  <si>
    <t>TR2026_00356</t>
  </si>
  <si>
    <t>TR2026_00357</t>
  </si>
  <si>
    <t>TR2026_00358</t>
  </si>
  <si>
    <t>TR2026_00359</t>
  </si>
  <si>
    <t>TR2026_00360</t>
  </si>
  <si>
    <t>TR2026_00361</t>
  </si>
  <si>
    <t>TR2026_00362</t>
  </si>
  <si>
    <t>TR2026_00363</t>
  </si>
  <si>
    <t>TR2026_00364</t>
  </si>
  <si>
    <t>TR2026_00365</t>
  </si>
  <si>
    <t>TR2026_00366</t>
  </si>
  <si>
    <t>TR2026_00367</t>
  </si>
  <si>
    <t>TR2026_00368</t>
  </si>
  <si>
    <t>TR2026_00369</t>
  </si>
  <si>
    <t>TR2026_00370</t>
  </si>
  <si>
    <t>TR2026_00371</t>
  </si>
  <si>
    <t>TR2026_00372</t>
  </si>
  <si>
    <t>TR2026_00373</t>
  </si>
  <si>
    <t>TR2026_00374</t>
  </si>
  <si>
    <t>TR2026_00375</t>
  </si>
  <si>
    <t>TR2026_00376</t>
  </si>
  <si>
    <t>TR2026_00377</t>
  </si>
  <si>
    <t>TR2026_00378</t>
  </si>
  <si>
    <t>TR2026_00379</t>
  </si>
  <si>
    <t>TR2026_00380</t>
  </si>
  <si>
    <t>TR2026_00381</t>
  </si>
  <si>
    <t>TR2026_00382</t>
  </si>
  <si>
    <t>TR2026_00383</t>
  </si>
  <si>
    <t>TR2026_00384</t>
  </si>
  <si>
    <t>TR2026_00385</t>
  </si>
  <si>
    <t>TR2026_00386</t>
  </si>
  <si>
    <t>TR2026_00387</t>
  </si>
  <si>
    <t>TR2026_00388</t>
  </si>
  <si>
    <t>TR2026_00389</t>
  </si>
  <si>
    <t>TR2026_00390</t>
  </si>
  <si>
    <t>TR2026_00391</t>
  </si>
  <si>
    <t>TR2026_00392</t>
  </si>
  <si>
    <t>TR2026_00393</t>
  </si>
  <si>
    <t>TR2026_00394</t>
  </si>
  <si>
    <t>TR2026_00395</t>
  </si>
  <si>
    <t>TR2026_00396</t>
  </si>
  <si>
    <t>TR2026_00397</t>
  </si>
  <si>
    <t>TR2026_00398</t>
  </si>
  <si>
    <t>TR2026_00399</t>
  </si>
  <si>
    <t>TR2026_00400</t>
  </si>
  <si>
    <t>TR2026_00401</t>
  </si>
  <si>
    <t>TR2026_00402</t>
  </si>
  <si>
    <t>TR2026_00403</t>
  </si>
  <si>
    <t>TR2026_00404</t>
  </si>
  <si>
    <t>TR2026_00405</t>
  </si>
  <si>
    <t>TR2026_00406</t>
  </si>
  <si>
    <t>TR2026_00407</t>
  </si>
  <si>
    <t>TR2026_00408</t>
  </si>
  <si>
    <t>TR2026_00409</t>
  </si>
  <si>
    <t>TR2026_00410</t>
  </si>
  <si>
    <t>TR2026_00411</t>
  </si>
  <si>
    <t>TR2026_00412</t>
  </si>
  <si>
    <t>TR2026_00413</t>
  </si>
  <si>
    <t>TR2026_00414</t>
  </si>
  <si>
    <t>TR2026_00415</t>
  </si>
  <si>
    <t>TR2026_00416</t>
  </si>
  <si>
    <t>TR2026_00417</t>
  </si>
  <si>
    <t>TR2026_00418</t>
  </si>
  <si>
    <t>TR2026_00419</t>
  </si>
  <si>
    <t>TR2026_00420</t>
  </si>
  <si>
    <t>TR2026_00421</t>
  </si>
  <si>
    <t>TR2026_00422</t>
  </si>
  <si>
    <t>TR2026_00423</t>
  </si>
  <si>
    <t>TR2026_00424</t>
  </si>
  <si>
    <t>TR2026_00425</t>
  </si>
  <si>
    <t>TR2026_00426</t>
  </si>
  <si>
    <t>TR2026_00427</t>
  </si>
  <si>
    <t>TR2026_00428</t>
  </si>
  <si>
    <t>TR2026_00429</t>
  </si>
  <si>
    <t>TR2026_00430</t>
  </si>
  <si>
    <t>TR2026_00431</t>
  </si>
  <si>
    <t>TR2026_00432</t>
  </si>
  <si>
    <t>TR2026_99999</t>
  </si>
  <si>
    <t>EVU001</t>
  </si>
  <si>
    <t>SRS 9 Avsetning for forventet tap på oppdrag (EVU001)</t>
  </si>
  <si>
    <t>DimForecastVersion</t>
  </si>
  <si>
    <t>DAX Measure Catalog — UiA HHU 2026–2027</t>
  </si>
  <si>
    <t>Validert mot importerte kolonnenavn. Kopier målene til en egen _Measures-tabell i Power Pivot / Power BI.</t>
  </si>
  <si>
    <t>Display Folder</t>
  </si>
  <si>
    <t>Measure</t>
  </si>
  <si>
    <t>Format</t>
  </si>
  <si>
    <t>DAX</t>
  </si>
  <si>
    <t>_01 Accounting</t>
  </si>
  <si>
    <t>Actual YTD</t>
  </si>
  <si>
    <t>Klar</t>
  </si>
  <si>
    <t>Actual YTD =
CALCULATE(SUM('FactGL'[Belop_signert]), 'FactGL'[Bokforingstype] = "Actual")</t>
  </si>
  <si>
    <t>Budsjett YTD</t>
  </si>
  <si>
    <t>Budsjett YTD =
CALCULATE(SUM('FactBudget'[BudsjettBelop]), 'DimDate'[ErActualYTD] = TRUE())</t>
  </si>
  <si>
    <t>Avvik YTD</t>
  </si>
  <si>
    <t>Avvik YTD = [Actual YTD] - [Budsjett YTD]</t>
  </si>
  <si>
    <t>Avvik YTD %</t>
  </si>
  <si>
    <t>Avvik YTD % = DIVIDE([Avvik YTD], [Budsjett YTD], 0)</t>
  </si>
  <si>
    <t>Monthly Actuals and Forecast</t>
  </si>
  <si>
    <t>Monthly Actuals and Forecast =
VAR CurrentMonth = MAX('DimDate'[MaanedNummer])
RETURN IF(CurrentMonth &lt;= 9, CALCULATE(SUM('FactGL'[Belop_signert]), 'FactGL'[Bokforingstype] = "Actual"), CALCULATE(SUM('FactGL'[Belop_signert]), 'FactGL'[Bokforingstype] = "Forecast"))</t>
  </si>
  <si>
    <t>_02 Forecast &amp; LE</t>
  </si>
  <si>
    <t>Forecast Q4 (ETC)</t>
  </si>
  <si>
    <t>Forecast Q4 (ETC) = CALCULATE(SUM('FactGL'[Belop_signert]), 'FactGL'[Bokforingstype] = "Forecast")</t>
  </si>
  <si>
    <t>Forecast LE (EAC)</t>
  </si>
  <si>
    <t>Forecast LE (EAC) = [Actual YTD] + [Forecast Q4 (ETC)]</t>
  </si>
  <si>
    <t>Årsbudsjett (BAC)</t>
  </si>
  <si>
    <t>Årsbudsjett (BAC) = SUM('FactBudget'[BudsjettBelop])</t>
  </si>
  <si>
    <t>Sluttavvik (VAC)</t>
  </si>
  <si>
    <t>Sluttavvik (VAC) = [Årsbudsjett (BAC)] - [Forecast LE (EAC)]</t>
  </si>
  <si>
    <t>VAC %</t>
  </si>
  <si>
    <t>VAC % = DIVIDE([Sluttavvik (VAC)], [Årsbudsjett (BAC)], 0)</t>
  </si>
  <si>
    <t>_03 Temporal YoY &amp; MoM</t>
  </si>
  <si>
    <t>Actual PM</t>
  </si>
  <si>
    <t>Actual PM = CALCULATE([Actual YTD], PREVIOUSMONTH('DimDate'[Dato]))</t>
  </si>
  <si>
    <t>Actual CM</t>
  </si>
  <si>
    <t>Actual CM = CALCULATE(SUM('FactGL'[Belop_signert]), 'FactGL'[Bokforingstype] = "Actual")</t>
  </si>
  <si>
    <t>Actual MoM</t>
  </si>
  <si>
    <t>Actual MoM = [Actual CM] - [Actual PM]</t>
  </si>
  <si>
    <t>Actual MoM %</t>
  </si>
  <si>
    <t>Actual MoM % = DIVIDE([Actual MoM], [Actual PM], 0)</t>
  </si>
  <si>
    <t>Actual PY</t>
  </si>
  <si>
    <t>Krever 2025-data</t>
  </si>
  <si>
    <t>Actual PY = CALCULATE([Actual YTD], SAMEPERIODLASTYEAR('DimDate'[Dato]))</t>
  </si>
  <si>
    <t>_04 EVM</t>
  </si>
  <si>
    <t>Planned Value (PV)</t>
  </si>
  <si>
    <t>Planned Value (PV) = MAX('FactEVM'[PlannedValue_PV])</t>
  </si>
  <si>
    <t>Earned Value (EV)</t>
  </si>
  <si>
    <t>Earned Value (EV) = MAX('FactEVM'[EarnedValue_EV])</t>
  </si>
  <si>
    <t>Actual Cost (AC)</t>
  </si>
  <si>
    <t>Actual Cost (AC) = MAX('FactEVM'[ActualCost_AC])</t>
  </si>
  <si>
    <t>CPI</t>
  </si>
  <si>
    <t>CPI = DIVIDE([Earned Value (EV)], [Actual Cost (AC)], 1)</t>
  </si>
  <si>
    <t>SPI</t>
  </si>
  <si>
    <t>SPI = DIVIDE([Earned Value (EV)], [Planned Value (PV)], 1)</t>
  </si>
  <si>
    <t>_05 Staffing &amp; FTE</t>
  </si>
  <si>
    <t>Totale Årsverk</t>
  </si>
  <si>
    <t>Totale Årsverk =
VAR D = MAX('FactFTE'[DatoNokkel])
RETURN CALCULATE(SUM('FactFTE'[Aarsverk_Totalt]), 'FactFTE'[DatoNokkel] = D)</t>
  </si>
  <si>
    <t>Faglige Årsverk (UF)</t>
  </si>
  <si>
    <t>Faglige Årsverk (UF) =
VAR D = MAX('FactFTE'[DatoNokkel])
RETURN CALCULATE(SUM('FactFTE'[Aarsverk_UF]), 'FactFTE'[DatoNokkel] = D)</t>
  </si>
  <si>
    <t>Teknisk-Admin Årsverk (TA)</t>
  </si>
  <si>
    <t>Teknisk-Admin Årsverk (TA) =
VAR D = MAX('FactFTE'[DatoNokkel])
RETURN CALCULATE(SUM('FactFTE'[Aarsverk_TA]), 'FactFTE'[DatoNokkel] = D)</t>
  </si>
  <si>
    <t>Faglig Andel %</t>
  </si>
  <si>
    <t>Faglig Andel % = DIVIDE([Faglige Årsverk (UF)], [Totale Årsverk], 0)</t>
  </si>
  <si>
    <t>Vakansgrad %</t>
  </si>
  <si>
    <t>Vakansgrad % =
VAR D = MAX('FactFTE'[DatoNokkel])
VAR B = CALCULATE(SUM('FactFTE'[Budsjettert_Aarsverk]), 'FactFTE'[DatoNokkel] = D)
RETURN DIVIDE(B - [Totale Årsverk], B, 0)</t>
  </si>
  <si>
    <t>_06 Utdanning &amp; SPE60</t>
  </si>
  <si>
    <t>Registrerte Studenter 2027</t>
  </si>
  <si>
    <t>Registrerte Studenter 2027 =
VAR D = MAX('FactStudents_2027'[DatoNokkel])
RETURN CALCULATE(SUM('FactStudents_2027'[RegistrerteStudenter]), 'FactStudents_2027'[DatoNokkel] = D)</t>
  </si>
  <si>
    <t>Avlagte SPE60 2027</t>
  </si>
  <si>
    <t>Avlagte SPE60 2027 =
VAR D = MAX('FactStudents_2027'[DatoNokkel])
RETURN CALCULATE(SUM('FactStudents_2027'[SPE60]), 'FactStudents_2027'[DatoNokkel] = D)</t>
  </si>
  <si>
    <t>KD Kat 1 Resultatutbetaling 2027</t>
  </si>
  <si>
    <t>KD Kat 1 Resultatutbetaling 2027 =
VAR D = MAX('FactStudents_2027'[DatoNokkel])
RETURN CALCULATE(SUM('FactStudents_2027'[KD_Marginal_Inntekt_2027]), 'FactStudents_2027'[DatoNokkel] = D, 'FactStudents_2027'[KDKategori] = "Kategori 1")</t>
  </si>
  <si>
    <t>_07 Action Tracker</t>
  </si>
  <si>
    <t>Forventet Tiltakseffekt 2026</t>
  </si>
  <si>
    <t>Forventet Tiltakseffekt 2026 = SUM('FactAction'[ForventetInnsparingNOK])</t>
  </si>
  <si>
    <t>Realisert Tiltakseffekt 2026</t>
  </si>
  <si>
    <t>Realisert Tiltakseffekt 2026 = SUM('FactAction'[RealisertInnsparingNOK])</t>
  </si>
  <si>
    <t>Tiltak Realiseringsgrad 2026 %</t>
  </si>
  <si>
    <t>Tiltak Realiseringsgrad 2026 % = DIVIDE([Realisert Tiltakseffekt 2026], [Forventet Tiltakseffekt 2026], 0)</t>
  </si>
  <si>
    <t>_10 HHU 2027 Budsjett</t>
  </si>
  <si>
    <t>BUD2027 Inntekter HHU</t>
  </si>
  <si>
    <t>BUD2027 Inntekter HHU = CALCULATE(SUM('FactBudget_2027'[BudsjettBelop]), 'DimAccountHierarchy'[Kontotype] = "Inntekt", 'FactBudget_2027'[VersjonKode] = "BUD2027")</t>
  </si>
  <si>
    <t>BUD2027 Kostnader HHU</t>
  </si>
  <si>
    <t>BUD2027 Kostnader HHU = CALCULATE(SUM('FactBudget_2027'[BudsjettBelop]), 'DimAccountHierarchy'[Kontotype] = "Kostnad", 'FactBudget_2027'[VersjonKode] = "BUD2027")</t>
  </si>
  <si>
    <t>BUD2027 Netto Resultat HHU</t>
  </si>
  <si>
    <t>BUD2027 Netto Resultat HHU = [BUD2027 Inntekter HHU] - [BUD2027 Kostnader HHU]</t>
  </si>
  <si>
    <t>HHU Lønnsandel 2027 %</t>
  </si>
  <si>
    <t>HHU Lønnsandel 2027 % =
VAR L = CALCULATE(SUM('FactBudget_2027'[BudsjettBelop]), 'DimAccountHierarchy'[Nivaa1_Navn] = "Lønnskostnad")
RETURN DIVIDE(L, [BUD2027 Inntekter HHU], 0)</t>
  </si>
  <si>
    <t>_08 RAG &amp; Design</t>
  </si>
  <si>
    <t>HHU 2027 RAG Status Badge</t>
  </si>
  <si>
    <t>Text</t>
  </si>
  <si>
    <t>HHU 2027 RAG Status Badge =
VAR R = [BUD2027 Netto Resultat HHU]
VAR L = [HHU Lønnsandel 2027 %]
RETURN SWITCH(TRUE(), R &gt;= 4000000 &amp;&amp; L &lt;= 0.645, "🟢 Sterk margin", R &gt;= 0, "🟡 Moderat overskudd", "🔴 Underskudd / Høy lønnsandel")</t>
  </si>
  <si>
    <t>UiA HHU — Datamodell 2026–2027</t>
  </si>
  <si>
    <t>Importkontroll, nøkkeltall og oppsett for Power Pivot / Power BI</t>
  </si>
  <si>
    <t>Kontrollpunkt</t>
  </si>
  <si>
    <t>Verdi</t>
  </si>
  <si>
    <t>FactBudget 2026 total</t>
  </si>
  <si>
    <t>FactGL 2026 LE total</t>
  </si>
  <si>
    <t>FactBudget 2027 inntekter</t>
  </si>
  <si>
    <t>FactBudget 2027 kostnader</t>
  </si>
  <si>
    <t>FactBudget 2027 netto resultat</t>
  </si>
  <si>
    <t>Modellstatus</t>
  </si>
  <si>
    <t>Omfang</t>
  </si>
  <si>
    <t>Merknad</t>
  </si>
  <si>
    <t>Importert</t>
  </si>
  <si>
    <t>16 kildetabeller</t>
  </si>
  <si>
    <t>Relasjoner dokumentert</t>
  </si>
  <si>
    <t>22 relasjoner</t>
  </si>
  <si>
    <t>11 kilde-relasjoner + 11 modellkompletteringer</t>
  </si>
  <si>
    <t>DAX validert</t>
  </si>
  <si>
    <t>36 mål</t>
  </si>
  <si>
    <t>Korrigert mot faktiske kolonnenavn</t>
  </si>
  <si>
    <t>Datamodellhandling</t>
  </si>
  <si>
    <t>Manuell sluttføring</t>
  </si>
  <si>
    <t>Legg Excel-tabellene i Data Model og opprett målene fra DAX Measures</t>
  </si>
  <si>
    <t>Viktig datakvalitetsfunn</t>
  </si>
  <si>
    <t>CSV-verdi</t>
  </si>
  <si>
    <t>Dokumentert verdi</t>
  </si>
  <si>
    <t>Differanse</t>
  </si>
  <si>
    <t>Konsekvens</t>
  </si>
  <si>
    <t>Anbefaling</t>
  </si>
  <si>
    <t>BUD2027 inntekter</t>
  </si>
  <si>
    <t>Netto blir 4,07 MNOK, ikke 6,07 MNOK</t>
  </si>
  <si>
    <t>Avklar manglende 2,0 MNOK inntektslinje før publisering</t>
  </si>
  <si>
    <t>Tabell</t>
  </si>
  <si>
    <t>Datarader</t>
  </si>
  <si>
    <t>Relationships</t>
  </si>
  <si>
    <t>Alle 1 448 datarader fra CSV-settet</t>
  </si>
  <si>
    <t>HHU LEDERRAPPORT 2026</t>
  </si>
  <si>
    <t>September YTD + Q4-prognose | 3–30–300 beslutningsvisning</t>
  </si>
  <si>
    <t>HELÅRSPROGNOSE</t>
  </si>
  <si>
    <t>SLUTTAVVIK (VAC)</t>
  </si>
  <si>
    <t>ÅRSVERK</t>
  </si>
  <si>
    <t>EVM EFFEKTIVITET</t>
  </si>
  <si>
    <t>STUDENTER</t>
  </si>
  <si>
    <t>Månedsutvikling: regnskap/prognose mot budsjett</t>
  </si>
  <si>
    <t>Sluttavvik per enhet</t>
  </si>
  <si>
    <t>LEDELSESKONKLUSJON</t>
  </si>
  <si>
    <t>2026 ventes 0,52 MNOK innenfor budsjett, drevet av 1,15 MNOK mindreforbruk i Rettsvitenskap. Økonomi ligger 0,71 MNOK over plan, og EVM-indeksene CPI 0,97 / SPI 0,98 viser fortsatt moderat gjennomføringsrisiko. Prioriter BOA-frikjøp, EVU-kontroll og bemanningsstyring før årsavslutningen.</t>
  </si>
  <si>
    <t>Datagrunnlag: alle 432 budsjettlinjer, 433 GL-linjer, 48 FTE-rader og 12 studentrader.</t>
  </si>
  <si>
    <t>Måned</t>
  </si>
  <si>
    <t>Budsjett</t>
  </si>
  <si>
    <t>Regnskap / prognose</t>
  </si>
  <si>
    <t>Fase</t>
  </si>
  <si>
    <t>Enhet</t>
  </si>
  <si>
    <t>Sluttavvik</t>
  </si>
  <si>
    <t>Administrasjon</t>
  </si>
  <si>
    <t>Ledelse og innovasjon</t>
  </si>
  <si>
    <t>Rettsvitenskap</t>
  </si>
  <si>
    <t>Økonomi</t>
  </si>
  <si>
    <t>ENHETS- OG TILTAKSANALYSE 2026</t>
  </si>
  <si>
    <t>Avvik, bemanning og gjennomføring — full dekning av HHUs fire budsjettansvarsområder</t>
  </si>
  <si>
    <t>LE / helår</t>
  </si>
  <si>
    <t>Avvik %</t>
  </si>
  <si>
    <t>UF-ÅV</t>
  </si>
  <si>
    <t>TA-ÅV</t>
  </si>
  <si>
    <t>Totale ÅV</t>
  </si>
  <si>
    <t>RAG</t>
  </si>
  <si>
    <t>Fakultetsadministrasjon &amp; Felles</t>
  </si>
  <si>
    <t>TILTAK — FORVENTET MOT REALISERT</t>
  </si>
  <si>
    <t>Tiltak</t>
  </si>
  <si>
    <t>Forventet</t>
  </si>
  <si>
    <t>Realisert</t>
  </si>
  <si>
    <t>Grad</t>
  </si>
  <si>
    <t>Frist</t>
  </si>
  <si>
    <t>ANALYTISK KONKLUSJON</t>
  </si>
  <si>
    <t>Rettsvitenskap er hoveddriveren bak positivt sluttavvik (+1,15 MNOK), mens Økonomi har størst oppfølgingsbehov (–0,71 MNOK). Tiltakene har realisert 3,60 av 4,60 MNOK (78,3 %). De største gjenstående gapene ligger i BOA-frikjøp (0,40 MNOK) og EVU-kontroll (0,35 MNOK).</t>
  </si>
  <si>
    <t>HHU BUDSJETT- OG KAPASITETSPLAN 2027</t>
  </si>
  <si>
    <t>Driverbasert plan | økonomi, bemanning, utdanning og tiltak</t>
  </si>
  <si>
    <t>INNTEKTER</t>
  </si>
  <si>
    <t>🔴 2,0 MNOK under dokumentert ramme</t>
  </si>
  <si>
    <t>KOSTNADER</t>
  </si>
  <si>
    <t>282,0 MNOK plan</t>
  </si>
  <si>
    <t>NETTO RESULTAT</t>
  </si>
  <si>
    <t>LØNNSANDEL</t>
  </si>
  <si>
    <t>🔴 Over mål 64,5 %</t>
  </si>
  <si>
    <t>3 153 SPE60 | 22,3 stud./UF</t>
  </si>
  <si>
    <t>ØKONOMI OG KAPASITET PER ENHET</t>
  </si>
  <si>
    <t>Inntekter</t>
  </si>
  <si>
    <t>Kostnader</t>
  </si>
  <si>
    <t>Netto</t>
  </si>
  <si>
    <t>ÅV</t>
  </si>
  <si>
    <t>Studenter</t>
  </si>
  <si>
    <t>Effekt</t>
  </si>
  <si>
    <t>Beslutningsdriver</t>
  </si>
  <si>
    <t>T001</t>
  </si>
  <si>
    <t>Vakans / lønn</t>
  </si>
  <si>
    <t>T002</t>
  </si>
  <si>
    <t>Faglig reallokering</t>
  </si>
  <si>
    <t>T003</t>
  </si>
  <si>
    <t>EVU-inntekt</t>
  </si>
  <si>
    <t>T004</t>
  </si>
  <si>
    <t>TDI / BOA</t>
  </si>
  <si>
    <t>Inntekter og kostnader per enhet</t>
  </si>
  <si>
    <t>BESLUTNINGSSTØTTE</t>
  </si>
  <si>
    <t>1. Avklar manglende 2,0 MNOK inntekt før budsjettet publiseres.
2. Konto-basert lønnsandel er 66,8 %, over mål 64,5 %; avstem mot FTE-filens 63,9 %.
3. Beskytt tiltak T003/T004: 3,2 MNOK inntektsvekst fra EVU og BOA er nødvendig for handlingsrommet.
4. K13000 bærer 45 % av inntektene og krever tett prosjekt- og kapasitetsstyring.</t>
  </si>
  <si>
    <t>RAPPORTPAKKE</t>
  </si>
  <si>
    <t>Ark</t>
  </si>
  <si>
    <t>Formål</t>
  </si>
  <si>
    <t>Hovedsignal</t>
  </si>
  <si>
    <t>Executive Report</t>
  </si>
  <si>
    <t>3-sekunders lederstatus</t>
  </si>
  <si>
    <t>2026: +0,52 MNOK mot plan</t>
  </si>
  <si>
    <t>Unit Analysis</t>
  </si>
  <si>
    <t>300-sekunders detaljanalyse</t>
  </si>
  <si>
    <t>Rettsvitenskap +1,15 / Økonomi −0,71 MNOK</t>
  </si>
  <si>
    <t>2027 Plan Report</t>
  </si>
  <si>
    <t>Fremoverskuende beslutningsstøtte</t>
  </si>
  <si>
    <t>4,07 MNOK resultat; 2,0 MNOK inntektsgap</t>
  </si>
  <si>
    <t>🟡 Positiv, men 2,0 MNOK under mål</t>
  </si>
  <si>
    <t>RAG:  🟢 innenfor mål   |   🟡 moderat avvik / oppfølging   |   🔴 kritisk avvik</t>
  </si>
  <si>
    <t>RAG: budsjettavvik ≥0 % grønt, 0 til −5 % gult, &lt;−5 % rødt | tiltak ≥100 % grønt, 75–99,9 % gult, &lt;75 % rødt</t>
  </si>
  <si>
    <t>RAG: grønt = mål oppfylt | gult = moderat avvik som krever oppfølging | rødt = målbrudd eller kritisk datagap</t>
  </si>
  <si>
    <t>Visual RAG: grønn = innenfor plan | gul = 0–5 % over plan | rød = &gt;5 % over plan</t>
  </si>
  <si>
    <t>Diagrammet viser nivåer (nøytral palett); RAG brukes på nettoresultat og måloppnåelse i tabell/KPI-kort.</t>
  </si>
  <si>
    <t>DETALJERT AVVIKSANALYSE OG HANDLINGSPLAN</t>
  </si>
  <si>
    <t>HHU 2026 Latest Estimate | Fra totalavvik til rotårsak, tiltak og ansvar</t>
  </si>
  <si>
    <t>Netto sluttavvik</t>
  </si>
  <si>
    <t>Positive drivere</t>
  </si>
  <si>
    <t>Negative drivere</t>
  </si>
  <si>
    <t>Tiltaksgap</t>
  </si>
  <si>
    <t>Største risiko</t>
  </si>
  <si>
    <t>K13000 lønn</t>
  </si>
  <si>
    <t>1. AVVIKSDRIVERE — BUDSJETT MINUS LATEST ESTIMATE</t>
  </si>
  <si>
    <t>Driver</t>
  </si>
  <si>
    <t>LE</t>
  </si>
  <si>
    <t>Avvik</t>
  </si>
  <si>
    <t>Fast lønn</t>
  </si>
  <si>
    <t>EVU001 tapsavsetning</t>
  </si>
  <si>
    <t>AACSB konsulentkostnad</t>
  </si>
  <si>
    <t>Midlertidig lønn / timelærere</t>
  </si>
  <si>
    <t>2. MÅNEDSHOTSPOTS</t>
  </si>
  <si>
    <t>Netto avvik</t>
  </si>
  <si>
    <t>Forklaring</t>
  </si>
  <si>
    <t>Feriepenger + lønnseffekt</t>
  </si>
  <si>
    <t>EVU001-avsetning + AACSB</t>
  </si>
  <si>
    <t>Normal Q4-prognose</t>
  </si>
  <si>
    <t>Øvrige måneder</t>
  </si>
  <si>
    <t>Stabile, hovedsakelig favorable</t>
  </si>
  <si>
    <t>3. PRIORITERT HANDLINGSPLAN</t>
  </si>
  <si>
    <t>Prioritet</t>
  </si>
  <si>
    <t>Rotårsak / observasjon</t>
  </si>
  <si>
    <t>Anbefalt handling</t>
  </si>
  <si>
    <t>Eier</t>
  </si>
  <si>
    <t>Brutto gap</t>
  </si>
  <si>
    <t>Forventet effekt</t>
  </si>
  <si>
    <t>KPI / kontrollpunkt</t>
  </si>
  <si>
    <t>Beslutning nå</t>
  </si>
  <si>
    <t>Oppfølging</t>
  </si>
  <si>
    <t>K13000 Økonomi</t>
  </si>
  <si>
    <t>Fast lønn og AGA gir 1,12 MNOK merforbruk før feriepengeeffekt.</t>
  </si>
  <si>
    <t>Lås nyansettelser uten finansiering; realiser resterende BOA-frikjøp og månedlig avstem lønnsfil mot UBW.</t>
  </si>
  <si>
    <t>Månedlig lønnsavvik ≤ 0; T002 realisering 100 %</t>
  </si>
  <si>
    <t>🔴 Høy</t>
  </si>
  <si>
    <t>Godkjenn lønns- og BOA-tiltaksplan</t>
  </si>
  <si>
    <t>Ukentlig til gap &lt;0,2 MNOK</t>
  </si>
  <si>
    <t>K11000 Ledelse/innovasjon</t>
  </si>
  <si>
    <t>EVU001 tapsavsetning 0,35 MNOK og 0,06 MNOK ekstra midlertidig lønn.</t>
  </si>
  <si>
    <t>Fullfør EVU-lønnsomhetsanalyse, revider kontraktsmargin og stopp nye leveranser uten dokumentert dekningsbidrag.</t>
  </si>
  <si>
    <t>T003 realisering 100 %; EVU DB ≥ 0</t>
  </si>
  <si>
    <t>Beslutt korrigert EVU-scope/pris</t>
  </si>
  <si>
    <t>Annenhver uke</t>
  </si>
  <si>
    <t>K12000 Rettsvitenskap</t>
  </si>
  <si>
    <t>Vakans og lavere lønnsrelaterte kostnader gir 1,15 MNOK mindreforbruk.</t>
  </si>
  <si>
    <t>Beskytt besparelsen; tillat bare kritiske ansettelser og vurder faglig kapasitetsrisiko før permanent reduksjon.</t>
  </si>
  <si>
    <t>Instituttleder Rettsvitenskap</t>
  </si>
  <si>
    <t>VAC ≥ +0,8 MNOK og forsvarlig undervisningskapasitet</t>
  </si>
  <si>
    <t>🟢 Sikre</t>
  </si>
  <si>
    <t>Bekreft rekrutteringsplan 2027</t>
  </si>
  <si>
    <t>Månedlig</t>
  </si>
  <si>
    <t>K10000 Administrasjon</t>
  </si>
  <si>
    <t>AACSB-konsulentkostnad er 0,06 MNOK over plan, delvis motvirket av lavere feriepenger.</t>
  </si>
  <si>
    <t>Fastsett gjenværende AACSB-scope og innfør endringsgodkjenning for tilleggstimer.</t>
  </si>
  <si>
    <t>Ingen nye ikke-godkjente konsulenttimer</t>
  </si>
  <si>
    <t>🟡 Moderat</t>
  </si>
  <si>
    <t>Godkjenn kostnadstak</t>
  </si>
  <si>
    <t>Ved hver bestilling</t>
  </si>
  <si>
    <t>Tiltaksportefølje</t>
  </si>
  <si>
    <t>Samlet urealisert tiltaksgap er 1,00 MNOK; T003 har lavest grad på 56,3 %.</t>
  </si>
  <si>
    <t>Etabler én samlet lukkeplan for T001–T003 med ukentlig eierstatus, beløpsbevis og eskalering ved manglende fremdrift.</t>
  </si>
  <si>
    <t>Realisert grad ≥ 90 % innen november</t>
  </si>
  <si>
    <t>Mandater ukentlig tiltakstavle</t>
  </si>
  <si>
    <t>Ukentlig</t>
  </si>
  <si>
    <t>LEDELSESVURDERING</t>
  </si>
  <si>
    <t>Nettoresultatet er positivt, men robustheten er svak: 1,15 MNOK i vakansbesparelse ved Rettsvitenskap dekker i stor grad lønnsmerforbruket i Økonomi og avvik knyttet til EVU/AACSB. Ledelsen bør derfor ikke tolke +0,52 MNOK som strukturelt handlingsrom. Første prioritet er å lukke lønns- og BOA-gapet i K13000; andre prioritet er å stoppe videre marginerosjon i EVU001. Besparelsen i K12000 bør beholdes som buffer inntil disse risikoene er lukket.</t>
  </si>
  <si>
    <t>K13000 – Fast lønn</t>
  </si>
  <si>
    <t>K12000 – Fast lønn</t>
  </si>
  <si>
    <t>K13000 – Feriepenger</t>
  </si>
  <si>
    <t>K11000 – Feriepenger</t>
  </si>
  <si>
    <t>K12000 – Feriepenger</t>
  </si>
  <si>
    <t>K11000 – EVU001 tapsavsetning</t>
  </si>
  <si>
    <t>K10000 – Feriepenger</t>
  </si>
  <si>
    <t>K13000 – Arbeidsgiveravgift</t>
  </si>
  <si>
    <t>K12000 – Arbeidsgiveravgift</t>
  </si>
  <si>
    <t>K10000 – AACSB konsulent</t>
  </si>
  <si>
    <t>K11000 – Midlertidig lønn</t>
  </si>
  <si>
    <t>BUDSJETTPROSESS 2027 — STYRING, ANALYSE OG BESLUTNINGER</t>
  </si>
  <si>
    <t>Handelshøyskolen ved UiA | Fra rammeforutsetninger til systemfrys og løpende prognose</t>
  </si>
  <si>
    <t>282,0 MNOK</t>
  </si>
  <si>
    <t>RESULTAT</t>
  </si>
  <si>
    <t>🟡 Positivt, men under målet</t>
  </si>
  <si>
    <t>🟡 66,8 % mot mål ≤64,5 %</t>
  </si>
  <si>
    <t>230 planlagt | 3,5 % vakans</t>
  </si>
  <si>
    <t>1. PROSESSKART OG BESLUTNINGSPORTER</t>
  </si>
  <si>
    <t>Tidspunkt</t>
  </si>
  <si>
    <t>Hovedspørsmål</t>
  </si>
  <si>
    <t>Nøkkelaktiviteter</t>
  </si>
  <si>
    <t>Datagrunnlag</t>
  </si>
  <si>
    <t>Leveranse</t>
  </si>
  <si>
    <t>Beslutningsport</t>
  </si>
  <si>
    <t>Kontroll</t>
  </si>
  <si>
    <t>Avhengighet</t>
  </si>
  <si>
    <t>Neste handling</t>
  </si>
  <si>
    <t>Hva er bindende ramme?</t>
  </si>
  <si>
    <t>Avstem KD-/UiA-ramme, kontoplan og versjon</t>
  </si>
  <si>
    <t>Tildelingsbrev, BUD2026</t>
  </si>
  <si>
    <t>Senior Controller</t>
  </si>
  <si>
    <t>Rammebrev og forutsetningsnotat</t>
  </si>
  <si>
    <t>Ramme godkjent</t>
  </si>
  <si>
    <t>Nesten ferdig</t>
  </si>
  <si>
    <t>🟡</t>
  </si>
  <si>
    <t>Én signert rammeversjon</t>
  </si>
  <si>
    <t>Sentral økonomi</t>
  </si>
  <si>
    <t>Avklar 2,0 MNOK inntektsgap</t>
  </si>
  <si>
    <t>Sep–okt 2026</t>
  </si>
  <si>
    <t>Hvilke drivere forklarer 2027?</t>
  </si>
  <si>
    <t>Valider SPE60-lag, lønn, vakans, TDI/BOA, EVU og Capex</t>
  </si>
  <si>
    <t>FS, HR, prosjektportefølje</t>
  </si>
  <si>
    <t>Controller + fagledelse</t>
  </si>
  <si>
    <t>Dokumentert driverbok</t>
  </si>
  <si>
    <t>Drivere godkjent</t>
  </si>
  <si>
    <t>Krever avstemming</t>
  </si>
  <si>
    <t>🔴</t>
  </si>
  <si>
    <t>Kilde, eier og beløp per driver</t>
  </si>
  <si>
    <t>HR, FS og prosjektøkonomi</t>
  </si>
  <si>
    <t>Avstem lønnsandel 66,8/63,9/64,2 %</t>
  </si>
  <si>
    <t>Okt 2026</t>
  </si>
  <si>
    <t>Er enhetsplanene realistiske?</t>
  </si>
  <si>
    <t>Instituttvise bemannings-, undervisnings- og driftsplaner</t>
  </si>
  <si>
    <t>Budsjett- og FTE-tabeller</t>
  </si>
  <si>
    <t>Instituttledere</t>
  </si>
  <si>
    <t>Fire enhetsbudsjetter</t>
  </si>
  <si>
    <t>Enhetsleder sign-off</t>
  </si>
  <si>
    <t>Datagrunnlag klart</t>
  </si>
  <si>
    <t>🟢</t>
  </si>
  <si>
    <t>Budsjett = bemanning + aktivitet</t>
  </si>
  <si>
    <t>Godkjente stillingshjemler</t>
  </si>
  <si>
    <t>Dokumenter lokale forutsetninger</t>
  </si>
  <si>
    <t>Okt–nov 2026</t>
  </si>
  <si>
    <t>Tåler planen risiko og scenarioer?</t>
  </si>
  <si>
    <t>Konsolidering, sensitiviteter, langtidsprognose og reserveanalyse</t>
  </si>
  <si>
    <t>BUD2027 og tiltak</t>
  </si>
  <si>
    <t>Scenario- og risikorapport</t>
  </si>
  <si>
    <t>Ledelsesgjennomgang</t>
  </si>
  <si>
    <t>Åpent gap</t>
  </si>
  <si>
    <t>Resultat, lønnsandel og RAG</t>
  </si>
  <si>
    <t>Fullført fase 1–3</t>
  </si>
  <si>
    <t>Kjør downside på inntekt og BOA</t>
  </si>
  <si>
    <t>Nov–des 2026</t>
  </si>
  <si>
    <t>Kan baseline låses?</t>
  </si>
  <si>
    <t>Kvalitetssikring, styresak, godkjenning og UBW-frys</t>
  </si>
  <si>
    <t>Budsjettnotat og kontrolliste</t>
  </si>
  <si>
    <t>Fakultetsdirektør / styret</t>
  </si>
  <si>
    <t>Godkjent og låst BUD2027</t>
  </si>
  <si>
    <t>Formelt vedtak</t>
  </si>
  <si>
    <t>Ikke klar</t>
  </si>
  <si>
    <t>Ingen uforklarte differanser</t>
  </si>
  <si>
    <t>Lukket inntekts- og lønnsgap</t>
  </si>
  <si>
    <t>Utsett frys til avstemming er signert</t>
  </si>
  <si>
    <t>Jan–des 2027</t>
  </si>
  <si>
    <t>Leverer vi mot vedtatt plan?</t>
  </si>
  <si>
    <t>Månedlig actual vs budget, LE, RAG og tiltak</t>
  </si>
  <si>
    <t>FactGL, FactAction, Power BI</t>
  </si>
  <si>
    <t>Controller + enhetsledere</t>
  </si>
  <si>
    <t>Månedsrapport og revidert LE</t>
  </si>
  <si>
    <t>Månedlig ledermøte</t>
  </si>
  <si>
    <t>Planlagt</t>
  </si>
  <si>
    <t>⚪</t>
  </si>
  <si>
    <t>Avvik, forecast og tiltak</t>
  </si>
  <si>
    <t>Låst BUD2027</t>
  </si>
  <si>
    <t>Etabler rapportkalender M01–M12</t>
  </si>
  <si>
    <t>2. DRIVERANALYSE OG MODELLAVSTEMMING</t>
  </si>
  <si>
    <t>Mekanisme</t>
  </si>
  <si>
    <t>Kvantifisering</t>
  </si>
  <si>
    <t>Budsjetteffekt</t>
  </si>
  <si>
    <t>Risiko</t>
  </si>
  <si>
    <t>Kontrollaktivitet</t>
  </si>
  <si>
    <t>KD/SPE60 2-års lag</t>
  </si>
  <si>
    <t>2025-produksjon styrer 2027-utbetaling</t>
  </si>
  <si>
    <t>+33 SPE60 × 54 550 kr</t>
  </si>
  <si>
    <t>+1,80 MNOK inntekt</t>
  </si>
  <si>
    <t>Lav sats kan gi negativ marginaløkonomi</t>
  </si>
  <si>
    <t>Avstem FS mot finansieringsgrunnlag</t>
  </si>
  <si>
    <t>Studiedirektør / Controller</t>
  </si>
  <si>
    <t>Basisbevilgning</t>
  </si>
  <si>
    <t>Eksisterende volum ligger i fast basis</t>
  </si>
  <si>
    <t>251,8 MNOK konto 3900</t>
  </si>
  <si>
    <t>Stabiliserer inntektene</t>
  </si>
  <si>
    <t>Feil rammeversjon påvirker hele modellen</t>
  </si>
  <si>
    <t>Signert rammebrev og versjonskontroll</t>
  </si>
  <si>
    <t>Bemanning og vakans</t>
  </si>
  <si>
    <t>230 planlagte ÅV med 3,5 % vakans</t>
  </si>
  <si>
    <t>221,94 effektive ÅV</t>
  </si>
  <si>
    <t>Reduserer lønnsbelastning</t>
  </si>
  <si>
    <t>Tidligere oppstart øker kostnaden</t>
  </si>
  <si>
    <t>Stillingsregister og månedlig lønnsbro</t>
  </si>
  <si>
    <t>HR + instituttledere</t>
  </si>
  <si>
    <t>BOA/TDI</t>
  </si>
  <si>
    <t>Frikjøp flytter lønn og gir overhead</t>
  </si>
  <si>
    <t>T004: 1,80 MNOK; ca. 22 % OH</t>
  </si>
  <si>
    <t>Bedrer BFV-handlingsrom</t>
  </si>
  <si>
    <t>Underdekning subsidierer prosjekter</t>
  </si>
  <si>
    <t>Prosjektkalkyle og dekningsgradsport</t>
  </si>
  <si>
    <t>Forskningsleder</t>
  </si>
  <si>
    <t>EVU/SRS 9</t>
  </si>
  <si>
    <t>Inntekt etter fullføringsgrad; tap avsettes straks</t>
  </si>
  <si>
    <t>T003: 1,40 MNOK</t>
  </si>
  <si>
    <t>Øker ekstern inntekt</t>
  </si>
  <si>
    <t>Marginerosjon og tapsavsetning</t>
  </si>
  <si>
    <t>Kontraktsmargin og månedlig EAC</t>
  </si>
  <si>
    <t>Capex / 5 %-regel</t>
  </si>
  <si>
    <t>Overskudd bindes til investeringer</t>
  </si>
  <si>
    <t>32,0 MNOK konto 1250</t>
  </si>
  <si>
    <t>Beskytter handlingsrom</t>
  </si>
  <si>
    <t>Udisponerte reserver kan trekkes inn</t>
  </si>
  <si>
    <t>Godkjent investeringsplan</t>
  </si>
  <si>
    <t>Avstemming</t>
  </si>
  <si>
    <t>Modellverdi</t>
  </si>
  <si>
    <t>Referanse</t>
  </si>
  <si>
    <t>Konklusjon</t>
  </si>
  <si>
    <t>Må avklares før frys</t>
  </si>
  <si>
    <t>Avstemt</t>
  </si>
  <si>
    <t>Netto resultat</t>
  </si>
  <si>
    <t>Følger inntektsgapet</t>
  </si>
  <si>
    <t>Lønnsandel, konto</t>
  </si>
  <si>
    <t>2,27 prosentpoeng over mål</t>
  </si>
  <si>
    <t>Effektive ÅV</t>
  </si>
  <si>
    <t>Forklares av 3,5 % vakans</t>
  </si>
  <si>
    <t>3. STYRINGSMODELL OG KONTROLLRAMMEVERK</t>
  </si>
  <si>
    <t>Nivå</t>
  </si>
  <si>
    <t>Beslutning / ansvar</t>
  </si>
  <si>
    <t>Frekvens</t>
  </si>
  <si>
    <t>Input</t>
  </si>
  <si>
    <t>Kontrollbevis</t>
  </si>
  <si>
    <t>Eskalering</t>
  </si>
  <si>
    <t>Output</t>
  </si>
  <si>
    <t>Fakultetsstyret</t>
  </si>
  <si>
    <t>Godkjenner ramme, resultatmål og investeringsplan</t>
  </si>
  <si>
    <t>Årlig</t>
  </si>
  <si>
    <t>Styresak BUD2027</t>
  </si>
  <si>
    <t>Vedtaksprotokoll</t>
  </si>
  <si>
    <t>Uforklart gap eller negativt scenario</t>
  </si>
  <si>
    <t>Godkjent budsjett</t>
  </si>
  <si>
    <t>Prioriterer bemanning, tiltak og reservebruk</t>
  </si>
  <si>
    <t>LE, RAG og tiltak</t>
  </si>
  <si>
    <t>Signert tiltakslogg</t>
  </si>
  <si>
    <t>Rød status eller &gt;5 % avvik</t>
  </si>
  <si>
    <t>Ledelsesbeslutning</t>
  </si>
  <si>
    <t>Eier modell, avstemming, konsolidering og forecast</t>
  </si>
  <si>
    <t>UBW, FS, HR og prosjekt</t>
  </si>
  <si>
    <t>Avstemmingspakke</t>
  </si>
  <si>
    <t>Manglende data / versjonsbrudd</t>
  </si>
  <si>
    <t>Månedsrapport og LE</t>
  </si>
  <si>
    <t>Eier lokale forutsetninger og tiltak</t>
  </si>
  <si>
    <t>Bemanning, aktivitet og prosjekt</t>
  </si>
  <si>
    <t>Kommentar og handlingsplan</t>
  </si>
  <si>
    <t>Gult/rødt enhetsavvik</t>
  </si>
  <si>
    <t>Oppdatert prognose</t>
  </si>
  <si>
    <t>Prosjekt-/studieledere</t>
  </si>
  <si>
    <t>Validerer BOA, EVU og studentdrivere</t>
  </si>
  <si>
    <t>Månedlig/tertial</t>
  </si>
  <si>
    <t>Prosjekt-EAC og SPE60</t>
  </si>
  <si>
    <t>Kalkyle / FS-uttrekk</t>
  </si>
  <si>
    <t>Negativ margin eller produksjonsfall</t>
  </si>
  <si>
    <t>Driveroppdatering</t>
  </si>
  <si>
    <t>Grønn</t>
  </si>
  <si>
    <t>Gul</t>
  </si>
  <si>
    <t>Rød</t>
  </si>
  <si>
    <t>Handling</t>
  </si>
  <si>
    <t>Rapport</t>
  </si>
  <si>
    <t>≥6,07 MNOK</t>
  </si>
  <si>
    <t>0–6,07 MNOK</t>
  </si>
  <si>
    <t>&lt;0</t>
  </si>
  <si>
    <t>Oppdater LE og tiltak</t>
  </si>
  <si>
    <t>Lønnsandel</t>
  </si>
  <si>
    <t>≤64,5 %</t>
  </si>
  <si>
    <t>64,5–67,0 %</t>
  </si>
  <si>
    <t>&gt;67,0 %</t>
  </si>
  <si>
    <t>Bemannings- og vakansgjennomgang</t>
  </si>
  <si>
    <t>Budsjettavvik</t>
  </si>
  <si>
    <t>≥0 %</t>
  </si>
  <si>
    <t>0 til −5 %</t>
  </si>
  <si>
    <t>&lt;−5 %</t>
  </si>
  <si>
    <t>Eierforklaring og korrigerende tiltak</t>
  </si>
  <si>
    <t>Tiltaksgrad</t>
  </si>
  <si>
    <t>≥100 %</t>
  </si>
  <si>
    <t>75–99,9 %</t>
  </si>
  <si>
    <t>&lt;75 %</t>
  </si>
  <si>
    <t>Lukkeplan og eskalering</t>
  </si>
  <si>
    <t>Ukentlig/månedlig</t>
  </si>
  <si>
    <t>BOA/EVU-margin</t>
  </si>
  <si>
    <t>≥mål</t>
  </si>
  <si>
    <t>0–mål</t>
  </si>
  <si>
    <t>Negativ</t>
  </si>
  <si>
    <t>Stopp, reprising eller omfangsendring</t>
  </si>
  <si>
    <t>Datakvalitet</t>
  </si>
  <si>
    <t>Ingen gap</t>
  </si>
  <si>
    <t>Dokumentert midlertidig gap</t>
  </si>
  <si>
    <t>Uforklart gap</t>
  </si>
  <si>
    <t>Stopp systemfrys</t>
  </si>
  <si>
    <t>Ved milepæl</t>
  </si>
  <si>
    <t>4. PRIORITERT LUKKEPLAN FØR SYSTEMFRYS</t>
  </si>
  <si>
    <t>Avvik / risiko</t>
  </si>
  <si>
    <t>Bevis / ferdigkriterium</t>
  </si>
  <si>
    <t>Konsekvens hvis ikke lukket</t>
  </si>
  <si>
    <t>2,0 MNOK manglende inntektslinje</t>
  </si>
  <si>
    <t>Avstem rammebrev, konto og enhet; korriger kilden eller dokumenter formelt vedtak</t>
  </si>
  <si>
    <t>Senior Controller / sentral økonomi</t>
  </si>
  <si>
    <t>Modellinntekt = signert ramme</t>
  </si>
  <si>
    <t>Resultat og styresak blir feil</t>
  </si>
  <si>
    <t>Lønnsandel 66,8 % mot mål 64,5 %</t>
  </si>
  <si>
    <t>Avstem konto-basert modell mot FTE-fil og budsjettnotat; dokumenter definisjon og beslutning</t>
  </si>
  <si>
    <t>Controller / HR</t>
  </si>
  <si>
    <t>Én godkjent lønnsdefinisjon og bro</t>
  </si>
  <si>
    <t>Feil RAG og svak bemanningsstyring</t>
  </si>
  <si>
    <t>BOA/TDI-avhengighet</t>
  </si>
  <si>
    <t>Valider 22 % overhead, finansierte frikjøp og prosjektmargin før stillingsdisponering</t>
  </si>
  <si>
    <t>Signerte prosjektkalkyler og frikjøpsplan</t>
  </si>
  <si>
    <t>BFV subsidierer ekstern aktivitet</t>
  </si>
  <si>
    <t>EVU/SRS 9-risiko</t>
  </si>
  <si>
    <t>Krev positiv kontraktsmargin og månedlig EAC før nye leveranser</t>
  </si>
  <si>
    <t>Godkjent kalkyle og tapsrisiko = 0</t>
  </si>
  <si>
    <t>Tapsavsetning reduserer resultatet</t>
  </si>
  <si>
    <t>Formålskapital / 5 %-regel</t>
  </si>
  <si>
    <t>Knytt overskuddet til vedtatte flerårige investeringer med milepæler</t>
  </si>
  <si>
    <t>Risiko for passiv reserve/inndragning</t>
  </si>
  <si>
    <t>Baseline og sporbarhet</t>
  </si>
  <si>
    <t>Kjør komplett kontrolliste, godkjenning og lås BUD2027 først etter lukking</t>
  </si>
  <si>
    <t>Signert kontrollpakke og låst versjon</t>
  </si>
  <si>
    <t>Ustabil baseline og svakt revisjonsspor</t>
  </si>
  <si>
    <t>SAMLET ANALYSE OG ANBEFALING</t>
  </si>
  <si>
    <t>Budsjettprosessen er riktig bygget som en driverbasert styringsprosess: ekstern ramme og SPE60-etterslep oversettes til inntekter, bemanning og aktivitet; instituttplanene konsolideres; risiko og langtidsvirkning testes; deretter godkjennes og låses baseline før månedlig oppfølging. Dagens modell er likevel ikke klar for endelig systemfrys. Inntektsrammen er 2,0 MNOK lavere enn dokumentert mål, og konto-basert lønnsandel på 66,8 % avviker fra både målet på 64,5 % og FTE-filens 63,9 %. Anbefalingen er å stoppe ved beslutningsport 5 til disse forholdene er signert avklart. Deretter bør BUD2027 låses sammen med investeringsplan, tiltakseiere og månedlig RAG-rapportering.</t>
  </si>
  <si>
    <t>Rød = uløst avvik | Grønn = avstemt</t>
  </si>
  <si>
    <t>PROGNOSEMETODIKK 2027 — FRA BUDSJETT TIL LATEST ESTIMATE</t>
  </si>
  <si>
    <t>Metodebibliotek for månedlig prognose: Actual YTD + gjenstående estimat (ETC) = helårsprognose (EAC)</t>
  </si>
  <si>
    <t>ACTUAL YTD</t>
  </si>
  <si>
    <t>Bokført hittil</t>
  </si>
  <si>
    <t>Hentes fra FactGL når 2027-regnskap foreligger</t>
  </si>
  <si>
    <t>ETC</t>
  </si>
  <si>
    <t>Gjenstående estimat</t>
  </si>
  <si>
    <t>Driverbasert prognose for resterende måneder</t>
  </si>
  <si>
    <t>EAC / LE</t>
  </si>
  <si>
    <t>Actual YTD + ETC</t>
  </si>
  <si>
    <t>Ny forventet helårsverdi</t>
  </si>
  <si>
    <t>1. HVORDAN HVER BUDSJETTPOST PROGNOSTISERES</t>
  </si>
  <si>
    <t>Budsjettpost</t>
  </si>
  <si>
    <t>Konto / tabell</t>
  </si>
  <si>
    <t>2027 baseline</t>
  </si>
  <si>
    <t>Prognosemetode</t>
  </si>
  <si>
    <t>Driver / input</t>
  </si>
  <si>
    <t>Operativ beregning</t>
  </si>
  <si>
    <t>Oppdatering</t>
  </si>
  <si>
    <t>Datakilde</t>
  </si>
  <si>
    <t>Best case</t>
  </si>
  <si>
    <t>Base case</t>
  </si>
  <si>
    <t>Downside</t>
  </si>
  <si>
    <t>RAG-kontroll</t>
  </si>
  <si>
    <t>Høy</t>
  </si>
  <si>
    <t>Fast ramme + vedtatte endringer</t>
  </si>
  <si>
    <t>Tildelingsbrev og rammeendringer</t>
  </si>
  <si>
    <t>Siste godkjente ramme + signerte endringer</t>
  </si>
  <si>
    <t>Ved rammeendring</t>
  </si>
  <si>
    <t>KD/UiA rammebrev</t>
  </si>
  <si>
    <t>Avvik mot signert ramme</t>
  </si>
  <si>
    <t>Middels</t>
  </si>
  <si>
    <t>SPE60-resultatinntekt</t>
  </si>
  <si>
    <t>Volum × sats med 2-års lag</t>
  </si>
  <si>
    <t>Endelig 2025 SPE60-vekst og KD-sats</t>
  </si>
  <si>
    <t>SPE60-vekst × 54 550 kr</t>
  </si>
  <si>
    <t>Tertial</t>
  </si>
  <si>
    <t>FS + KD-sats</t>
  </si>
  <si>
    <t>Studiedirektør</t>
  </si>
  <si>
    <t>Avvik &gt;5 % fra godkjent volum</t>
  </si>
  <si>
    <t>NFR/EU og TDI</t>
  </si>
  <si>
    <t>3400/3420</t>
  </si>
  <si>
    <t>Prosjekt-for-prosjekt EAC</t>
  </si>
  <si>
    <t>Kontrakt, fremdrift, frikjøp og overhead</t>
  </si>
  <si>
    <t>Bokført inntekt + gjenstående finansiert aktivitet</t>
  </si>
  <si>
    <t>Prosjektregnskap</t>
  </si>
  <si>
    <t>Negativ margin / OH under mål</t>
  </si>
  <si>
    <t>EVU-inntekter</t>
  </si>
  <si>
    <t>3600/3630</t>
  </si>
  <si>
    <t>Kontraktsbasert EAC</t>
  </si>
  <si>
    <t>Kontraktsverdi, fullføringsgrad og kostnad til ferdigstillelse</t>
  </si>
  <si>
    <t>Opptjent inntekt + gjenstående leveranseverdi</t>
  </si>
  <si>
    <t>EVU-kontrakter</t>
  </si>
  <si>
    <t>Negativ EAC-margin</t>
  </si>
  <si>
    <t>Ansatt-for-ansatt prognose</t>
  </si>
  <si>
    <t>Årslønn, stillingsprosent, start/slutt og lønnsoppgjør</t>
  </si>
  <si>
    <t>Bokført lønn + månedslønn × resterende måneder</t>
  </si>
  <si>
    <t>HR/UBW lønn</t>
  </si>
  <si>
    <t>Lønnsandel &gt;67 %</t>
  </si>
  <si>
    <t>Påslag på prognostisert lønn</t>
  </si>
  <si>
    <t>Gjeldende AGA-sats og avgiftsgrunnlag</t>
  </si>
  <si>
    <t>Prognostisert lønnsgrunnlag × AGA-sats</t>
  </si>
  <si>
    <t>Lønnsprognose</t>
  </si>
  <si>
    <t>Avvik følger lønn</t>
  </si>
  <si>
    <t>Vakans og rekruttering</t>
  </si>
  <si>
    <t>Stilling-for-stilling kapasitetsplan</t>
  </si>
  <si>
    <t>Faktisk ledighet og forventet tiltredelse</t>
  </si>
  <si>
    <t>Budsjettert ÅV − vakans frem til realistisk start</t>
  </si>
  <si>
    <t>HR stillingsregister</t>
  </si>
  <si>
    <t>Vakans lavere enn plan</t>
  </si>
  <si>
    <t>Driftskostnader</t>
  </si>
  <si>
    <t>6300/6420/6700/7130</t>
  </si>
  <si>
    <t>Run-rate + kjente forpliktelser</t>
  </si>
  <si>
    <t>Faste avtaler, forbruk, pris og engangskostnader</t>
  </si>
  <si>
    <t>Bokført + åpne PO + normalisert månedsforbruk</t>
  </si>
  <si>
    <t>UBW / innkjøp</t>
  </si>
  <si>
    <t>Budsjettansvarlige</t>
  </si>
  <si>
    <t>Helårsavvik &lt;−5 %</t>
  </si>
  <si>
    <t>Investeringer / Capex</t>
  </si>
  <si>
    <t>Milepælsbasert prognose</t>
  </si>
  <si>
    <t>Kontrakt, anskaffelse, leveranse og aktivering</t>
  </si>
  <si>
    <t>Bokført + kontraktsfestet beløp per milepæl</t>
  </si>
  <si>
    <t>Investeringsplan</t>
  </si>
  <si>
    <t>Forsinkelse / ubundet reserve</t>
  </si>
  <si>
    <t>Tiltak T001–T004</t>
  </si>
  <si>
    <t>Tiltakseier-estimat</t>
  </si>
  <si>
    <t>Realisert effekt, sannsynlighet og timing</t>
  </si>
  <si>
    <t>Realisert + sannsynlig gjenstående effekt</t>
  </si>
  <si>
    <t>Tiltakseiere</t>
  </si>
  <si>
    <t>Grad &lt;75 %</t>
  </si>
  <si>
    <t>Beregnet</t>
  </si>
  <si>
    <t>Inntekter − kostnader</t>
  </si>
  <si>
    <t>Residualberegning</t>
  </si>
  <si>
    <t>Alle inntekts- og kostnadsprognoser</t>
  </si>
  <si>
    <t>Prognostiserte inntekter − prognostiserte kostnader</t>
  </si>
  <si>
    <t>Samlet modell</t>
  </si>
  <si>
    <t>&lt;0 rødt; 0–6,07 gult</t>
  </si>
  <si>
    <t>2. STANDARD PROGNOSEFORMEL OG MÅNEDSRUTINE</t>
  </si>
  <si>
    <t>Trinn</t>
  </si>
  <si>
    <t>Formel / metode</t>
  </si>
  <si>
    <t>Actual YTD = bokført M01–cutoff</t>
  </si>
  <si>
    <t>Låst regnskap hittil i året</t>
  </si>
  <si>
    <t>Avstem mot hovedbok</t>
  </si>
  <si>
    <t>ETC = prognose for resterende måneder</t>
  </si>
  <si>
    <t>Bygges fra driverne i tabellen over</t>
  </si>
  <si>
    <t>Ingen dobbeltelling</t>
  </si>
  <si>
    <t>EAC = Actual YTD + ETC</t>
  </si>
  <si>
    <t>Sammenlign med BUD2027</t>
  </si>
  <si>
    <t>VAC = BUD2027 − EAC</t>
  </si>
  <si>
    <t>Positivt tall er gunstig for kostnader</t>
  </si>
  <si>
    <t>Vurder fortegn for inntekter</t>
  </si>
  <si>
    <t>VAC % = VAC / BUD2027</t>
  </si>
  <si>
    <t>Normaliserer vesentligheten</t>
  </si>
  <si>
    <t>RAG: grønn ≥0; gul 0 til −5 %; rød &lt;−5 %</t>
  </si>
  <si>
    <t>Ny LE godkjennes og versjoneres</t>
  </si>
  <si>
    <t>Bevar forrige prognose for sporbarhet</t>
  </si>
  <si>
    <t>Dato, eier og kommentar obligatorisk</t>
  </si>
  <si>
    <t>Månedlig aktivitet</t>
  </si>
  <si>
    <t>Dag 1–3</t>
  </si>
  <si>
    <t>Dag 4–5</t>
  </si>
  <si>
    <t>Dag 6–7</t>
  </si>
  <si>
    <t>Dag 8</t>
  </si>
  <si>
    <t>Dag 9</t>
  </si>
  <si>
    <t>Dag 10</t>
  </si>
  <si>
    <t>Datainnhenting</t>
  </si>
  <si>
    <t>Lukk periode</t>
  </si>
  <si>
    <t>HR-uttrekk</t>
  </si>
  <si>
    <t>FS/prosjekt</t>
  </si>
  <si>
    <t>Datapakke</t>
  </si>
  <si>
    <t>Controller</t>
  </si>
  <si>
    <t>Lønn/vakans</t>
  </si>
  <si>
    <t>BOA/EVU/SPE60</t>
  </si>
  <si>
    <t>Drift/Capex</t>
  </si>
  <si>
    <t>Oppdatert ETC</t>
  </si>
  <si>
    <t>Eiere</t>
  </si>
  <si>
    <t>Analyse</t>
  </si>
  <si>
    <t>Avviksbro</t>
  </si>
  <si>
    <t>Scenario</t>
  </si>
  <si>
    <t>Analysepakke</t>
  </si>
  <si>
    <t>Beslutning</t>
  </si>
  <si>
    <t>Ledermøte</t>
  </si>
  <si>
    <t>Beslutningslogg</t>
  </si>
  <si>
    <t>Ledelsen</t>
  </si>
  <si>
    <t>Publisering</t>
  </si>
  <si>
    <t>Lås LE</t>
  </si>
  <si>
    <t>Power BI / rapport</t>
  </si>
  <si>
    <t>SLIK BRUKES ARKET</t>
  </si>
  <si>
    <t>Ved hver månedsavslutning erstattes avsluttede måneder av bokførte tall. For resterende måneder oppdateres driverne — bemanning, kontrakter, prosjektfremdrift, studentproduksjon og investeringer. Summen av bokført hittil og gjenstående estimat blir ny Latest Estimate. Denne sammenlignes med BUD2027, og vesentlige avvik får eier, kommentar og tiltak.</t>
  </si>
  <si>
    <t>SAMLET PLANVOLUM</t>
  </si>
  <si>
    <t>568,07 MNOK = 286,07 inntekter + 282,00 kostnader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</si>
</sst>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 &quot;kr&quot;"/>
    <numFmt numFmtId="165" formatCode="\+#,##0\ &quot;kr&quot;;\-#,##0\ &quot;kr&quot;"/>
    <numFmt numFmtId="166" formatCode="#,##0.00\ &quot;kr&quot;"/>
    <numFmt numFmtId="167" formatCode="\+#,##0.00\ &quot;kr&quot;;\-#,##0.00\ &quot;kr&quot;"/>
    <numFmt numFmtId="168" formatCode="#,##0.0,,\ &quot;MNOK&quot;"/>
    <numFmt numFmtId="169" formatCode="\+#,##0.00,,\ &quot;MNOK&quot;;\-#,##0.00,,\ &quot;MNOK&quot;"/>
    <numFmt numFmtId="170" formatCode="0\ &quot;ÅV&quot;"/>
    <numFmt numFmtId="171" formatCode="0.0%"/>
    <numFmt numFmtId="172" formatCode="#,##0.00,,\ &quot;MNOK&quot;"/>
    <numFmt numFmtId="174" formatCode="0.00\ &quot;ÅV&quot;"/>
    <numFmt numFmtId="175" formatCode="\+0.00;\-0.00"/>
  </numFmts>
  <fonts count="67">
    <font>
      <sz val="11"/>
      <color theme="1"/>
      <name val="Aptos Narrow"/>
      <family val="2"/>
      <scheme val="minor"/>
    </font>
    <font>
      <sz val="9"/>
      <color rgb="FF303030"/>
      <name val="Arial"/>
      <family val="2"/>
    </font>
    <font>
      <sz val="9"/>
      <color theme="1"/>
      <name val="Aptos Narrow"/>
      <family val="2"/>
      <scheme val="minor"/>
    </font>
    <font>
      <sz val="9"/>
      <color rgb="FF303030"/>
      <name val="Arial"/>
      <family val="2"/>
    </font>
    <font>
      <i/>
      <sz val="9"/>
      <color rgb="FF303030"/>
      <name val="Arial"/>
      <family val="2"/>
    </font>
    <font>
      <b/>
      <sz val="9"/>
      <color rgb="FF303030"/>
      <name val="Arial"/>
      <family val="2"/>
    </font>
    <font>
      <sz val="9"/>
      <color theme="1"/>
      <name val="Arial Unicode MS"/>
    </font>
    <font>
      <sz val="9"/>
      <color rgb="FF303030"/>
      <name val="Google Sans Code"/>
      <family val="3"/>
    </font>
    <font>
      <b/>
      <sz val="11"/>
      <color theme="1"/>
      <name val="Aptos Narrow"/>
      <family val="2"/>
      <scheme val="minor"/>
    </font>
    <font>
      <sz val="10"/>
      <color theme="1"/>
      <name val="Arial Unicode MS"/>
    </font>
    <font>
      <i/>
      <sz val="11"/>
      <color theme="1"/>
      <name val="Aptos Narrow"/>
      <family val="2"/>
      <scheme val="minor"/>
    </font>
    <font>
      <sz val="11"/>
      <color rgb="FF1B1B1C"/>
      <name val="Arial"/>
      <family val="2"/>
    </font>
    <font>
      <sz val="11"/>
      <color rgb="FF1B1B1C"/>
      <name val="Arial"/>
      <family val="2"/>
    </font>
    <font>
      <b/>
      <sz val="11"/>
      <color rgb="FF1B1B1C"/>
      <name val="Arial"/>
      <family val="2"/>
    </font>
    <font>
      <i/>
      <sz val="11"/>
      <color rgb="FF1B1B1C"/>
      <name val="Arial"/>
      <family val="2"/>
    </font>
    <font>
      <sz val="14"/>
      <color rgb="FF1B1B1C"/>
      <name val="Arial"/>
      <family val="2"/>
    </font>
    <font>
      <b/>
      <sz val="14"/>
      <color rgb="FF1B1B1C"/>
      <name val="Arial"/>
      <family val="2"/>
    </font>
    <font>
      <i/>
      <sz val="14"/>
      <color rgb="FF1B1B1C"/>
      <name val="Arial"/>
      <family val="2"/>
    </font>
    <font>
      <b/>
      <i/>
      <sz val="14"/>
      <color rgb="FF1B1B1C"/>
      <name val="Arial"/>
      <family val="2"/>
    </font>
    <font>
      <sz val="10"/>
      <color rgb="FF303030"/>
      <name val="Google Sans Code"/>
      <family val="3"/>
    </font>
    <font>
      <sz val="11"/>
      <color rgb="FF303030"/>
      <name val="Arial"/>
      <family val="2"/>
    </font>
    <font>
      <b/>
      <sz val="11"/>
      <color rgb="FF303030"/>
      <name val="Arial"/>
      <family val="2"/>
    </font>
    <font>
      <sz val="11"/>
      <color rgb="FF303030"/>
      <name val="Arial"/>
      <family val="2"/>
    </font>
    <font>
      <sz val="14"/>
      <color rgb="FF303030"/>
      <name val="Arial"/>
      <family val="2"/>
    </font>
    <font>
      <b/>
      <sz val="14"/>
      <color rgb="FF303030"/>
      <name val="Arial"/>
      <family val="2"/>
    </font>
    <font>
      <i/>
      <sz val="14"/>
      <color rgb="FF303030"/>
      <name val="Arial"/>
      <family val="2"/>
    </font>
    <font>
      <i/>
      <sz val="11"/>
      <color rgb="FF303030"/>
      <name val="Arial"/>
      <family val="2"/>
    </font>
    <font>
      <sz val="11"/>
      <color theme="1"/>
      <name val="Arial Unicode MS"/>
    </font>
    <font>
      <b/>
      <i/>
      <sz val="11"/>
      <color rgb="FF303030"/>
      <name val="Arial"/>
      <family val="2"/>
    </font>
    <font>
      <sz val="11"/>
      <color rgb="FF303030"/>
      <name val="Arial"/>
      <family val="2"/>
    </font>
    <font>
      <sz val="11"/>
      <color rgb="FF303030"/>
      <name val="Google Sans Code"/>
      <family val="3"/>
    </font>
    <font>
      <b/>
      <sz val="11"/>
      <color rgb="FF303030"/>
      <name val="Courier New"/>
      <family val="3"/>
    </font>
    <font>
      <b/>
      <sz val="11"/>
      <color rgb="FFFFFFFF"/>
      <name val="Aptos Narrow"/>
      <family val="2"/>
      <scheme val="minor"/>
    </font>
    <font>
      <b/>
      <sz val="18"/>
      <color rgb="FFFFFFFF"/>
      <name val="Aptos Narrow"/>
      <family val="2"/>
      <scheme val="minor"/>
    </font>
    <font>
      <b/>
      <sz val="20"/>
      <color rgb="FFFFFFFF"/>
      <name val="Aptos Narrow"/>
      <family val="2"/>
      <scheme val="minor"/>
    </font>
    <font>
      <i/>
      <sz val="11"/>
      <color rgb="FF44546A"/>
      <name val="Aptos Narrow"/>
      <family val="2"/>
      <scheme val="minor"/>
    </font>
    <font>
      <sz val="11"/>
      <color theme="1"/>
      <name val="Segoe UI"/>
    </font>
    <font>
      <b/>
      <sz val="20"/>
      <color rgb="FFFFFFFF"/>
      <name val="Segoe UI"/>
    </font>
    <font>
      <sz val="11"/>
      <color rgb="FF64748B"/>
      <name val="Segoe UI"/>
    </font>
    <font>
      <i/>
      <sz val="11"/>
      <color rgb="FF64748B"/>
      <name val="Segoe UI"/>
    </font>
    <font>
      <b/>
      <sz val="11"/>
      <color theme="1"/>
      <name val="Segoe UI"/>
    </font>
    <font>
      <b/>
      <sz val="11"/>
      <color rgb="FF64748B"/>
      <name val="Segoe UI"/>
    </font>
    <font>
      <b/>
      <sz val="9"/>
      <color rgb="FF64748B"/>
      <name val="Segoe UI"/>
    </font>
    <font>
      <b/>
      <sz val="20"/>
      <color rgb="FF1E293B"/>
      <name val="Segoe UI"/>
    </font>
    <font>
      <b/>
      <sz val="11"/>
      <color rgb="FF1E293B"/>
      <name val="Segoe UI"/>
    </font>
    <font>
      <b/>
      <sz val="19"/>
      <color rgb="FFFFFFFF"/>
      <name val="Segoe UI"/>
    </font>
    <font>
      <b/>
      <sz val="9"/>
      <color rgb="FF047857"/>
      <name val="Segoe UI"/>
    </font>
    <font>
      <sz val="11"/>
      <color rgb="FF047857"/>
      <name val="Aptos Narrow"/>
      <family val="2"/>
      <scheme val="minor"/>
    </font>
    <font>
      <b/>
      <sz val="20"/>
      <color rgb="FF047857"/>
      <name val="Segoe UI"/>
    </font>
    <font>
      <sz val="11"/>
      <color rgb="FF047857"/>
      <name val="Segoe UI"/>
    </font>
    <font>
      <b/>
      <sz val="9"/>
      <color rgb="FFB45309"/>
      <name val="Segoe UI"/>
    </font>
    <font>
      <b/>
      <sz val="20"/>
      <color rgb="FFB45309"/>
      <name val="Segoe UI"/>
    </font>
    <font>
      <sz val="11"/>
      <color rgb="FFB45309"/>
      <name val="Segoe UI"/>
    </font>
    <font>
      <sz val="11"/>
      <color rgb="FFB91C1C"/>
      <name val="Segoe UI"/>
    </font>
    <font>
      <b/>
      <sz val="11"/>
      <color rgb="FFB91C1C"/>
      <name val="Segoe UI"/>
    </font>
    <font>
      <b/>
      <sz val="19"/>
      <color rgb="FFB91C1C"/>
      <name val="Segoe UI"/>
    </font>
    <font>
      <b/>
      <sz val="19"/>
      <color rgb="FF1E293B"/>
      <name val="Segoe UI"/>
    </font>
    <font>
      <sz val="11"/>
      <color rgb="FF1E293B"/>
      <name val="Segoe UI"/>
    </font>
    <font>
      <b/>
      <sz val="11"/>
      <color rgb="FFB45309"/>
      <name val="Segoe UI"/>
    </font>
    <font>
      <b/>
      <sz val="19"/>
      <color rgb="FFB45309"/>
      <name val="Segoe UI"/>
    </font>
    <font>
      <b/>
      <sz val="11"/>
      <color rgb="FF047857"/>
      <name val="Segoe UI"/>
    </font>
    <font>
      <b/>
      <sz val="19"/>
      <color rgb="FF047857"/>
      <name val="Segoe UI"/>
    </font>
    <font>
      <i/>
      <sz val="11"/>
      <color rgb="FF64748B"/>
      <name val="Aptos Narrow"/>
      <family val="2"/>
      <scheme val="minor"/>
    </font>
    <font>
      <sz val="11"/>
      <color rgb="FFB45309"/>
      <name val="Aptos Narrow"/>
      <family val="2"/>
      <scheme val="minor"/>
    </font>
    <font>
      <sz val="11"/>
      <color rgb="FFB91C1C"/>
      <name val="Aptos Narrow"/>
      <family val="2"/>
      <scheme val="minor"/>
    </font>
    <font>
      <b/>
      <sz val="18"/>
      <color theme="1"/>
      <name val="Segoe UI"/>
    </font>
    <font>
      <b/>
      <sz val="17"/>
      <color theme="1"/>
      <name val="Segoe UI"/>
    </font>
  </fonts>
  <fills count="13">
    <fill>
      <patternFill patternType="none"/>
    </fill>
    <fill>
      <patternFill patternType="gray125"/>
    </fill>
    <fill>
      <patternFill patternType="solid">
        <fgColor rgb="FF17365D"/>
        <bgColor indexed="64"/>
      </patternFill>
    </fill>
    <fill>
      <patternFill patternType="solid">
        <fgColor rgb="FF4472C4"/>
        <bgColor indexed="64"/>
      </patternFill>
    </fill>
    <fill>
      <patternFill patternType="solid">
        <fgColor rgb="FFFFF2CC"/>
        <bgColor indexed="64"/>
      </patternFill>
    </fill>
    <fill>
      <patternFill patternType="solid">
        <fgColor rgb="FFF8FAFC"/>
        <bgColor indexed="64"/>
      </patternFill>
    </fill>
    <fill>
      <patternFill patternType="solid">
        <fgColor rgb="FF1E293B"/>
        <bgColor indexed="64"/>
      </patternFill>
    </fill>
    <fill>
      <patternFill patternType="solid">
        <fgColor rgb="FFFFFFFF"/>
        <bgColor indexed="64"/>
      </patternFill>
    </fill>
    <fill>
      <patternFill patternType="solid">
        <fgColor rgb="FFE2E8F0"/>
        <bgColor indexed="64"/>
      </patternFill>
    </fill>
    <fill>
      <patternFill patternType="solid">
        <fgColor rgb="FFECFDF5"/>
        <bgColor indexed="64"/>
      </patternFill>
    </fill>
    <fill>
      <patternFill patternType="solid">
        <fgColor rgb="FFFFFBEB"/>
        <bgColor indexed="64"/>
      </patternFill>
    </fill>
    <fill>
      <patternFill patternType="solid">
        <fgColor rgb="FFFEF2F2"/>
        <bgColor indexed="64"/>
      </patternFill>
    </fill>
    <fill>
      <patternFill patternType="solid">
        <fgColor rgb="FFF1F5F9"/>
        <bgColor indexed="64"/>
      </patternFill>
    </fill>
  </fills>
  <borders count="3">
    <border>
      <left/>
      <right/>
      <top/>
      <bottom/>
      <diagonal/>
    </border>
    <border>
      <left/>
      <right/>
      <top/>
      <bottom style="thin">
        <color rgb="FFD9E2F3"/>
      </bottom>
      <diagonal/>
    </border>
    <border>
      <left/>
      <right/>
      <top/>
      <bottom style="thin">
        <color rgb="FFE2E8F0"/>
      </bottom>
      <diagonal/>
    </border>
  </borders>
  <cellStyleXfs count="1">
    <xf numFmtId="0" fontId="0" fillId="0" borderId="0"/>
  </cellStyleXfs>
  <cellXfs count="18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6" fillId="0" borderId="0" xfId="0" applyFont="1" applyAlignment="1">
      <alignment vertical="center"/>
    </xf>
    <xf numFmtId="0" fontId="2" fillId="0" borderId="0" xfId="0" applyFont="1" applyAlignment="1">
      <alignment horizontal="left" vertical="center" indent="1"/>
    </xf>
    <xf numFmtId="0" fontId="5" fillId="0" borderId="0" xfId="0" applyFont="1" applyAlignment="1">
      <alignment horizontal="left" vertical="center" indent="1"/>
    </xf>
    <xf numFmtId="0" fontId="3" fillId="0" borderId="0" xfId="0" applyFont="1" applyAlignment="1">
      <alignment horizontal="left" vertical="center" indent="1"/>
    </xf>
    <xf numFmtId="0" fontId="2" fillId="0" borderId="0" xfId="0" applyFont="1" applyAlignment="1">
      <alignment vertical="center"/>
    </xf>
    <xf numFmtId="0" fontId="3" fillId="0" borderId="0" xfId="0" applyFont="1" applyAlignment="1">
      <alignment horizontal="center" vertical="center" wrapText="1"/>
    </xf>
    <xf numFmtId="0" fontId="5" fillId="0" borderId="0" xfId="0" applyFont="1" applyAlignment="1">
      <alignment vertical="center" wrapText="1"/>
    </xf>
    <xf numFmtId="0" fontId="3" fillId="0" borderId="0" xfId="0" applyFont="1" applyAlignment="1">
      <alignment vertical="center" wrapText="1"/>
    </xf>
    <xf numFmtId="0" fontId="8" fillId="0" borderId="0" xfId="0" applyFont="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0" fillId="0" borderId="0" xfId="0" applyAlignment="1">
      <alignment horizontal="left" vertical="center" indent="1"/>
    </xf>
    <xf numFmtId="0" fontId="8" fillId="0" borderId="0" xfId="0" applyFont="1" applyAlignment="1">
      <alignment horizontal="left" vertical="center" indent="1"/>
    </xf>
    <xf numFmtId="0" fontId="0" fillId="0" borderId="0" xfId="0" applyAlignment="1">
      <alignment vertical="center"/>
    </xf>
    <xf numFmtId="0" fontId="9"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wrapText="1" indent="1"/>
    </xf>
    <xf numFmtId="0" fontId="16" fillId="0" borderId="0" xfId="0" applyFont="1" applyAlignment="1">
      <alignment horizontal="left" vertical="center" wrapText="1" indent="1"/>
    </xf>
    <xf numFmtId="0" fontId="15" fillId="0" borderId="0" xfId="0" applyFont="1" applyAlignment="1">
      <alignment horizontal="left" vertical="center" wrapText="1" indent="2"/>
    </xf>
    <xf numFmtId="0" fontId="11" fillId="0" borderId="0" xfId="0" applyFont="1" applyAlignment="1">
      <alignment horizontal="center" vertical="center" wrapText="1"/>
    </xf>
    <xf numFmtId="0" fontId="13" fillId="0" borderId="0" xfId="0" applyFont="1" applyAlignment="1">
      <alignment vertical="center" wrapText="1"/>
    </xf>
    <xf numFmtId="0" fontId="11" fillId="0" borderId="0" xfId="0" applyFont="1" applyAlignment="1">
      <alignment vertical="center" wrapText="1"/>
    </xf>
    <xf numFmtId="0" fontId="15" fillId="0" borderId="0" xfId="0" applyFont="1" applyAlignment="1">
      <alignment horizontal="left" vertical="center" wrapText="1" indent="1"/>
    </xf>
    <xf numFmtId="0" fontId="20" fillId="0" borderId="0" xfId="0" applyFont="1" applyAlignment="1">
      <alignment vertical="center"/>
    </xf>
    <xf numFmtId="0" fontId="21" fillId="0" borderId="0" xfId="0" applyFont="1" applyAlignment="1">
      <alignment vertical="center"/>
    </xf>
    <xf numFmtId="0" fontId="20" fillId="0" borderId="0" xfId="0" applyFont="1" applyAlignment="1">
      <alignment horizontal="center" vertical="center" wrapText="1"/>
    </xf>
    <xf numFmtId="0" fontId="21" fillId="0" borderId="0" xfId="0" applyFont="1" applyAlignment="1">
      <alignment vertical="center" wrapText="1"/>
    </xf>
    <xf numFmtId="0" fontId="22" fillId="0" borderId="0" xfId="0" applyFont="1" applyAlignment="1">
      <alignment vertical="center"/>
    </xf>
    <xf numFmtId="0" fontId="23" fillId="0" borderId="0" xfId="0" applyFont="1" applyAlignment="1">
      <alignment horizontal="left" vertical="center" wrapText="1" indent="1"/>
    </xf>
    <xf numFmtId="0" fontId="24" fillId="0" borderId="0" xfId="0" applyFont="1" applyAlignment="1">
      <alignment horizontal="left" vertical="center" wrapText="1" indent="1"/>
    </xf>
    <xf numFmtId="0" fontId="24" fillId="0" borderId="0" xfId="0" applyFont="1" applyAlignment="1">
      <alignment horizontal="left" vertical="center" wrapText="1" indent="2"/>
    </xf>
    <xf numFmtId="0" fontId="0" fillId="0" borderId="0" xfId="0" applyAlignment="1">
      <alignment horizontal="left" vertical="center" indent="2"/>
    </xf>
    <xf numFmtId="0" fontId="20" fillId="0" borderId="0" xfId="0" applyFont="1" applyAlignment="1">
      <alignment vertical="center" wrapText="1"/>
    </xf>
    <xf numFmtId="0" fontId="21" fillId="0" borderId="0" xfId="0" applyFont="1" applyAlignment="1">
      <alignment horizontal="left" vertical="center" indent="1"/>
    </xf>
    <xf numFmtId="0" fontId="26" fillId="0" borderId="0" xfId="0" applyFont="1" applyAlignment="1">
      <alignment horizontal="left" vertical="center" indent="2"/>
    </xf>
    <xf numFmtId="0" fontId="27" fillId="0" borderId="0" xfId="0" applyFont="1" applyAlignment="1">
      <alignment vertical="center"/>
    </xf>
    <xf numFmtId="0" fontId="20" fillId="0" borderId="0" xfId="0" applyFont="1" applyAlignment="1">
      <alignment horizontal="left" vertical="center" indent="2"/>
    </xf>
    <xf numFmtId="0" fontId="21" fillId="0" borderId="0" xfId="0" applyFont="1" applyAlignment="1">
      <alignment horizontal="left" vertical="center" indent="2"/>
    </xf>
    <xf numFmtId="0" fontId="10" fillId="0" borderId="0" xfId="0" applyFont="1" applyAlignment="1">
      <alignment horizontal="left" vertical="center" indent="2"/>
    </xf>
    <xf numFmtId="0" fontId="8" fillId="0" borderId="0" xfId="0" applyFont="1" applyAlignment="1">
      <alignment horizontal="left" vertical="center" indent="2"/>
    </xf>
    <xf numFmtId="0" fontId="8" fillId="0" borderId="0" xfId="0" applyFont="1" applyAlignment="1">
      <alignment horizontal="left" vertical="center" indent="3"/>
    </xf>
    <xf numFmtId="0" fontId="10" fillId="0" borderId="0" xfId="0" applyFont="1"/>
    <xf numFmtId="3" fontId="8" fillId="0" borderId="0" xfId="0" applyNumberFormat="1" applyFont="1" applyAlignment="1">
      <alignment vertical="center" wrapText="1"/>
    </xf>
    <xf numFmtId="0" fontId="29" fillId="0" borderId="0" xfId="0" applyFont="1" applyAlignment="1">
      <alignment vertical="center"/>
    </xf>
    <xf numFmtId="0" fontId="31" fillId="0" borderId="0" xfId="0" applyFont="1" applyAlignment="1">
      <alignment horizontal="left" vertical="center" indent="1"/>
    </xf>
    <xf numFmtId="14" fontId="0" fillId="0" borderId="0" xfId="0" applyNumberFormat="1"/>
    <xf numFmtId="0" fontId="0" fillId="0" borderId="0" xfId="0" applyAlignment="1">
      <alignment wrapText="1"/>
    </xf>
    <xf numFmtId="10" fontId="0" fillId="0" borderId="0" xfId="0" applyNumberFormat="1"/>
    <xf numFmtId="0" fontId="33" fillId="2" borderId="0" xfId="0" applyFont="1" applyFill="1"/>
    <xf numFmtId="0" fontId="10" fillId="0" borderId="0" xfId="0" applyFont="1"/>
    <xf numFmtId="0" fontId="0" fillId="0" borderId="0" xfId="0" applyBorder="1"/>
    <xf numFmtId="164" fontId="0" fillId="0" borderId="0" xfId="0" applyNumberFormat="1" applyBorder="1"/>
    <xf numFmtId="0" fontId="0" fillId="0" borderId="1" xfId="0" applyBorder="1"/>
    <xf numFmtId="165" fontId="0" fillId="0" borderId="1" xfId="0" applyNumberFormat="1" applyBorder="1"/>
    <xf numFmtId="0" fontId="34" fillId="2" borderId="0" xfId="0" applyFont="1" applyFill="1"/>
    <xf numFmtId="0" fontId="35" fillId="0" borderId="0" xfId="0" applyFont="1"/>
    <xf numFmtId="0" fontId="32" fillId="3" borderId="0" xfId="0" applyFont="1" applyFill="1" applyBorder="1"/>
    <xf numFmtId="0" fontId="0" fillId="4" borderId="1" xfId="0" applyFill="1" applyBorder="1"/>
    <xf numFmtId="166" fontId="0" fillId="4" borderId="1" xfId="0" applyNumberFormat="1" applyFill="1" applyBorder="1"/>
    <xf numFmtId="167" fontId="0" fillId="4" borderId="1" xfId="0" applyNumberFormat="1" applyFill="1" applyBorder="1"/>
    <xf numFmtId="0" fontId="32" fillId="3" borderId="0" xfId="0" applyFont="1" applyFill="1" applyBorder="1" applyAlignment="1">
      <alignment wrapText="1"/>
    </xf>
    <xf numFmtId="0" fontId="0" fillId="0" borderId="0" xfId="0" applyBorder="1" applyAlignment="1">
      <alignment wrapText="1"/>
    </xf>
    <xf numFmtId="0" fontId="0" fillId="0" borderId="1" xfId="0" applyBorder="1" applyAlignment="1">
      <alignment wrapText="1"/>
    </xf>
    <xf numFmtId="0" fontId="0" fillId="4" borderId="1" xfId="0" applyFill="1" applyBorder="1" applyAlignment="1">
      <alignment wrapText="1"/>
    </xf>
    <xf numFmtId="0" fontId="36" fillId="5" borderId="0" xfId="0" applyFont="1" applyFill="1"/>
    <xf numFmtId="0" fontId="36" fillId="5" borderId="0" xfId="0" applyFont="1" applyFill="1"/>
    <xf numFmtId="0" fontId="37" fillId="6" borderId="0" xfId="0" applyFont="1" applyFill="1"/>
    <xf numFmtId="0" fontId="38" fillId="5" borderId="0" xfId="0" applyFont="1" applyFill="1"/>
    <xf numFmtId="0" fontId="39" fillId="5" borderId="0" xfId="0" applyFont="1" applyFill="1"/>
    <xf numFmtId="0" fontId="36" fillId="7" borderId="0" xfId="0" applyFont="1" applyFill="1"/>
    <xf numFmtId="0" fontId="36" fillId="7" borderId="2" xfId="0" applyFont="1" applyFill="1" applyBorder="1"/>
    <xf numFmtId="0" fontId="41" fillId="7" borderId="0" xfId="0" applyFont="1" applyFill="1" applyBorder="1"/>
    <xf numFmtId="0" fontId="42" fillId="7" borderId="0" xfId="0" applyFont="1" applyFill="1" applyBorder="1"/>
    <xf numFmtId="0" fontId="43" fillId="7" borderId="0" xfId="0" applyFont="1" applyFill="1" applyBorder="1" applyAlignment="1">
      <alignment horizontal="center" vertical="center"/>
    </xf>
    <xf numFmtId="168" fontId="43" fillId="7" borderId="0" xfId="0" applyNumberFormat="1" applyFont="1" applyFill="1" applyBorder="1" applyAlignment="1">
      <alignment horizontal="center" vertical="center"/>
    </xf>
    <xf numFmtId="170" fontId="43" fillId="7" borderId="0" xfId="0" applyNumberFormat="1" applyFont="1" applyFill="1" applyBorder="1" applyAlignment="1">
      <alignment horizontal="center" vertical="center"/>
    </xf>
    <xf numFmtId="3" fontId="43" fillId="7" borderId="0" xfId="0" applyNumberFormat="1" applyFont="1" applyFill="1" applyBorder="1" applyAlignment="1">
      <alignment horizontal="center" vertical="center"/>
    </xf>
    <xf numFmtId="0" fontId="44" fillId="8" borderId="0" xfId="0" applyFont="1" applyFill="1"/>
    <xf numFmtId="0" fontId="36" fillId="9" borderId="0" xfId="0" applyFont="1" applyFill="1" applyAlignment="1">
      <alignment wrapText="1"/>
    </xf>
    <xf numFmtId="14" fontId="36" fillId="5" borderId="0" xfId="0" applyNumberFormat="1" applyFont="1" applyFill="1"/>
    <xf numFmtId="0" fontId="45" fillId="6" borderId="0" xfId="0" applyFont="1" applyFill="1"/>
    <xf numFmtId="164" fontId="36" fillId="5" borderId="0" xfId="0" applyNumberFormat="1" applyFont="1" applyFill="1"/>
    <xf numFmtId="165" fontId="36" fillId="5" borderId="0" xfId="0" applyNumberFormat="1" applyFont="1" applyFill="1"/>
    <xf numFmtId="171" fontId="36" fillId="5" borderId="0" xfId="0" applyNumberFormat="1" applyFont="1" applyFill="1"/>
    <xf numFmtId="2" fontId="36" fillId="5" borderId="0" xfId="0" applyNumberFormat="1" applyFont="1" applyFill="1"/>
    <xf numFmtId="0" fontId="36" fillId="10" borderId="0" xfId="0" applyFont="1" applyFill="1" applyAlignment="1">
      <alignment wrapText="1"/>
    </xf>
    <xf numFmtId="0" fontId="41" fillId="7" borderId="0" xfId="0" applyFont="1" applyFill="1"/>
    <xf numFmtId="3" fontId="36" fillId="5" borderId="0" xfId="0" applyNumberFormat="1" applyFont="1" applyFill="1"/>
    <xf numFmtId="0" fontId="36" fillId="10" borderId="0" xfId="0" applyFont="1" applyFill="1" applyAlignment="1">
      <alignment vertical="top" wrapText="1"/>
    </xf>
    <xf numFmtId="0" fontId="32" fillId="6" borderId="0" xfId="0" applyFont="1" applyFill="1"/>
    <xf numFmtId="0" fontId="32" fillId="3" borderId="0" xfId="0" applyFont="1" applyFill="1"/>
    <xf numFmtId="0" fontId="32" fillId="3" borderId="0" xfId="0" applyFont="1" applyFill="1" applyAlignment="1">
      <alignment wrapText="1"/>
    </xf>
    <xf numFmtId="0" fontId="46" fillId="9" borderId="0" xfId="0" applyFont="1" applyFill="1" applyBorder="1"/>
    <xf numFmtId="169" fontId="48" fillId="9" borderId="0" xfId="0" applyNumberFormat="1" applyFont="1" applyFill="1" applyBorder="1" applyAlignment="1">
      <alignment horizontal="center" vertical="center"/>
    </xf>
    <xf numFmtId="0" fontId="48" fillId="9" borderId="0" xfId="0" applyFont="1" applyFill="1" applyBorder="1" applyAlignment="1">
      <alignment horizontal="center" vertical="center"/>
    </xf>
    <xf numFmtId="0" fontId="49" fillId="9" borderId="2" xfId="0" applyFont="1" applyFill="1" applyBorder="1"/>
    <xf numFmtId="0" fontId="50" fillId="10" borderId="0" xfId="0" applyFont="1" applyFill="1" applyBorder="1"/>
    <xf numFmtId="2" fontId="51" fillId="10" borderId="0" xfId="0" applyNumberFormat="1" applyFont="1" applyFill="1" applyBorder="1" applyAlignment="1">
      <alignment horizontal="center" vertical="center"/>
    </xf>
    <xf numFmtId="0" fontId="51" fillId="10" borderId="0" xfId="0" applyFont="1" applyFill="1" applyBorder="1" applyAlignment="1">
      <alignment horizontal="center" vertical="center"/>
    </xf>
    <xf numFmtId="0" fontId="52" fillId="10" borderId="2" xfId="0" applyFont="1" applyFill="1" applyBorder="1"/>
    <xf numFmtId="165" fontId="36" fillId="9" borderId="0" xfId="0" applyNumberFormat="1" applyFont="1" applyFill="1"/>
    <xf numFmtId="171" fontId="36" fillId="9" borderId="0" xfId="0" applyNumberFormat="1" applyFont="1" applyFill="1"/>
    <xf numFmtId="0" fontId="49" fillId="9" borderId="0" xfId="0" applyFont="1" applyFill="1"/>
    <xf numFmtId="165" fontId="36" fillId="10" borderId="0" xfId="0" applyNumberFormat="1" applyFont="1" applyFill="1"/>
    <xf numFmtId="171" fontId="36" fillId="10" borderId="0" xfId="0" applyNumberFormat="1" applyFont="1" applyFill="1"/>
    <xf numFmtId="0" fontId="52" fillId="10" borderId="0" xfId="0" applyFont="1" applyFill="1"/>
    <xf numFmtId="171" fontId="52" fillId="10" borderId="0" xfId="0" applyNumberFormat="1" applyFont="1" applyFill="1"/>
    <xf numFmtId="171" fontId="53" fillId="11" borderId="0" xfId="0" applyNumberFormat="1" applyFont="1" applyFill="1"/>
    <xf numFmtId="0" fontId="53" fillId="11" borderId="0" xfId="0" applyFont="1" applyFill="1"/>
    <xf numFmtId="171" fontId="49" fillId="9" borderId="0" xfId="0" applyNumberFormat="1" applyFont="1" applyFill="1"/>
    <xf numFmtId="0" fontId="54" fillId="11" borderId="0" xfId="0" applyFont="1" applyFill="1"/>
    <xf numFmtId="172" fontId="55" fillId="11" borderId="0" xfId="0" applyNumberFormat="1" applyFont="1" applyFill="1" applyAlignment="1">
      <alignment horizontal="center"/>
    </xf>
    <xf numFmtId="0" fontId="55" fillId="11" borderId="0" xfId="0" applyFont="1" applyFill="1" applyAlignment="1">
      <alignment horizontal="center"/>
    </xf>
    <xf numFmtId="0" fontId="53" fillId="11" borderId="0" xfId="0" applyFont="1" applyFill="1"/>
    <xf numFmtId="0" fontId="44" fillId="7" borderId="0" xfId="0" applyFont="1" applyFill="1"/>
    <xf numFmtId="172" fontId="56" fillId="7" borderId="0" xfId="0" applyNumberFormat="1" applyFont="1" applyFill="1" applyAlignment="1">
      <alignment horizontal="center"/>
    </xf>
    <xf numFmtId="0" fontId="56" fillId="7" borderId="0" xfId="0" applyFont="1" applyFill="1" applyAlignment="1">
      <alignment horizontal="center"/>
    </xf>
    <xf numFmtId="0" fontId="57" fillId="7" borderId="0" xfId="0" applyFont="1" applyFill="1"/>
    <xf numFmtId="0" fontId="58" fillId="10" borderId="0" xfId="0" applyFont="1" applyFill="1"/>
    <xf numFmtId="169" fontId="59" fillId="10" borderId="0" xfId="0" applyNumberFormat="1" applyFont="1" applyFill="1" applyAlignment="1">
      <alignment horizontal="center"/>
    </xf>
    <xf numFmtId="0" fontId="59" fillId="10" borderId="0" xfId="0" applyFont="1" applyFill="1" applyAlignment="1">
      <alignment horizontal="center"/>
    </xf>
    <xf numFmtId="0" fontId="52" fillId="10" borderId="0" xfId="0" applyFont="1" applyFill="1"/>
    <xf numFmtId="171" fontId="55" fillId="11" borderId="0" xfId="0" applyNumberFormat="1" applyFont="1" applyFill="1" applyAlignment="1">
      <alignment horizontal="center"/>
    </xf>
    <xf numFmtId="0" fontId="60" fillId="9" borderId="0" xfId="0" applyFont="1" applyFill="1"/>
    <xf numFmtId="3" fontId="61" fillId="9" borderId="0" xfId="0" applyNumberFormat="1" applyFont="1" applyFill="1" applyAlignment="1">
      <alignment horizontal="center"/>
    </xf>
    <xf numFmtId="0" fontId="61" fillId="9" borderId="0" xfId="0" applyFont="1" applyFill="1" applyAlignment="1">
      <alignment horizontal="center"/>
    </xf>
    <xf numFmtId="0" fontId="49" fillId="9" borderId="0" xfId="0" applyFont="1" applyFill="1"/>
    <xf numFmtId="165" fontId="49" fillId="9" borderId="0" xfId="0" applyNumberFormat="1" applyFont="1" applyFill="1"/>
    <xf numFmtId="0" fontId="62" fillId="12" borderId="0" xfId="0" applyFont="1" applyFill="1" applyAlignment="1">
      <alignment wrapText="1"/>
    </xf>
    <xf numFmtId="0" fontId="62" fillId="0" borderId="0" xfId="0" applyFont="1"/>
    <xf numFmtId="0" fontId="65" fillId="7" borderId="0" xfId="0" applyNumberFormat="1" applyFont="1" applyFill="1" applyAlignment="1">
      <alignment horizontal="center"/>
    </xf>
    <xf numFmtId="0" fontId="65" fillId="7" borderId="0" xfId="0" applyFont="1" applyFill="1" applyAlignment="1">
      <alignment horizontal="center"/>
    </xf>
    <xf numFmtId="0" fontId="36" fillId="5" borderId="0" xfId="0" applyFont="1" applyFill="1" applyAlignment="1">
      <alignment wrapText="1"/>
    </xf>
    <xf numFmtId="0" fontId="41" fillId="7" borderId="0" xfId="0" applyFont="1" applyFill="1" applyAlignment="1">
      <alignment wrapText="1"/>
    </xf>
    <xf numFmtId="0" fontId="65" fillId="7" borderId="0" xfId="0" applyNumberFormat="1" applyFont="1" applyFill="1" applyAlignment="1">
      <alignment horizontal="center" wrapText="1"/>
    </xf>
    <xf numFmtId="164" fontId="36" fillId="5" borderId="0" xfId="0" applyNumberFormat="1" applyFont="1" applyFill="1" applyAlignment="1">
      <alignment wrapText="1"/>
    </xf>
    <xf numFmtId="0" fontId="41" fillId="7" borderId="0" xfId="0" applyFont="1" applyFill="1" applyBorder="1" applyAlignment="1">
      <alignment wrapText="1"/>
    </xf>
    <xf numFmtId="0" fontId="65" fillId="7" borderId="0" xfId="0" applyFont="1" applyFill="1" applyAlignment="1">
      <alignment horizontal="center" wrapText="1"/>
    </xf>
    <xf numFmtId="0" fontId="44" fillId="8" borderId="0" xfId="0" applyFont="1" applyFill="1" applyAlignment="1">
      <alignment wrapText="1"/>
    </xf>
    <xf numFmtId="165" fontId="36" fillId="5" borderId="0" xfId="0" applyNumberFormat="1" applyFont="1" applyFill="1" applyAlignment="1">
      <alignment wrapText="1"/>
    </xf>
    <xf numFmtId="169" fontId="65" fillId="7" borderId="0" xfId="0" applyNumberFormat="1" applyFont="1" applyFill="1" applyAlignment="1">
      <alignment horizontal="center"/>
    </xf>
    <xf numFmtId="169" fontId="65" fillId="7" borderId="0" xfId="0" applyNumberFormat="1" applyFont="1" applyFill="1" applyAlignment="1">
      <alignment horizontal="center" wrapText="1"/>
    </xf>
    <xf numFmtId="172" fontId="65" fillId="7" borderId="0" xfId="0" applyNumberFormat="1" applyFont="1" applyFill="1" applyAlignment="1">
      <alignment horizontal="center"/>
    </xf>
    <xf numFmtId="165" fontId="53" fillId="11" borderId="0" xfId="0" applyNumberFormat="1" applyFont="1" applyFill="1" applyAlignment="1">
      <alignment wrapText="1"/>
    </xf>
    <xf numFmtId="165" fontId="49" fillId="9" borderId="0" xfId="0" applyNumberFormat="1" applyFont="1" applyFill="1" applyAlignment="1">
      <alignment wrapText="1"/>
    </xf>
    <xf numFmtId="0" fontId="53" fillId="11" borderId="0" xfId="0" applyFont="1" applyFill="1" applyAlignment="1">
      <alignment wrapText="1"/>
    </xf>
    <xf numFmtId="0" fontId="49" fillId="9" borderId="0" xfId="0" applyFont="1" applyFill="1" applyAlignment="1">
      <alignment wrapText="1"/>
    </xf>
    <xf numFmtId="0" fontId="52" fillId="10" borderId="0" xfId="0" applyFont="1" applyFill="1" applyAlignment="1">
      <alignment wrapText="1"/>
    </xf>
    <xf numFmtId="0" fontId="36" fillId="0" borderId="0" xfId="0" applyFont="1" applyAlignment="1">
      <alignment wrapText="1"/>
    </xf>
    <xf numFmtId="0" fontId="36" fillId="7" borderId="0" xfId="0" applyFont="1" applyFill="1" applyAlignment="1">
      <alignment wrapText="1"/>
    </xf>
    <xf numFmtId="172" fontId="36" fillId="7" borderId="0" xfId="0" applyNumberFormat="1" applyFont="1" applyFill="1" applyAlignment="1">
      <alignment wrapText="1"/>
    </xf>
    <xf numFmtId="169" fontId="36" fillId="10" borderId="0" xfId="0" applyNumberFormat="1" applyFont="1" applyFill="1" applyAlignment="1">
      <alignment wrapText="1"/>
    </xf>
    <xf numFmtId="171" fontId="36" fillId="10" borderId="0" xfId="0" applyNumberFormat="1" applyFont="1" applyFill="1" applyAlignment="1">
      <alignment wrapText="1"/>
    </xf>
    <xf numFmtId="174" fontId="36" fillId="7" borderId="0" xfId="0" applyNumberFormat="1" applyFont="1" applyFill="1" applyAlignment="1">
      <alignment wrapText="1"/>
    </xf>
    <xf numFmtId="14" fontId="36" fillId="0" borderId="0" xfId="0" applyNumberFormat="1" applyFont="1" applyAlignment="1">
      <alignment wrapText="1"/>
    </xf>
    <xf numFmtId="166" fontId="0" fillId="0" borderId="0" xfId="0" applyNumberFormat="1" applyAlignment="1">
      <alignment wrapText="1"/>
    </xf>
    <xf numFmtId="167" fontId="0" fillId="0" borderId="0" xfId="0" applyNumberFormat="1" applyAlignment="1">
      <alignment wrapText="1"/>
    </xf>
    <xf numFmtId="171" fontId="0" fillId="0" borderId="0" xfId="0" applyNumberFormat="1" applyAlignment="1">
      <alignment wrapText="1"/>
    </xf>
    <xf numFmtId="2" fontId="0" fillId="0" borderId="0" xfId="0" applyNumberFormat="1" applyAlignment="1">
      <alignment wrapText="1"/>
    </xf>
    <xf numFmtId="175" fontId="0" fillId="0" borderId="0" xfId="0" applyNumberFormat="1" applyAlignment="1">
      <alignment wrapText="1"/>
    </xf>
    <xf numFmtId="0" fontId="45" fillId="6" borderId="0" xfId="0" applyFont="1" applyFill="1" applyAlignment="1">
      <alignment wrapText="1"/>
    </xf>
    <xf numFmtId="0" fontId="38" fillId="0" borderId="0" xfId="0" applyFont="1" applyAlignment="1">
      <alignment wrapText="1"/>
    </xf>
    <xf numFmtId="0" fontId="36" fillId="11" borderId="0" xfId="0" applyFont="1" applyFill="1" applyAlignment="1">
      <alignment wrapText="1"/>
    </xf>
    <xf numFmtId="172" fontId="36" fillId="11" borderId="0" xfId="0" applyNumberFormat="1" applyFont="1" applyFill="1" applyAlignment="1">
      <alignment wrapText="1"/>
    </xf>
    <xf numFmtId="0" fontId="40" fillId="8" borderId="0" xfId="0" applyFont="1" applyFill="1" applyAlignment="1">
      <alignment wrapText="1"/>
    </xf>
    <xf numFmtId="17" fontId="36" fillId="0" borderId="0" xfId="0" applyNumberFormat="1" applyFont="1" applyAlignment="1">
      <alignment wrapText="1"/>
    </xf>
    <xf numFmtId="0" fontId="8" fillId="8" borderId="0" xfId="0" applyFont="1" applyFill="1" applyAlignment="1">
      <alignment wrapText="1"/>
    </xf>
    <xf numFmtId="14" fontId="0" fillId="0" borderId="0" xfId="0" applyNumberFormat="1" applyAlignment="1">
      <alignment wrapText="1"/>
    </xf>
    <xf numFmtId="0" fontId="0" fillId="10" borderId="0" xfId="0" applyFill="1" applyAlignment="1">
      <alignment vertical="top" wrapText="1"/>
    </xf>
    <xf numFmtId="0" fontId="32" fillId="6" borderId="0" xfId="0" applyFont="1" applyFill="1" applyAlignment="1">
      <alignment wrapText="1"/>
    </xf>
    <xf numFmtId="0" fontId="63" fillId="10" borderId="0" xfId="0" applyFont="1" applyFill="1" applyAlignment="1">
      <alignment wrapText="1"/>
    </xf>
    <xf numFmtId="0" fontId="64" fillId="11" borderId="0" xfId="0" applyFont="1" applyFill="1" applyAlignment="1">
      <alignment wrapText="1"/>
    </xf>
    <xf numFmtId="0" fontId="47" fillId="9" borderId="0" xfId="0" applyFont="1" applyFill="1" applyAlignment="1">
      <alignment wrapText="1"/>
    </xf>
    <xf numFmtId="172" fontId="66" fillId="7" borderId="0" xfId="0" applyNumberFormat="1" applyFont="1" applyFill="1" applyAlignment="1">
      <alignment horizontal="center"/>
    </xf>
    <xf numFmtId="0" fontId="66" fillId="7" borderId="0" xfId="0" applyFont="1" applyFill="1" applyAlignment="1">
      <alignment horizontal="center"/>
    </xf>
    <xf numFmtId="0" fontId="66" fillId="7" borderId="0" xfId="0" applyFont="1" applyFill="1" applyAlignment="1">
      <alignment horizontal="center" wrapText="1"/>
    </xf>
    <xf numFmtId="174" fontId="36" fillId="5" borderId="0" xfId="0" applyNumberFormat="1" applyFont="1" applyFill="1" applyAlignment="1">
      <alignment wrapText="1"/>
    </xf>
    <xf numFmtId="0" fontId="0" fillId="9" borderId="0" xfId="0" applyFill="1" applyAlignment="1">
      <alignment vertical="top" wrapText="1"/>
    </xf>
  </cellXfs>
  <cellStyles count="1">
    <cellStyle name="Normal" xfId="0" builtinId="0"/>
  </cellStyles>
  <dxfs count="193">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m/d/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wrapText="1"/>
    </dxf>
    <dxf>
      <alignment wrapText="1"/>
    </dxf>
    <dxf>
      <font>
        <name val="Segoe UI"/>
      </font>
      <alignment wrapText="1"/>
    </dxf>
    <dxf>
      <font>
        <name val="Segoe UI"/>
      </font>
      <alignment wrapText="1"/>
    </dxf>
    <dxf>
      <font>
        <name val="Segoe UI"/>
      </font>
      <numFmt numFmtId="19" formatCode="m/d/yyyy"/>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name val="Segoe UI"/>
      </font>
      <alignment wrapText="1"/>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B91C1C"/>
      </font>
      <fill>
        <patternFill patternType="solid">
          <fgColor indexed="64"/>
          <bgColor rgb="FFFEF2F2"/>
        </patternFill>
      </fill>
    </dxf>
    <dxf>
      <font>
        <color rgb="FFB45309"/>
      </font>
      <fill>
        <patternFill patternType="solid">
          <fgColor indexed="64"/>
          <bgColor rgb="FFFFFBEB"/>
        </patternFill>
      </fill>
    </dxf>
    <dxf>
      <font>
        <color rgb="FF047857"/>
      </font>
      <fill>
        <patternFill patternType="solid">
          <fgColor indexed="64"/>
          <bgColor rgb="FFECFDF5"/>
        </patternFill>
      </fill>
    </dxf>
    <dxf>
      <font>
        <color rgb="FF047857"/>
      </font>
      <fill>
        <patternFill patternType="solid">
          <fgColor indexed="64"/>
          <bgColor rgb="FFECFDF5"/>
        </patternFill>
      </fill>
    </dxf>
    <dxf>
      <font>
        <name val="Segoe UI"/>
      </font>
      <fill>
        <patternFill patternType="solid">
          <fgColor indexed="64"/>
          <bgColor rgb="FFF8FAFC"/>
        </patternFill>
      </fill>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fill>
        <patternFill patternType="solid">
          <fgColor indexed="64"/>
          <bgColor rgb="FFF8FAFC"/>
        </patternFill>
      </fill>
      <alignment wrapText="1"/>
    </dxf>
    <dxf>
      <font>
        <name val="Segoe UI"/>
      </font>
      <numFmt numFmtId="164" formatCode="#,##0\ &quot;kr&quot;"/>
      <fill>
        <patternFill patternType="solid">
          <fgColor indexed="64"/>
          <bgColor rgb="FFF8FAFC"/>
        </patternFill>
      </fill>
    </dxf>
    <dxf>
      <font>
        <name val="Segoe UI"/>
      </font>
      <numFmt numFmtId="164" formatCode="#,##0\ &quot;kr&quot;"/>
      <fill>
        <patternFill patternType="solid">
          <fgColor indexed="64"/>
          <bgColor rgb="FFF8FAFC"/>
        </patternFill>
      </fill>
    </dxf>
    <dxf>
      <font>
        <name val="Segoe UI"/>
      </font>
      <numFmt numFmtId="171" formatCode="0.0%"/>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numFmt numFmtId="19" formatCode="m/d/yyyy"/>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color rgb="FF047857"/>
        <name val="Segoe UI"/>
      </font>
      <fill>
        <patternFill patternType="solid">
          <fgColor indexed="64"/>
          <bgColor rgb="FFECFDF5"/>
        </patternFill>
      </fill>
    </dxf>
    <dxf>
      <font>
        <color rgb="FF047857"/>
        <name val="Segoe UI"/>
      </font>
      <fill>
        <patternFill patternType="solid">
          <fgColor indexed="64"/>
          <bgColor rgb="FFECFDF5"/>
        </patternFill>
      </fill>
    </dxf>
    <dxf>
      <font>
        <name val="Segoe UI"/>
      </font>
      <numFmt numFmtId="164" formatCode="#,##0\ &quot;kr&quot;"/>
      <fill>
        <patternFill patternType="solid">
          <fgColor indexed="64"/>
          <bgColor rgb="FFF8FAFC"/>
        </patternFill>
      </fill>
    </dxf>
    <dxf>
      <font>
        <name val="Segoe UI"/>
      </font>
      <numFmt numFmtId="3" formatCode="#,##0"/>
      <fill>
        <patternFill patternType="solid">
          <fgColor indexed="64"/>
          <bgColor rgb="FFF8FAFC"/>
        </patternFill>
      </fill>
    </dxf>
    <dxf>
      <font>
        <name val="Segoe UI"/>
      </font>
      <numFmt numFmtId="3" formatCode="#,##0"/>
      <fill>
        <patternFill patternType="solid">
          <fgColor indexed="64"/>
          <bgColor rgb="FFF8FAFC"/>
        </patternFill>
      </fill>
    </dxf>
    <dxf>
      <font>
        <name val="Segoe UI"/>
      </font>
      <numFmt numFmtId="2" formatCode="0.00"/>
      <fill>
        <patternFill patternType="solid">
          <fgColor indexed="64"/>
          <bgColor rgb="FFF8FAFC"/>
        </patternFill>
      </fill>
    </dxf>
    <dxf>
      <font>
        <name val="Segoe UI"/>
      </font>
      <numFmt numFmtId="2" formatCode="0.00"/>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numFmt numFmtId="171" formatCode="0.0%"/>
      <fill>
        <patternFill patternType="solid">
          <fgColor indexed="64"/>
          <bgColor rgb="FFF8FAFC"/>
        </patternFill>
      </fill>
    </dxf>
    <dxf>
      <font>
        <name val="Segoe UI"/>
      </font>
      <numFmt numFmtId="164" formatCode="#,##0\ &quot;kr&quot;"/>
      <fill>
        <patternFill patternType="solid">
          <fgColor indexed="64"/>
          <bgColor rgb="FFF8FAFC"/>
        </patternFill>
      </fill>
    </dxf>
    <dxf>
      <font>
        <name val="Segoe UI"/>
      </font>
      <numFmt numFmtId="164" formatCode="#,##0\ &quot;kr&quot;"/>
      <fill>
        <patternFill patternType="solid">
          <fgColor indexed="64"/>
          <bgColor rgb="FFF8FAFC"/>
        </patternFill>
      </fill>
    </dxf>
    <dxf>
      <font>
        <name val="Segoe UI"/>
      </font>
      <numFmt numFmtId="2" formatCode="0.00"/>
      <fill>
        <patternFill patternType="solid">
          <fgColor indexed="64"/>
          <bgColor rgb="FFF8FAFC"/>
        </patternFill>
      </fill>
    </dxf>
    <dxf>
      <font>
        <name val="Segoe UI"/>
      </font>
      <numFmt numFmtId="2" formatCode="0.00"/>
      <fill>
        <patternFill patternType="solid">
          <fgColor indexed="64"/>
          <bgColor rgb="FFF8FAFC"/>
        </patternFill>
      </fill>
    </dxf>
    <dxf>
      <font>
        <name val="Segoe UI"/>
      </font>
      <numFmt numFmtId="2" formatCode="0.00"/>
      <fill>
        <patternFill patternType="solid">
          <fgColor indexed="64"/>
          <bgColor rgb="FFF8FAFC"/>
        </patternFill>
      </fill>
    </dxf>
    <dxf>
      <font>
        <name val="Segoe UI"/>
      </font>
      <numFmt numFmtId="171" formatCode="0.0%"/>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numFmt numFmtId="19" formatCode="m/d/yyyy"/>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font>
        <name val="Segoe UI"/>
      </font>
      <fill>
        <patternFill patternType="solid">
          <fgColor indexed="64"/>
          <bgColor rgb="FFF8FAFC"/>
        </patternFill>
      </fill>
    </dxf>
    <dxf>
      <alignment wrapText="1"/>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10/relationships/person" Target="persons/person.xml"/><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worksheet" Target="worksheets/sheet20.xml"/><Relationship Id="rId41" Type="http://schemas.openxmlformats.org/officeDocument/2006/relationships/calcChain" Target="calcChain.xml"/><Relationship Id="rId54"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r>
              <a:rPr lang="en-US"/>
              <a:t>Månedlig budsjett vs. actual/forecast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endParaRPr lang="nb-NO"/>
        </a:p>
      </c:txPr>
    </c:title>
    <c:autoTitleDeleted val="0"/>
    <c:plotArea>
      <c:layout/>
      <c:barChart>
        <c:barDir val="col"/>
        <c:grouping val="clustered"/>
        <c:varyColors val="0"/>
        <c:ser>
          <c:idx val="0"/>
          <c:order val="0"/>
          <c:tx>
            <c:strRef>
              <c:f>'Chart Data'!$B$1</c:f>
              <c:strCache>
                <c:ptCount val="1"/>
                <c:pt idx="0">
                  <c:v>Budsjett</c:v>
                </c:pt>
              </c:strCache>
            </c:strRef>
          </c:tx>
          <c:spPr>
            <a:solidFill>
              <a:srgbClr val="94A3B8"/>
            </a:solidFill>
            <a:ln>
              <a:noFill/>
            </a:ln>
            <a:effectLst/>
          </c:spPr>
          <c:invertIfNegative val="0"/>
          <c:cat>
            <c:strRef>
              <c:f>'Chart Data'!$A$2:$A$13</c:f>
              <c:strCache>
                <c:ptCount val="12"/>
                <c:pt idx="0">
                  <c:v>Jan</c:v>
                </c:pt>
                <c:pt idx="1">
                  <c:v>Feb</c:v>
                </c:pt>
                <c:pt idx="2">
                  <c:v>Mar</c:v>
                </c:pt>
                <c:pt idx="3">
                  <c:v>Apr</c:v>
                </c:pt>
                <c:pt idx="4">
                  <c:v>Mai</c:v>
                </c:pt>
                <c:pt idx="5">
                  <c:v>Jun</c:v>
                </c:pt>
                <c:pt idx="6">
                  <c:v>Jul</c:v>
                </c:pt>
                <c:pt idx="7">
                  <c:v>Aug</c:v>
                </c:pt>
                <c:pt idx="8">
                  <c:v>Sep</c:v>
                </c:pt>
                <c:pt idx="9">
                  <c:v>Okt</c:v>
                </c:pt>
                <c:pt idx="10">
                  <c:v>Nov</c:v>
                </c:pt>
                <c:pt idx="11">
                  <c:v>Des</c:v>
                </c:pt>
              </c:strCache>
            </c:strRef>
          </c:cat>
          <c:val>
            <c:numRef>
              <c:f>'Chart Data'!$B$2:$B$13</c:f>
              <c:numCache>
                <c:formatCode>General</c:formatCode>
                <c:ptCount val="12"/>
                <c:pt idx="0">
                  <c:v>10846144</c:v>
                </c:pt>
                <c:pt idx="1">
                  <c:v>10846144</c:v>
                </c:pt>
                <c:pt idx="2">
                  <c:v>10846144</c:v>
                </c:pt>
                <c:pt idx="3">
                  <c:v>10846144</c:v>
                </c:pt>
                <c:pt idx="4">
                  <c:v>10846144</c:v>
                </c:pt>
                <c:pt idx="5">
                  <c:v>10846144</c:v>
                </c:pt>
                <c:pt idx="6">
                  <c:v>10846144</c:v>
                </c:pt>
                <c:pt idx="7">
                  <c:v>10846144</c:v>
                </c:pt>
                <c:pt idx="8">
                  <c:v>10846144</c:v>
                </c:pt>
                <c:pt idx="9">
                  <c:v>10846144</c:v>
                </c:pt>
                <c:pt idx="10">
                  <c:v>10846144</c:v>
                </c:pt>
                <c:pt idx="11">
                  <c:v>10846241</c:v>
                </c:pt>
              </c:numCache>
            </c:numRef>
          </c:val>
          <c:extLst>
            <c:ext xmlns:c16="http://schemas.microsoft.com/office/drawing/2014/chart" uri="{C3380CC4-5D6E-409C-BE32-E72D297353CC}">
              <c16:uniqueId val="{00000000-1081-49AB-B1F0-60DAAD29C518}"/>
            </c:ext>
          </c:extLst>
        </c:ser>
        <c:ser>
          <c:idx val="1"/>
          <c:order val="1"/>
          <c:tx>
            <c:strRef>
              <c:f>'Chart Data'!$C$1</c:f>
              <c:strCache>
                <c:ptCount val="1"/>
                <c:pt idx="0">
                  <c:v>Regnskap / prognose</c:v>
                </c:pt>
              </c:strCache>
            </c:strRef>
          </c:tx>
          <c:spPr>
            <a:solidFill>
              <a:schemeClr val="accent2">
                <a:lumMod val="40000"/>
                <a:lumOff val="60000"/>
              </a:schemeClr>
            </a:solidFill>
            <a:ln>
              <a:noFill/>
            </a:ln>
            <a:effectLst/>
          </c:spPr>
          <c:invertIfNegative val="0"/>
          <c:cat>
            <c:strRef>
              <c:f>'Chart Data'!$A$2:$A$13</c:f>
              <c:strCache>
                <c:ptCount val="12"/>
                <c:pt idx="0">
                  <c:v>Jan</c:v>
                </c:pt>
                <c:pt idx="1">
                  <c:v>Feb</c:v>
                </c:pt>
                <c:pt idx="2">
                  <c:v>Mar</c:v>
                </c:pt>
                <c:pt idx="3">
                  <c:v>Apr</c:v>
                </c:pt>
                <c:pt idx="4">
                  <c:v>Mai</c:v>
                </c:pt>
                <c:pt idx="5">
                  <c:v>Jun</c:v>
                </c:pt>
                <c:pt idx="6">
                  <c:v>Jul</c:v>
                </c:pt>
                <c:pt idx="7">
                  <c:v>Aug</c:v>
                </c:pt>
                <c:pt idx="8">
                  <c:v>Sep</c:v>
                </c:pt>
                <c:pt idx="9">
                  <c:v>Okt</c:v>
                </c:pt>
                <c:pt idx="10">
                  <c:v>Nov</c:v>
                </c:pt>
                <c:pt idx="11">
                  <c:v>Des</c:v>
                </c:pt>
              </c:strCache>
            </c:strRef>
          </c:cat>
          <c:val>
            <c:numRef>
              <c:f>'Chart Data'!$C$2:$C$13</c:f>
              <c:numCache>
                <c:formatCode>General</c:formatCode>
                <c:ptCount val="12"/>
                <c:pt idx="0">
                  <c:v>10725571</c:v>
                </c:pt>
                <c:pt idx="1">
                  <c:v>10725571</c:v>
                </c:pt>
                <c:pt idx="2">
                  <c:v>10755321</c:v>
                </c:pt>
                <c:pt idx="3">
                  <c:v>10725571</c:v>
                </c:pt>
                <c:pt idx="4">
                  <c:v>10744821</c:v>
                </c:pt>
                <c:pt idx="5">
                  <c:v>11202192</c:v>
                </c:pt>
                <c:pt idx="6">
                  <c:v>10725571</c:v>
                </c:pt>
                <c:pt idx="7">
                  <c:v>10725571</c:v>
                </c:pt>
                <c:pt idx="8">
                  <c:v>11124571</c:v>
                </c:pt>
                <c:pt idx="9">
                  <c:v>10725571</c:v>
                </c:pt>
                <c:pt idx="10">
                  <c:v>10725571</c:v>
                </c:pt>
                <c:pt idx="11">
                  <c:v>10725665</c:v>
                </c:pt>
              </c:numCache>
            </c:numRef>
          </c:val>
          <c:extLst>
            <c:ext xmlns:c16="http://schemas.microsoft.com/office/drawing/2014/chart" uri="{C3380CC4-5D6E-409C-BE32-E72D297353CC}">
              <c16:uniqueId val="{00000001-1081-49AB-B1F0-60DAAD29C518}"/>
            </c:ext>
          </c:extLst>
        </c:ser>
        <c:dLbls>
          <c:showLegendKey val="0"/>
          <c:showVal val="0"/>
          <c:showCatName val="0"/>
          <c:showSerName val="0"/>
          <c:showPercent val="0"/>
          <c:showBubbleSize val="0"/>
        </c:dLbls>
        <c:gapWidth val="219"/>
        <c:axId val="1645611152"/>
        <c:axId val="451575568"/>
      </c:barChart>
      <c:catAx>
        <c:axId val="164561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51575568"/>
        <c:crosses val="autoZero"/>
        <c:auto val="1"/>
        <c:lblAlgn val="ctr"/>
        <c:lblOffset val="100"/>
        <c:noMultiLvlLbl val="0"/>
      </c:catAx>
      <c:valAx>
        <c:axId val="451575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MNOK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561115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r>
              <a:rPr lang="en-US"/>
              <a:t>Favorable (+) / ugunstig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endParaRPr lang="nb-NO"/>
        </a:p>
      </c:txPr>
    </c:title>
    <c:autoTitleDeleted val="0"/>
    <c:plotArea>
      <c:layout/>
      <c:barChart>
        <c:barDir val="bar"/>
        <c:grouping val="clustered"/>
        <c:varyColors val="0"/>
        <c:ser>
          <c:idx val="0"/>
          <c:order val="0"/>
          <c:tx>
            <c:strRef>
              <c:f>'Chart Data'!$H$1</c:f>
              <c:strCache>
                <c:ptCount val="1"/>
                <c:pt idx="0">
                  <c:v>Sluttavvik</c:v>
                </c:pt>
              </c:strCache>
            </c:strRef>
          </c:tx>
          <c:spPr>
            <a:solidFill>
              <a:srgbClr val="64748B"/>
            </a:solidFill>
            <a:ln>
              <a:noFill/>
            </a:ln>
            <a:effectLst/>
          </c:spPr>
          <c:invertIfNegative val="0"/>
          <c:dPt>
            <c:idx val="0"/>
            <c:invertIfNegative val="0"/>
            <c:bubble3D val="0"/>
            <c:spPr>
              <a:solidFill>
                <a:srgbClr val="10B981"/>
              </a:solidFill>
              <a:ln>
                <a:noFill/>
              </a:ln>
              <a:effectLst/>
            </c:spPr>
            <c:extLst>
              <c:ext xmlns:c16="http://schemas.microsoft.com/office/drawing/2014/chart" uri="{C3380CC4-5D6E-409C-BE32-E72D297353CC}">
                <c16:uniqueId val="{00000001-7FCD-44E9-BBE8-7E491F9E5768}"/>
              </c:ext>
            </c:extLst>
          </c:dPt>
          <c:dPt>
            <c:idx val="1"/>
            <c:invertIfNegative val="0"/>
            <c:bubble3D val="0"/>
            <c:spPr>
              <a:solidFill>
                <a:srgbClr val="F59E0B"/>
              </a:solidFill>
              <a:ln>
                <a:noFill/>
              </a:ln>
              <a:effectLst/>
            </c:spPr>
            <c:extLst>
              <c:ext xmlns:c16="http://schemas.microsoft.com/office/drawing/2014/chart" uri="{C3380CC4-5D6E-409C-BE32-E72D297353CC}">
                <c16:uniqueId val="{00000002-7FCD-44E9-BBE8-7E491F9E5768}"/>
              </c:ext>
            </c:extLst>
          </c:dPt>
          <c:dPt>
            <c:idx val="2"/>
            <c:invertIfNegative val="0"/>
            <c:bubble3D val="0"/>
            <c:spPr>
              <a:solidFill>
                <a:srgbClr val="10B981"/>
              </a:solidFill>
              <a:ln>
                <a:noFill/>
              </a:ln>
              <a:effectLst/>
            </c:spPr>
            <c:extLst>
              <c:ext xmlns:c16="http://schemas.microsoft.com/office/drawing/2014/chart" uri="{C3380CC4-5D6E-409C-BE32-E72D297353CC}">
                <c16:uniqueId val="{00000003-7FCD-44E9-BBE8-7E491F9E5768}"/>
              </c:ext>
            </c:extLst>
          </c:dPt>
          <c:dPt>
            <c:idx val="3"/>
            <c:invertIfNegative val="0"/>
            <c:bubble3D val="0"/>
            <c:spPr>
              <a:solidFill>
                <a:srgbClr val="F59E0B"/>
              </a:solidFill>
              <a:ln>
                <a:noFill/>
              </a:ln>
              <a:effectLst/>
            </c:spPr>
            <c:extLst>
              <c:ext xmlns:c16="http://schemas.microsoft.com/office/drawing/2014/chart" uri="{C3380CC4-5D6E-409C-BE32-E72D297353CC}">
                <c16:uniqueId val="{00000004-7FCD-44E9-BBE8-7E491F9E5768}"/>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Data'!$F$2:$F$5</c:f>
              <c:strCache>
                <c:ptCount val="4"/>
                <c:pt idx="0">
                  <c:v>Administrasjon</c:v>
                </c:pt>
                <c:pt idx="1">
                  <c:v>Ledelse og innovasjon</c:v>
                </c:pt>
                <c:pt idx="2">
                  <c:v>Rettsvitenskap</c:v>
                </c:pt>
                <c:pt idx="3">
                  <c:v>Økonomi</c:v>
                </c:pt>
              </c:strCache>
            </c:strRef>
          </c:cat>
          <c:val>
            <c:numRef>
              <c:f>'Chart Data'!$H$2:$H$5</c:f>
              <c:numCache>
                <c:formatCode>General</c:formatCode>
                <c:ptCount val="4"/>
                <c:pt idx="0">
                  <c:v>87499</c:v>
                </c:pt>
                <c:pt idx="1">
                  <c:v>-3496</c:v>
                </c:pt>
                <c:pt idx="2">
                  <c:v>1148940</c:v>
                </c:pt>
                <c:pt idx="3">
                  <c:v>-710685</c:v>
                </c:pt>
              </c:numCache>
            </c:numRef>
          </c:val>
          <c:extLst>
            <c:ext xmlns:c16="http://schemas.microsoft.com/office/drawing/2014/chart" uri="{C3380CC4-5D6E-409C-BE32-E72D297353CC}">
              <c16:uniqueId val="{00000000-7FCD-44E9-BBE8-7E491F9E5768}"/>
            </c:ext>
          </c:extLst>
        </c:ser>
        <c:dLbls>
          <c:showLegendKey val="0"/>
          <c:showVal val="0"/>
          <c:showCatName val="0"/>
          <c:showSerName val="0"/>
          <c:showPercent val="0"/>
          <c:showBubbleSize val="0"/>
        </c:dLbls>
        <c:gapWidth val="182"/>
        <c:axId val="1645507680"/>
        <c:axId val="451569808"/>
      </c:barChart>
      <c:catAx>
        <c:axId val="164550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51569808"/>
        <c:crosses val="autoZero"/>
        <c:auto val="1"/>
        <c:lblAlgn val="ctr"/>
        <c:lblOffset val="100"/>
        <c:noMultiLvlLbl val="0"/>
      </c:catAx>
      <c:valAx>
        <c:axId val="45156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MNOK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550768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r>
              <a:rPr lang="en-US"/>
              <a:t>Viktigste avviksdrivere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endParaRPr lang="nb-NO"/>
        </a:p>
      </c:txPr>
    </c:title>
    <c:autoTitleDeleted val="0"/>
    <c:plotArea>
      <c:layout/>
      <c:barChart>
        <c:barDir val="bar"/>
        <c:grouping val="clustered"/>
        <c:varyColors val="0"/>
        <c:ser>
          <c:idx val="0"/>
          <c:order val="0"/>
          <c:tx>
            <c:strRef>
              <c:f>'Chart Data'!$K$1</c:f>
              <c:strCache>
                <c:ptCount val="1"/>
                <c:pt idx="0">
                  <c:v>Avvik</c:v>
                </c:pt>
              </c:strCache>
            </c:strRef>
          </c:tx>
          <c:spPr>
            <a:solidFill>
              <a:schemeClr val="accent1"/>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1-397A-4EC2-9376-F4159A24EA01}"/>
              </c:ext>
            </c:extLst>
          </c:dPt>
          <c:dPt>
            <c:idx val="1"/>
            <c:invertIfNegative val="0"/>
            <c:bubble3D val="0"/>
            <c:spPr>
              <a:solidFill>
                <a:srgbClr val="10B981"/>
              </a:solidFill>
              <a:ln>
                <a:noFill/>
              </a:ln>
              <a:effectLst/>
            </c:spPr>
            <c:extLst>
              <c:ext xmlns:c16="http://schemas.microsoft.com/office/drawing/2014/chart" uri="{C3380CC4-5D6E-409C-BE32-E72D297353CC}">
                <c16:uniqueId val="{00000003-397A-4EC2-9376-F4159A24EA01}"/>
              </c:ext>
            </c:extLst>
          </c:dPt>
          <c:dPt>
            <c:idx val="2"/>
            <c:invertIfNegative val="0"/>
            <c:bubble3D val="0"/>
            <c:spPr>
              <a:solidFill>
                <a:srgbClr val="10B981"/>
              </a:solidFill>
              <a:ln>
                <a:noFill/>
              </a:ln>
              <a:effectLst/>
            </c:spPr>
            <c:extLst>
              <c:ext xmlns:c16="http://schemas.microsoft.com/office/drawing/2014/chart" uri="{C3380CC4-5D6E-409C-BE32-E72D297353CC}">
                <c16:uniqueId val="{00000005-397A-4EC2-9376-F4159A24EA01}"/>
              </c:ext>
            </c:extLst>
          </c:dPt>
          <c:dPt>
            <c:idx val="3"/>
            <c:invertIfNegative val="0"/>
            <c:bubble3D val="0"/>
            <c:spPr>
              <a:solidFill>
                <a:srgbClr val="10B981"/>
              </a:solidFill>
              <a:ln>
                <a:noFill/>
              </a:ln>
              <a:effectLst/>
            </c:spPr>
            <c:extLst>
              <c:ext xmlns:c16="http://schemas.microsoft.com/office/drawing/2014/chart" uri="{C3380CC4-5D6E-409C-BE32-E72D297353CC}">
                <c16:uniqueId val="{00000007-397A-4EC2-9376-F4159A24EA01}"/>
              </c:ext>
            </c:extLst>
          </c:dPt>
          <c:dPt>
            <c:idx val="4"/>
            <c:invertIfNegative val="0"/>
            <c:bubble3D val="0"/>
            <c:spPr>
              <a:solidFill>
                <a:srgbClr val="10B981"/>
              </a:solidFill>
              <a:ln>
                <a:noFill/>
              </a:ln>
              <a:effectLst/>
            </c:spPr>
            <c:extLst>
              <c:ext xmlns:c16="http://schemas.microsoft.com/office/drawing/2014/chart" uri="{C3380CC4-5D6E-409C-BE32-E72D297353CC}">
                <c16:uniqueId val="{00000009-397A-4EC2-9376-F4159A24EA01}"/>
              </c:ext>
            </c:extLst>
          </c:dPt>
          <c:dPt>
            <c:idx val="5"/>
            <c:invertIfNegative val="0"/>
            <c:bubble3D val="0"/>
            <c:spPr>
              <a:solidFill>
                <a:srgbClr val="EF4444"/>
              </a:solidFill>
              <a:ln>
                <a:noFill/>
              </a:ln>
              <a:effectLst/>
            </c:spPr>
            <c:extLst>
              <c:ext xmlns:c16="http://schemas.microsoft.com/office/drawing/2014/chart" uri="{C3380CC4-5D6E-409C-BE32-E72D297353CC}">
                <c16:uniqueId val="{0000000B-397A-4EC2-9376-F4159A24EA01}"/>
              </c:ext>
            </c:extLst>
          </c:dPt>
          <c:dPt>
            <c:idx val="6"/>
            <c:invertIfNegative val="0"/>
            <c:bubble3D val="0"/>
            <c:spPr>
              <a:solidFill>
                <a:srgbClr val="10B981"/>
              </a:solidFill>
              <a:ln>
                <a:noFill/>
              </a:ln>
              <a:effectLst/>
            </c:spPr>
            <c:extLst>
              <c:ext xmlns:c16="http://schemas.microsoft.com/office/drawing/2014/chart" uri="{C3380CC4-5D6E-409C-BE32-E72D297353CC}">
                <c16:uniqueId val="{0000000D-397A-4EC2-9376-F4159A24EA01}"/>
              </c:ext>
            </c:extLst>
          </c:dPt>
          <c:dPt>
            <c:idx val="7"/>
            <c:invertIfNegative val="0"/>
            <c:bubble3D val="0"/>
            <c:spPr>
              <a:solidFill>
                <a:srgbClr val="EF4444"/>
              </a:solidFill>
              <a:ln>
                <a:noFill/>
              </a:ln>
              <a:effectLst/>
            </c:spPr>
            <c:extLst>
              <c:ext xmlns:c16="http://schemas.microsoft.com/office/drawing/2014/chart" uri="{C3380CC4-5D6E-409C-BE32-E72D297353CC}">
                <c16:uniqueId val="{0000000F-397A-4EC2-9376-F4159A24EA01}"/>
              </c:ext>
            </c:extLst>
          </c:dPt>
          <c:dPt>
            <c:idx val="8"/>
            <c:invertIfNegative val="0"/>
            <c:bubble3D val="0"/>
            <c:spPr>
              <a:solidFill>
                <a:srgbClr val="10B981"/>
              </a:solidFill>
              <a:ln>
                <a:noFill/>
              </a:ln>
              <a:effectLst/>
            </c:spPr>
            <c:extLst>
              <c:ext xmlns:c16="http://schemas.microsoft.com/office/drawing/2014/chart" uri="{C3380CC4-5D6E-409C-BE32-E72D297353CC}">
                <c16:uniqueId val="{00000011-397A-4EC2-9376-F4159A24EA01}"/>
              </c:ext>
            </c:extLst>
          </c:dPt>
          <c:dPt>
            <c:idx val="9"/>
            <c:invertIfNegative val="0"/>
            <c:bubble3D val="0"/>
            <c:spPr>
              <a:solidFill>
                <a:srgbClr val="EF4444"/>
              </a:solidFill>
              <a:ln>
                <a:noFill/>
              </a:ln>
              <a:effectLst/>
            </c:spPr>
            <c:extLst>
              <c:ext xmlns:c16="http://schemas.microsoft.com/office/drawing/2014/chart" uri="{C3380CC4-5D6E-409C-BE32-E72D297353CC}">
                <c16:uniqueId val="{00000013-397A-4EC2-9376-F4159A24EA01}"/>
              </c:ext>
            </c:extLst>
          </c:dPt>
          <c:dPt>
            <c:idx val="10"/>
            <c:invertIfNegative val="0"/>
            <c:bubble3D val="0"/>
            <c:spPr>
              <a:solidFill>
                <a:srgbClr val="EF4444"/>
              </a:solidFill>
              <a:ln>
                <a:noFill/>
              </a:ln>
              <a:effectLst/>
            </c:spPr>
            <c:extLst>
              <c:ext xmlns:c16="http://schemas.microsoft.com/office/drawing/2014/chart" uri="{C3380CC4-5D6E-409C-BE32-E72D297353CC}">
                <c16:uniqueId val="{00000015-397A-4EC2-9376-F4159A24EA0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Data'!$J$2:$J$12</c:f>
              <c:strCache>
                <c:ptCount val="11"/>
                <c:pt idx="0">
                  <c:v>K13000 – Fast lønn</c:v>
                </c:pt>
                <c:pt idx="1">
                  <c:v>K12000 – Fast lønn</c:v>
                </c:pt>
                <c:pt idx="2">
                  <c:v>K13000 – Feriepenger</c:v>
                </c:pt>
                <c:pt idx="3">
                  <c:v>K11000 – Feriepenger</c:v>
                </c:pt>
                <c:pt idx="4">
                  <c:v>K12000 – Feriepenger</c:v>
                </c:pt>
                <c:pt idx="5">
                  <c:v>K11000 – EVU001 tapsavsetning</c:v>
                </c:pt>
                <c:pt idx="6">
                  <c:v>K10000 – Feriepenger</c:v>
                </c:pt>
                <c:pt idx="7">
                  <c:v>K13000 – Arbeidsgiveravgift</c:v>
                </c:pt>
                <c:pt idx="8">
                  <c:v>K12000 – Arbeidsgiveravgift</c:v>
                </c:pt>
                <c:pt idx="9">
                  <c:v>K10000 – AACSB konsulent</c:v>
                </c:pt>
                <c:pt idx="10">
                  <c:v>K11000 – Midlertidig lønn</c:v>
                </c:pt>
              </c:strCache>
            </c:strRef>
          </c:cat>
          <c:val>
            <c:numRef>
              <c:f>'Chart Data'!$K$2:$K$12</c:f>
              <c:numCache>
                <c:formatCode>General</c:formatCode>
                <c:ptCount val="11"/>
                <c:pt idx="0">
                  <c:v>-982596</c:v>
                </c:pt>
                <c:pt idx="1">
                  <c:v>678600</c:v>
                </c:pt>
                <c:pt idx="2">
                  <c:v>407439</c:v>
                </c:pt>
                <c:pt idx="3">
                  <c:v>404254</c:v>
                </c:pt>
                <c:pt idx="4">
                  <c:v>376740</c:v>
                </c:pt>
                <c:pt idx="5">
                  <c:v>-350000</c:v>
                </c:pt>
                <c:pt idx="6">
                  <c:v>146999</c:v>
                </c:pt>
                <c:pt idx="7">
                  <c:v>-135528</c:v>
                </c:pt>
                <c:pt idx="8">
                  <c:v>93600</c:v>
                </c:pt>
                <c:pt idx="9">
                  <c:v>-59500</c:v>
                </c:pt>
                <c:pt idx="10">
                  <c:v>-57750</c:v>
                </c:pt>
              </c:numCache>
            </c:numRef>
          </c:val>
          <c:extLst>
            <c:ext xmlns:c16="http://schemas.microsoft.com/office/drawing/2014/chart" uri="{C3380CC4-5D6E-409C-BE32-E72D297353CC}">
              <c16:uniqueId val="{00000016-397A-4EC2-9376-F4159A24EA01}"/>
            </c:ext>
          </c:extLst>
        </c:ser>
        <c:dLbls>
          <c:showLegendKey val="0"/>
          <c:showVal val="0"/>
          <c:showCatName val="0"/>
          <c:showSerName val="0"/>
          <c:showPercent val="0"/>
          <c:showBubbleSize val="0"/>
        </c:dLbls>
        <c:gapWidth val="182"/>
        <c:axId val="1645717408"/>
        <c:axId val="1890602576"/>
      </c:barChart>
      <c:catAx>
        <c:axId val="164571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nb-NO"/>
          </a:p>
        </c:txPr>
        <c:crossAx val="1890602576"/>
        <c:crosses val="autoZero"/>
        <c:auto val="1"/>
        <c:lblAlgn val="ctr"/>
        <c:lblOffset val="100"/>
        <c:noMultiLvlLbl val="0"/>
      </c:catAx>
      <c:valAx>
        <c:axId val="1890602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MNOK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645717408"/>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r>
              <a:rPr lang="en-US"/>
              <a:t>Inntekter og kostnader per enhet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endParaRPr lang="nb-NO"/>
        </a:p>
      </c:txPr>
    </c:title>
    <c:autoTitleDeleted val="0"/>
    <c:plotArea>
      <c:layout/>
      <c:barChart>
        <c:barDir val="col"/>
        <c:grouping val="clustered"/>
        <c:varyColors val="0"/>
        <c:ser>
          <c:idx val="0"/>
          <c:order val="0"/>
          <c:tx>
            <c:strRef>
              <c:f>'2027 Plan Report'!$C$11</c:f>
              <c:strCache>
                <c:ptCount val="1"/>
                <c:pt idx="0">
                  <c:v>Inntekter</c:v>
                </c:pt>
              </c:strCache>
            </c:strRef>
          </c:tx>
          <c:spPr>
            <a:solidFill>
              <a:srgbClr val="1E293B"/>
            </a:solidFill>
            <a:ln>
              <a:noFill/>
            </a:ln>
            <a:effectLst/>
          </c:spPr>
          <c:invertIfNegative val="0"/>
          <c:cat>
            <c:strRef>
              <c:f>'2027 Plan Report'!$B$12:$B$15</c:f>
              <c:strCache>
                <c:ptCount val="4"/>
                <c:pt idx="0">
                  <c:v>Fakultetsadministrasjon &amp; Felles</c:v>
                </c:pt>
                <c:pt idx="1">
                  <c:v>Ledelse og innovasjon</c:v>
                </c:pt>
                <c:pt idx="2">
                  <c:v>Rettsvitenskap</c:v>
                </c:pt>
                <c:pt idx="3">
                  <c:v>Økonomi</c:v>
                </c:pt>
              </c:strCache>
            </c:strRef>
          </c:cat>
          <c:val>
            <c:numRef>
              <c:f>'2027 Plan Report'!$C$12:$C$15</c:f>
              <c:numCache>
                <c:formatCode>#,##0\ "kr"</c:formatCode>
                <c:ptCount val="4"/>
                <c:pt idx="0">
                  <c:v>14769849.960000001</c:v>
                </c:pt>
                <c:pt idx="1">
                  <c:v>80000000.040000007</c:v>
                </c:pt>
                <c:pt idx="2">
                  <c:v>61999999.919999987</c:v>
                </c:pt>
                <c:pt idx="3">
                  <c:v>129300149.87999998</c:v>
                </c:pt>
              </c:numCache>
            </c:numRef>
          </c:val>
          <c:extLst>
            <c:ext xmlns:c16="http://schemas.microsoft.com/office/drawing/2014/chart" uri="{C3380CC4-5D6E-409C-BE32-E72D297353CC}">
              <c16:uniqueId val="{00000000-D066-4DFE-B2C6-43B548178231}"/>
            </c:ext>
          </c:extLst>
        </c:ser>
        <c:ser>
          <c:idx val="1"/>
          <c:order val="1"/>
          <c:tx>
            <c:strRef>
              <c:f>'2027 Plan Report'!$D$11</c:f>
              <c:strCache>
                <c:ptCount val="1"/>
                <c:pt idx="0">
                  <c:v>Kostnader</c:v>
                </c:pt>
              </c:strCache>
            </c:strRef>
          </c:tx>
          <c:spPr>
            <a:solidFill>
              <a:schemeClr val="accent2">
                <a:lumMod val="40000"/>
                <a:lumOff val="60000"/>
              </a:schemeClr>
            </a:solidFill>
            <a:ln>
              <a:noFill/>
            </a:ln>
            <a:effectLst/>
          </c:spPr>
          <c:invertIfNegative val="0"/>
          <c:cat>
            <c:strRef>
              <c:f>'2027 Plan Report'!$B$12:$B$15</c:f>
              <c:strCache>
                <c:ptCount val="4"/>
                <c:pt idx="0">
                  <c:v>Fakultetsadministrasjon &amp; Felles</c:v>
                </c:pt>
                <c:pt idx="1">
                  <c:v>Ledelse og innovasjon</c:v>
                </c:pt>
                <c:pt idx="2">
                  <c:v>Rettsvitenskap</c:v>
                </c:pt>
                <c:pt idx="3">
                  <c:v>Økonomi</c:v>
                </c:pt>
              </c:strCache>
            </c:strRef>
          </c:cat>
          <c:val>
            <c:numRef>
              <c:f>'2027 Plan Report'!$D$12:$D$15</c:f>
              <c:numCache>
                <c:formatCode>#,##0\ "kr"</c:formatCode>
                <c:ptCount val="4"/>
                <c:pt idx="0">
                  <c:v>14499999.959999979</c:v>
                </c:pt>
                <c:pt idx="1">
                  <c:v>77999999.999999985</c:v>
                </c:pt>
                <c:pt idx="2">
                  <c:v>60999999.959999949</c:v>
                </c:pt>
                <c:pt idx="3">
                  <c:v>128500000.19999988</c:v>
                </c:pt>
              </c:numCache>
            </c:numRef>
          </c:val>
          <c:extLst>
            <c:ext xmlns:c16="http://schemas.microsoft.com/office/drawing/2014/chart" uri="{C3380CC4-5D6E-409C-BE32-E72D297353CC}">
              <c16:uniqueId val="{00000001-D066-4DFE-B2C6-43B548178231}"/>
            </c:ext>
          </c:extLst>
        </c:ser>
        <c:dLbls>
          <c:showLegendKey val="0"/>
          <c:showVal val="0"/>
          <c:showCatName val="0"/>
          <c:showSerName val="0"/>
          <c:showPercent val="0"/>
          <c:showBubbleSize val="0"/>
        </c:dLbls>
        <c:gapWidth val="219"/>
        <c:overlap val="-27"/>
        <c:axId val="1803932208"/>
        <c:axId val="451647568"/>
      </c:barChart>
      <c:catAx>
        <c:axId val="18039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51647568"/>
        <c:crosses val="autoZero"/>
        <c:auto val="1"/>
        <c:lblAlgn val="ctr"/>
        <c:lblOffset val="100"/>
        <c:noMultiLvlLbl val="0"/>
      </c:catAx>
      <c:valAx>
        <c:axId val="45164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MNOK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quot;k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0393220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r>
              <a:rPr lang="en-US"/>
              <a:t>Differanse: modell mot referanse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1E293B"/>
              </a:solidFill>
              <a:latin typeface="+mn-lt"/>
              <a:ea typeface="+mn-ea"/>
              <a:cs typeface="+mn-cs"/>
            </a:defRPr>
          </a:pPr>
          <a:endParaRPr lang="nb-NO"/>
        </a:p>
      </c:txPr>
    </c:title>
    <c:autoTitleDeleted val="0"/>
    <c:plotArea>
      <c:layout/>
      <c:barChart>
        <c:barDir val="bar"/>
        <c:grouping val="clustered"/>
        <c:varyColors val="0"/>
        <c:ser>
          <c:idx val="0"/>
          <c:order val="0"/>
          <c:tx>
            <c:strRef>
              <c:f>'Budget Process 2027'!$M$21</c:f>
              <c:strCache>
                <c:ptCount val="1"/>
                <c:pt idx="0">
                  <c:v>Differanse</c:v>
                </c:pt>
              </c:strCache>
            </c:strRef>
          </c:tx>
          <c:spPr>
            <a:solidFill>
              <a:schemeClr val="accent1"/>
            </a:solidFill>
            <a:ln>
              <a:noFill/>
            </a:ln>
            <a:effectLst/>
          </c:spPr>
          <c:invertIfNegative val="0"/>
          <c:dPt>
            <c:idx val="0"/>
            <c:invertIfNegative val="0"/>
            <c:bubble3D val="0"/>
            <c:spPr>
              <a:solidFill>
                <a:srgbClr val="EF4444"/>
              </a:solidFill>
              <a:ln>
                <a:noFill/>
              </a:ln>
              <a:effectLst/>
            </c:spPr>
            <c:extLst>
              <c:ext xmlns:c16="http://schemas.microsoft.com/office/drawing/2014/chart" uri="{C3380CC4-5D6E-409C-BE32-E72D297353CC}">
                <c16:uniqueId val="{00000001-6B0C-4331-9776-B573B50C3A07}"/>
              </c:ext>
            </c:extLst>
          </c:dPt>
          <c:dPt>
            <c:idx val="1"/>
            <c:invertIfNegative val="0"/>
            <c:bubble3D val="0"/>
            <c:spPr>
              <a:solidFill>
                <a:srgbClr val="10B981"/>
              </a:solidFill>
              <a:ln>
                <a:noFill/>
              </a:ln>
              <a:effectLst/>
            </c:spPr>
            <c:extLst>
              <c:ext xmlns:c16="http://schemas.microsoft.com/office/drawing/2014/chart" uri="{C3380CC4-5D6E-409C-BE32-E72D297353CC}">
                <c16:uniqueId val="{00000002-6B0C-4331-9776-B573B50C3A07}"/>
              </c:ext>
            </c:extLst>
          </c:dPt>
          <c:dPt>
            <c:idx val="2"/>
            <c:invertIfNegative val="0"/>
            <c:bubble3D val="0"/>
            <c:spPr>
              <a:solidFill>
                <a:srgbClr val="EF4444"/>
              </a:solidFill>
              <a:ln>
                <a:noFill/>
              </a:ln>
              <a:effectLst/>
            </c:spPr>
            <c:extLst>
              <c:ext xmlns:c16="http://schemas.microsoft.com/office/drawing/2014/chart" uri="{C3380CC4-5D6E-409C-BE32-E72D297353CC}">
                <c16:uniqueId val="{00000003-6B0C-4331-9776-B573B50C3A0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'Budget Process 2027'!$J$22:$J$24</c:f>
              <c:strCache>
                <c:ptCount val="3"/>
                <c:pt idx="0">
                  <c:v>Inntekter</c:v>
                </c:pt>
                <c:pt idx="1">
                  <c:v>Kostnader</c:v>
                </c:pt>
                <c:pt idx="2">
                  <c:v>Netto resultat</c:v>
                </c:pt>
              </c:strCache>
            </c:strRef>
          </c:cat>
          <c:val>
            <c:numRef>
              <c:f>'Budget Process 2027'!$M$22:$M$24</c:f>
              <c:numCache>
                <c:formatCode>\+#,##0.00\ "kr";\-#,##0.00\ "kr"</c:formatCode>
                <c:ptCount val="3"/>
                <c:pt idx="0">
                  <c:v>-2000000.2</c:v>
                </c:pt>
                <c:pt idx="1">
                  <c:v>0.12</c:v>
                </c:pt>
                <c:pt idx="2">
                  <c:v>-2000000.32</c:v>
                </c:pt>
              </c:numCache>
            </c:numRef>
          </c:val>
          <c:extLst>
            <c:ext xmlns:c16="http://schemas.microsoft.com/office/drawing/2014/chart" uri="{C3380CC4-5D6E-409C-BE32-E72D297353CC}">
              <c16:uniqueId val="{00000000-6B0C-4331-9776-B573B50C3A07}"/>
            </c:ext>
          </c:extLst>
        </c:ser>
        <c:dLbls>
          <c:showLegendKey val="0"/>
          <c:showVal val="0"/>
          <c:showCatName val="0"/>
          <c:showSerName val="0"/>
          <c:showPercent val="0"/>
          <c:showBubbleSize val="0"/>
        </c:dLbls>
        <c:gapWidth val="182"/>
        <c:axId val="1803931280"/>
        <c:axId val="451581808"/>
      </c:barChart>
      <c:catAx>
        <c:axId val="1803931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451581808"/>
        <c:crosses val="autoZero"/>
        <c:auto val="1"/>
        <c:lblAlgn val="ctr"/>
        <c:lblOffset val="100"/>
        <c:noMultiLvlLbl val="0"/>
      </c:catAx>
      <c:valAx>
        <c:axId val="451581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b-NO"/>
                  <a:t>MNOK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00\ &quot;kr&quot;;\-#,##0.00\ &quot;kr&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1803931280"/>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28575</xdr:rowOff>
    </xdr:from>
    <xdr:to>
      <xdr:col>9</xdr:col>
      <xdr:colOff>0</xdr:colOff>
      <xdr:row>25</xdr:row>
      <xdr:rowOff>73025</xdr:rowOff>
    </xdr:to>
    <xdr:graphicFrame macro="">
      <xdr:nvGraphicFramePr>
        <xdr:cNvPr id="2" name="Månedsutvikling 2026">
          <a:extLst>
            <a:ext uri="{FF2B5EF4-FFF2-40B4-BE49-F238E27FC236}">
              <a16:creationId xmlns:a16="http://schemas.microsoft.com/office/drawing/2014/main" id="{40A18650-FCAF-B083-B554-D3906FB079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10</xdr:row>
      <xdr:rowOff>28575</xdr:rowOff>
    </xdr:from>
    <xdr:to>
      <xdr:col>14</xdr:col>
      <xdr:colOff>0</xdr:colOff>
      <xdr:row>25</xdr:row>
      <xdr:rowOff>73025</xdr:rowOff>
    </xdr:to>
    <xdr:graphicFrame macro="">
      <xdr:nvGraphicFramePr>
        <xdr:cNvPr id="3" name="Sluttavvik per enhet">
          <a:extLst>
            <a:ext uri="{FF2B5EF4-FFF2-40B4-BE49-F238E27FC236}">
              <a16:creationId xmlns:a16="http://schemas.microsoft.com/office/drawing/2014/main" id="{91ABD23F-FAD9-5BC1-6374-BAB585F50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37</xdr:row>
      <xdr:rowOff>152400</xdr:rowOff>
    </xdr:from>
    <xdr:to>
      <xdr:col>11</xdr:col>
      <xdr:colOff>1790700</xdr:colOff>
      <xdr:row>58</xdr:row>
      <xdr:rowOff>38100</xdr:rowOff>
    </xdr:to>
    <xdr:graphicFrame macro="">
      <xdr:nvGraphicFramePr>
        <xdr:cNvPr id="3" name="Avviksdrivere 2026">
          <a:extLst>
            <a:ext uri="{FF2B5EF4-FFF2-40B4-BE49-F238E27FC236}">
              <a16:creationId xmlns:a16="http://schemas.microsoft.com/office/drawing/2014/main" id="{49D3D02C-8D37-431D-BA78-3CD3DEC3A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xdr:row>
      <xdr:rowOff>57150</xdr:rowOff>
    </xdr:from>
    <xdr:to>
      <xdr:col>9</xdr:col>
      <xdr:colOff>9525</xdr:colOff>
      <xdr:row>33</xdr:row>
      <xdr:rowOff>101600</xdr:rowOff>
    </xdr:to>
    <xdr:graphicFrame macro="">
      <xdr:nvGraphicFramePr>
        <xdr:cNvPr id="2" name="2027 økonomi per enhet">
          <a:extLst>
            <a:ext uri="{FF2B5EF4-FFF2-40B4-BE49-F238E27FC236}">
              <a16:creationId xmlns:a16="http://schemas.microsoft.com/office/drawing/2014/main" id="{78919FEE-BE14-F347-3093-55EB7A1E9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34925</xdr:colOff>
      <xdr:row>19</xdr:row>
      <xdr:rowOff>0</xdr:rowOff>
    </xdr:from>
    <xdr:to>
      <xdr:col>23</xdr:col>
      <xdr:colOff>34925</xdr:colOff>
      <xdr:row>33</xdr:row>
      <xdr:rowOff>361950</xdr:rowOff>
    </xdr:to>
    <xdr:graphicFrame macro="">
      <xdr:nvGraphicFramePr>
        <xdr:cNvPr id="2" name="Avstemming mot mål">
          <a:extLst>
            <a:ext uri="{FF2B5EF4-FFF2-40B4-BE49-F238E27FC236}">
              <a16:creationId xmlns:a16="http://schemas.microsoft.com/office/drawing/2014/main" id="{9218C96B-288D-6F64-3F94-FB1E39B86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B0FDF79-E92B-4C7E-A267-73D3597CBF07}" name="Unit_Performance_2026" displayName="Unit_Performance_2026" ref="A4:J8" totalsRowShown="0" headerRowDxfId="181" dataDxfId="180">
  <autoFilter ref="A4:J8" xr:uid="{CB0FDF79-E92B-4C7E-A267-73D3597CBF07}"/>
  <tableColumns count="10">
    <tableColumn id="1" xr3:uid="{F0A6EDCA-479A-434F-B8F9-78287234437A}" name="OrgKode" dataDxfId="187"/>
    <tableColumn id="2" xr3:uid="{5E621220-F6B2-454D-ADBC-C77EEB62A1D0}" name="Enhet" dataDxfId="186"/>
    <tableColumn id="3" xr3:uid="{2FE7887B-6061-48B0-A791-24D9186A913E}" name="Budsjett" dataDxfId="185">
      <calculatedColumnFormula>SUMIFS(FactBudget[BudsjettBelop],FactBudget[OrgKode],A5)</calculatedColumnFormula>
    </tableColumn>
    <tableColumn id="4" xr3:uid="{3794294F-894C-44B0-BC7F-B3B8FAB8A1D5}" name="LE / helår" dataDxfId="184">
      <calculatedColumnFormula>SUMIFS(FactGL[Belop_signert],FactGL[OrgKode],A5)</calculatedColumnFormula>
    </tableColumn>
    <tableColumn id="5" xr3:uid="{9DE8A772-3B47-4021-8E59-9B3F8E579FBA}" name="Sluttavvik" dataDxfId="183">
      <calculatedColumnFormula>C5-D5</calculatedColumnFormula>
    </tableColumn>
    <tableColumn id="6" xr3:uid="{65A221AB-E9A7-4E7F-8392-2A4416B965F7}" name="Avvik %" dataDxfId="172">
      <calculatedColumnFormula>E5/C5</calculatedColumnFormula>
    </tableColumn>
    <tableColumn id="7" xr3:uid="{FE860441-A919-4BB4-A9F0-FD1D56C46BEA}" name="UF-ÅV" dataDxfId="171">
      <calculatedColumnFormula>SUMIFS(FactFTE[Aarsverk_UF],FactFTE[OrgKode],A5,FactFTE[DatoNokkel],202612)</calculatedColumnFormula>
    </tableColumn>
    <tableColumn id="8" xr3:uid="{3195730D-2631-4A6C-B28C-A1071023CC58}" name="TA-ÅV" dataDxfId="170">
      <calculatedColumnFormula>SUMIFS(FactFTE[Aarsverk_TA],FactFTE[OrgKode],A5,FactFTE[DatoNokkel],202612)</calculatedColumnFormula>
    </tableColumn>
    <tableColumn id="9" xr3:uid="{9303C59F-0BC9-40B5-9F7E-8246086E1FAA}" name="Totale ÅV" dataDxfId="169">
      <calculatedColumnFormula>G5+H5</calculatedColumnFormula>
    </tableColumn>
    <tableColumn id="10" xr3:uid="{4CF8FFE3-E994-4B73-9701-09D6C355EA03}" name="RAG" dataDxfId="182">
      <calculatedColumnFormula>IF(F5&gt;=0,"🟢 Innenfor",IF(F5&gt;=-5%,"🟡 Følg opp","🔴 Kritisk"))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600FFAF-A331-4D76-93CE-78F3E957EE57}" name="Action_Analysis_2026" displayName="Action_Analysis_2026" ref="A12:H16" totalsRowShown="0" headerRowDxfId="174" dataDxfId="173">
  <autoFilter ref="A12:H16" xr:uid="{7600FFAF-A331-4D76-93CE-78F3E957EE57}"/>
  <tableColumns count="8">
    <tableColumn id="1" xr3:uid="{31E30366-8408-48AF-B0F7-2F6915EC29E1}" name="Tiltak" dataDxfId="179"/>
    <tableColumn id="2" xr3:uid="{173FBF1B-A5F2-4E5C-A469-2BB22F321A9E}" name="Enhet" dataDxfId="178"/>
    <tableColumn id="3" xr3:uid="{EB3857B8-1DD1-4202-9CD3-AB0D7FE8AA4D}" name="Tiltaksnavn" dataDxfId="177"/>
    <tableColumn id="4" xr3:uid="{271E23E8-880F-4DD5-9054-6147AA15200C}" name="Forventet" dataDxfId="168"/>
    <tableColumn id="5" xr3:uid="{5F082114-F31C-4458-9CD0-C5DA0DE28978}" name="Realisert" dataDxfId="167"/>
    <tableColumn id="6" xr3:uid="{0D512FA0-79D1-4920-AD73-07A0755CBFD1}" name="Grad" dataDxfId="166">
      <calculatedColumnFormula>E13/D13</calculatedColumnFormula>
    </tableColumn>
    <tableColumn id="7" xr3:uid="{970C4283-E1A7-4012-BEA3-FB39E2F62EB4}" name="Status" dataDxfId="176"/>
    <tableColumn id="8" xr3:uid="{71FC5DE7-86D2-4003-8E0B-366F93A62E41}" name="Frist" dataDxfId="175"/>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6135C59-608F-49B7-9B79-270ECDE91DB0}" name="Variance_Drivers_2026" displayName="Variance_Drivers_2026" ref="A10:H21" totalsRowShown="0" headerRowDxfId="143" dataDxfId="142">
  <autoFilter ref="A10:H21" xr:uid="{E6135C59-608F-49B7-9B79-270ECDE91DB0}"/>
  <tableColumns count="8">
    <tableColumn id="1" xr3:uid="{D653786B-BBA5-4D6A-90F6-AD5A10E5DABC}" name="OrgKode" dataDxfId="147"/>
    <tableColumn id="2" xr3:uid="{A07CC808-28A5-4AE2-8CF2-D9E413D4CAFB}" name="Konto" dataDxfId="146"/>
    <tableColumn id="3" xr3:uid="{71F448CC-90C9-4A98-8875-AB43868B40A7}" name="Driver" dataDxfId="132"/>
    <tableColumn id="4" xr3:uid="{291B56A2-E534-43C2-95D0-E3C2DACD8BF5}" name="Budsjett" dataDxfId="131">
      <calculatedColumnFormula>SUMIFS(FactBudget[BudsjettBelop],FactBudget[OrgKode],A11,FactBudget[Konto],B11)</calculatedColumnFormula>
    </tableColumn>
    <tableColumn id="5" xr3:uid="{ADDBB538-A787-4826-863E-B8BBDCEC9A4E}" name="LE" dataDxfId="145">
      <calculatedColumnFormula>SUMIFS(FactGL[Belop_signert],FactGL[OrgKode],A11,FactGL[Konto],B11)</calculatedColumnFormula>
    </tableColumn>
    <tableColumn id="6" xr3:uid="{5B1028FC-22E1-47C5-B9AD-38CF28FCF2EE}" name="Avvik" dataDxfId="144">
      <calculatedColumnFormula>D11-E11</calculatedColumnFormula>
    </tableColumn>
    <tableColumn id="7" xr3:uid="{719CB1C6-BF33-4D86-8926-33981690BD21}" name="Avvik %" dataDxfId="135">
      <calculatedColumnFormula>IFERROR(F11/D11,IF(F11&lt;0,-1,0))</calculatedColumnFormula>
    </tableColumn>
    <tableColumn id="8" xr3:uid="{FED3E503-1385-4FD3-B572-3BEC4CF9148B}" name="RAG" dataDxfId="124">
      <calculatedColumnFormula>IF(F11&gt;=0,"🟢 Favorabel",IF(G11&gt;=-5%,"🟡 Moderat","🔴 Kritisk"))</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993C0DB-1A17-4666-A811-9410D81B36ED}" name="Recommended_Actions_2026" displayName="Recommended_Actions_2026" ref="A25:L30" totalsRowShown="0" headerRowDxfId="137" dataDxfId="136">
  <autoFilter ref="A25:L30" xr:uid="{8993C0DB-1A17-4666-A811-9410D81B36ED}"/>
  <tableColumns count="12">
    <tableColumn id="1" xr3:uid="{A3118A9A-88C5-45F3-899D-0393A108E787}" name="Prioritet" dataDxfId="141"/>
    <tableColumn id="2" xr3:uid="{04EDEEA6-6D7C-4241-90C1-E13BA10C1D81}" name="Område" dataDxfId="140"/>
    <tableColumn id="3" xr3:uid="{E2143AD2-8F26-4C3F-BC7F-42104EAC41F6}" name="Rotårsak / observasjon" dataDxfId="130"/>
    <tableColumn id="4" xr3:uid="{01171231-357E-4A06-816B-82172FB5FAC8}" name="Anbefalt handling" dataDxfId="129"/>
    <tableColumn id="5" xr3:uid="{1A0BDBB4-BF51-4002-94CC-358C3777865F}" name="Eier" dataDxfId="139"/>
    <tableColumn id="6" xr3:uid="{15DA331C-C42E-449D-AEC9-02F65DE9B29F}" name="Frist" dataDxfId="138"/>
    <tableColumn id="7" xr3:uid="{04C45484-8668-413A-8231-C42B06809FF7}" name="Brutto gap" dataDxfId="134"/>
    <tableColumn id="8" xr3:uid="{C3CB3E56-B137-4D52-A173-B5BE74173795}" name="Forventet effekt" dataDxfId="133"/>
    <tableColumn id="9" xr3:uid="{E38E83DA-134F-4B2E-A3C8-30CD57CF2CF3}" name="KPI / kontrollpunkt" dataDxfId="128"/>
    <tableColumn id="10" xr3:uid="{AFDA086D-DC96-41C9-A15D-DBC5CF58060A}" name="RAG" dataDxfId="127"/>
    <tableColumn id="11" xr3:uid="{66C63608-4484-487E-9608-42C290CDE36C}" name="Beslutning nå" dataDxfId="126"/>
    <tableColumn id="12" xr3:uid="{4B049702-0170-450C-B27A-9E43520C3C73}" name="Oppfølging" dataDxfId="12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A3EB1F3-D9ED-4825-B383-B11260714592}" name="Plan_By_Unit_2027" displayName="Plan_By_Unit_2027" ref="A11:I15" totalsRowShown="0" headerRowDxfId="161" dataDxfId="160">
  <autoFilter ref="A11:I15" xr:uid="{7A3EB1F3-D9ED-4825-B383-B11260714592}"/>
  <tableColumns count="9">
    <tableColumn id="1" xr3:uid="{1EB9465B-7910-4B0F-AC50-09DCEE2645FC}" name="OrgKode" dataDxfId="165"/>
    <tableColumn id="2" xr3:uid="{EBABF642-69A4-4DA8-8461-3DBF0D68BEFA}" name="Enhet" dataDxfId="164"/>
    <tableColumn id="3" xr3:uid="{0C6087D1-86C5-4C71-8030-E656F8FB5281}" name="Inntekter" dataDxfId="163">
      <calculatedColumnFormula array="1">SUM(SUMIFS(FactBudget_2027[BudsjettBelop],FactBudget_2027[OrgKode],A12,FactBudget_2027[Konto],{3900,3670,3600,3630,3400,3420}))</calculatedColumnFormula>
    </tableColumn>
    <tableColumn id="4" xr3:uid="{674377D2-B4B3-4EB9-B568-623382E11327}" name="Kostnader" dataDxfId="162">
      <calculatedColumnFormula>SUMIFS(FactBudget_2027[BudsjettBelop],FactBudget_2027[OrgKode],A12)-C12</calculatedColumnFormula>
    </tableColumn>
    <tableColumn id="5" xr3:uid="{B9DF67A4-EB89-4EC7-9C70-6790F2CE806A}" name="Netto" dataDxfId="149">
      <calculatedColumnFormula>C12-D12</calculatedColumnFormula>
    </tableColumn>
    <tableColumn id="6" xr3:uid="{96CCA6E6-7CA5-4FBE-AC4A-6835B2530AC6}" name="ÅV" dataDxfId="154">
      <calculatedColumnFormula>SUMIFS(FactFTE_2027[Aarsverk_Totalt],FactFTE_2027[OrgKode],A12,FactFTE_2027[DatoNokkel],20271231)</calculatedColumnFormula>
    </tableColumn>
    <tableColumn id="7" xr3:uid="{B3DA0797-45C9-4B71-9718-F807F86C74C9}" name="UF-ÅV" dataDxfId="153">
      <calculatedColumnFormula>SUMIFS(FactFTE_2027[Aarsverk_UF],FactFTE_2027[OrgKode],A12,FactFTE_2027[DatoNokkel],20271231)</calculatedColumnFormula>
    </tableColumn>
    <tableColumn id="8" xr3:uid="{0680FFA1-F508-4DFB-B5DF-356032361A7C}" name="Studenter" dataDxfId="152">
      <calculatedColumnFormula>SUMIFS(FactStudents_2027[RegistrerteStudenter],FactStudents_2027[OrgKode],A12,FactStudents_2027[DatoNokkel],20271031)</calculatedColumnFormula>
    </tableColumn>
    <tableColumn id="9" xr3:uid="{15299C63-294F-48FC-AA31-3758C514CCF3}" name="SPE60" dataDxfId="151">
      <calculatedColumnFormula>SUMIFS(FactStudents_2027[SPE60],FactStudents_2027[OrgKode],A12,FactStudents_2027[DatoNokkel],20271031)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4CB6E9B-B5E1-4841-B940-8185A4171809}" name="Plan_Actions_2027" displayName="Plan_Actions_2027" ref="K11:O15" totalsRowShown="0" headerRowDxfId="156" dataDxfId="155">
  <autoFilter ref="K11:O15" xr:uid="{54CB6E9B-B5E1-4841-B940-8185A4171809}"/>
  <tableColumns count="5">
    <tableColumn id="1" xr3:uid="{AF35806C-03A7-4227-8508-71759650544E}" name="Tiltak" dataDxfId="159"/>
    <tableColumn id="2" xr3:uid="{ACD262E7-E15E-4010-A044-637D8F58878E}" name="Enhet" dataDxfId="158"/>
    <tableColumn id="3" xr3:uid="{B77936D1-455B-43D1-ACF9-34250BAF4585}" name="Effekt" dataDxfId="150"/>
    <tableColumn id="4" xr3:uid="{FD7F0CBA-B16D-4D38-80BC-D3C432448CBD}" name="Status" dataDxfId="148"/>
    <tableColumn id="5" xr3:uid="{8D29B3D5-54B1-4A00-9A4B-38396BE6490E}" name="Beslutningsdriver" dataDxfId="157"/>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DE8A8AA-35AF-4EC7-B6A4-841865D8DC89}" name="Budget_Process_Phases_2027" displayName="Budget_Process_Phases_2027" ref="A11:N17" totalsRowShown="0" headerRowDxfId="78" dataDxfId="77">
  <autoFilter ref="A11:N17" xr:uid="{8DE8A8AA-35AF-4EC7-B6A4-841865D8DC89}"/>
  <tableColumns count="14">
    <tableColumn id="1" xr3:uid="{774DCCCE-1FB3-45F1-8793-E010E24CDFC6}" name="Fase" dataDxfId="92"/>
    <tableColumn id="2" xr3:uid="{2E62341A-3EA4-426C-9850-B998FCF08417}" name="Tidspunkt" dataDxfId="91"/>
    <tableColumn id="3" xr3:uid="{9719AB45-CC03-49BA-BE0C-5932A6554A85}" name="Hovedspørsmål" dataDxfId="90"/>
    <tableColumn id="4" xr3:uid="{CAF70CF0-572B-4B2E-AA3B-40FAF9B9869D}" name="Nøkkelaktiviteter" dataDxfId="89"/>
    <tableColumn id="5" xr3:uid="{931FD57C-D7A6-44E6-8047-8B90C02F8FFD}" name="Datagrunnlag" dataDxfId="88"/>
    <tableColumn id="6" xr3:uid="{F144F7A1-31DA-4FC4-A4C5-7B0950989BAF}" name="Ansvarlig" dataDxfId="87"/>
    <tableColumn id="7" xr3:uid="{B8433CD9-5E28-458D-934D-F0964F7D4C03}" name="Leveranse" dataDxfId="86"/>
    <tableColumn id="8" xr3:uid="{6ABA38AC-7AD2-46BB-8987-0D7915D6E6B1}" name="Beslutningsport" dataDxfId="85"/>
    <tableColumn id="9" xr3:uid="{F3CE4457-F04E-4694-94C6-02C6A6F4E877}" name="Status" dataDxfId="84"/>
    <tableColumn id="10" xr3:uid="{966198EF-0974-42AF-A782-24A908DD49F8}" name="RAG" dataDxfId="83"/>
    <tableColumn id="11" xr3:uid="{5B8DAC80-992E-4898-B340-ABC379503CC1}" name="Kontroll" dataDxfId="82"/>
    <tableColumn id="12" xr3:uid="{A2B97A6B-8098-4DF4-A988-E368D1811889}" name="Avhengighet" dataDxfId="81"/>
    <tableColumn id="13" xr3:uid="{1C0D1553-DD3C-4DE0-BA0E-B8DE0023CFE3}" name="Neste handling" dataDxfId="80"/>
    <tableColumn id="14" xr3:uid="{EF2F764B-6CCC-48EA-9BF9-0C139A703877}" name="Frist" dataDxfId="7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4E6ACAE-FCB3-457F-BB98-FCA6601608D2}" name="Budget_Drivers_2027" displayName="Budget_Drivers_2027" ref="A21:H27" totalsRowShown="0" headerRowDxfId="68" dataDxfId="67">
  <autoFilter ref="A21:H27" xr:uid="{54E6ACAE-FCB3-457F-BB98-FCA6601608D2}"/>
  <tableColumns count="8">
    <tableColumn id="1" xr3:uid="{4093E7AE-E9B2-4F4E-84E5-8FCF233CECA2}" name="Driver" dataDxfId="76"/>
    <tableColumn id="2" xr3:uid="{118E9294-DD77-4E94-BFA4-AB25503CDF55}" name="Mekanisme" dataDxfId="75"/>
    <tableColumn id="3" xr3:uid="{7E794BE0-7A1C-4E01-A80A-55BC4CB0DB28}" name="Kvantifisering" dataDxfId="74"/>
    <tableColumn id="4" xr3:uid="{ADC06528-75C0-4807-9ED8-AC1300B1DDE3}" name="Budsjetteffekt" dataDxfId="73"/>
    <tableColumn id="5" xr3:uid="{6D8D398D-04EC-4CC6-8534-47B5F4723964}" name="Risiko" dataDxfId="72"/>
    <tableColumn id="6" xr3:uid="{846D336F-BEB4-47E0-B901-F2CCFFA1018F}" name="Kontrollaktivitet" dataDxfId="71"/>
    <tableColumn id="7" xr3:uid="{18AF456C-BDD0-44D3-85DC-5921AC96A916}" name="Eier" dataDxfId="70"/>
    <tableColumn id="8" xr3:uid="{13850983-E9D1-4F12-9B37-EC99504864A8}" name="RAG" dataDxfId="69"/>
  </tableColumns>
  <tableStyleInfo name="TableStyleMedium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07396D8-3441-49C6-B3F1-31B146299BDC}" name="Budget_Reconciliation_2027" displayName="Budget_Reconciliation_2027" ref="J21:N26" totalsRowShown="0" headerRowDxfId="61" dataDxfId="60">
  <autoFilter ref="J21:N26" xr:uid="{D07396D8-3441-49C6-B3F1-31B146299BDC}"/>
  <tableColumns count="5">
    <tableColumn id="1" xr3:uid="{239FDABE-5120-4958-9151-90E40D2096F9}" name="Avstemming" dataDxfId="66"/>
    <tableColumn id="2" xr3:uid="{03DEBFD1-1B5F-4459-BBA6-23AADCDB141B}" name="Modellverdi" dataDxfId="65"/>
    <tableColumn id="3" xr3:uid="{30B50CDA-8052-4BAF-B028-178FB36E0332}" name="Referanse" dataDxfId="64"/>
    <tableColumn id="4" xr3:uid="{F42E31BD-06C1-4AFC-8946-92761F20A349}" name="Differanse" dataDxfId="63"/>
    <tableColumn id="5" xr3:uid="{CF364575-4135-45DF-9B0A-D36E9B43A04A}" name="Konklusjon" dataDxfId="62"/>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8B3AF82-127F-4F03-944D-AFC719866543}" name="Budget_Governance_2027" displayName="Budget_Governance_2027" ref="A31:G36" totalsRowShown="0" headerRowDxfId="52" dataDxfId="51">
  <autoFilter ref="A31:G36" xr:uid="{C8B3AF82-127F-4F03-944D-AFC719866543}"/>
  <tableColumns count="7">
    <tableColumn id="1" xr3:uid="{DD03A796-B693-4EEA-8BE3-6927D03D3566}" name="Nivå" dataDxfId="59"/>
    <tableColumn id="2" xr3:uid="{FB96C5D5-EFBB-4A1E-BBD0-B5E7DFC84F99}" name="Beslutning / ansvar" dataDxfId="58"/>
    <tableColumn id="3" xr3:uid="{8A8C6FF3-EA49-4AE8-9C71-537A0E85FD9A}" name="Frekvens" dataDxfId="57"/>
    <tableColumn id="4" xr3:uid="{2BDFDE12-ABA0-43EA-8403-EF60D747DA1A}" name="Input" dataDxfId="56"/>
    <tableColumn id="5" xr3:uid="{02EFB894-D474-444D-8AB4-B55177E59531}" name="Kontrollbevis" dataDxfId="55"/>
    <tableColumn id="6" xr3:uid="{7457B483-8784-4497-BE84-2092D8B4FFAB}" name="Eskalering" dataDxfId="54"/>
    <tableColumn id="7" xr3:uid="{2BF69E59-0851-41CE-A564-D570A9DE0DAF}" name="Output" dataDxfId="53"/>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BB5630B-06F1-4A75-912E-24205C1A1450}" name="Budget_Control_Matrix_2027" displayName="Budget_Control_Matrix_2027" ref="I31:N37" totalsRowShown="0" headerRowDxfId="44" dataDxfId="43">
  <autoFilter ref="I31:N37" xr:uid="{ABB5630B-06F1-4A75-912E-24205C1A1450}"/>
  <tableColumns count="6">
    <tableColumn id="1" xr3:uid="{CC4B0BBE-8958-4463-95DC-66BBE2494F17}" name="Kontrollpunkt" dataDxfId="50"/>
    <tableColumn id="2" xr3:uid="{446AD189-58DE-482F-B5F9-F7FBC7CEF8D1}" name="Grønn" dataDxfId="49"/>
    <tableColumn id="3" xr3:uid="{A79EA1BC-D025-49B9-8187-E8960459BA6F}" name="Gul" dataDxfId="48"/>
    <tableColumn id="4" xr3:uid="{5AE2DBD2-1C5B-4056-9360-55AF37CD52D5}" name="Rød" dataDxfId="47"/>
    <tableColumn id="5" xr3:uid="{E09FC667-71EC-43B0-A586-C3FCFDCC97DE}" name="Handling" dataDxfId="46"/>
    <tableColumn id="6" xr3:uid="{4B61687D-17BC-4BD3-B2E2-855CABFCB7B6}" name="Rapport" dataDxfId="45"/>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C825136-00F9-43D7-B735-589485E72E09}" name="Budget_Close_Actions_2027" displayName="Budget_Close_Actions_2027" ref="A40:H46" totalsRowShown="0" headerRowDxfId="34" dataDxfId="33">
  <autoFilter ref="A40:H46" xr:uid="{AC825136-00F9-43D7-B735-589485E72E09}"/>
  <tableColumns count="8">
    <tableColumn id="1" xr3:uid="{45CCC5A2-D4E7-44B8-9947-7F15F91B925C}" name="Prioritet" dataDxfId="42"/>
    <tableColumn id="2" xr3:uid="{4A7DB02F-53D6-4F40-B2F7-6EF639D06F38}" name="Avvik / risiko" dataDxfId="41"/>
    <tableColumn id="3" xr3:uid="{CBC20F35-4757-498C-BD0C-EB2A5ADB3C50}" name="Handling" dataDxfId="40"/>
    <tableColumn id="4" xr3:uid="{3C36EBA2-C224-44D6-A7B6-296D1B16C35E}" name="Eier" dataDxfId="39"/>
    <tableColumn id="5" xr3:uid="{587F99C5-C3DE-4024-AD62-BBE01137BE36}" name="Frist" dataDxfId="38"/>
    <tableColumn id="6" xr3:uid="{03BC582A-D115-4724-A6F5-384988F189D3}" name="Bevis / ferdigkriterium" dataDxfId="37"/>
    <tableColumn id="7" xr3:uid="{726CC2CD-DF8F-4660-963F-5E8073C3DFFC}" name="Konsekvens hvis ikke lukket" dataDxfId="36"/>
    <tableColumn id="8" xr3:uid="{91B5BC04-BABC-4053-89DD-7A246A7FE6CF}" name="RAG" dataDxfId="35"/>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ECD41D-3E5B-4391-8B24-074482786AF7}" name="Forecast_Methods_2027" displayName="Forecast_Methods_2027" ref="A11:N22" totalsRowShown="0" headerRowDxfId="31" dataDxfId="30">
  <autoFilter ref="A11:N22" xr:uid="{B6ECD41D-3E5B-4391-8B24-074482786AF7}"/>
  <tableColumns count="14">
    <tableColumn id="1" xr3:uid="{54FD42B2-50DD-4D9F-B376-39D39DA550C2}" name="Prioritet" dataDxfId="32"/>
    <tableColumn id="2" xr3:uid="{148C7B75-7BFA-424F-9EFA-73C4B0005F31}" name="Budsjettpost" dataDxfId="26"/>
    <tableColumn id="3" xr3:uid="{B945A573-85FD-449C-9DA4-2419AB761964}" name="Konto / tabell" dataDxfId="25"/>
    <tableColumn id="4" xr3:uid="{1C445F46-C36A-48D8-A953-B1A834BD4B12}" name="2027 baseline" dataDxfId="24"/>
    <tableColumn id="5" xr3:uid="{0B264EE7-AD33-4913-9F61-8085517F9C18}" name="Prognosemetode" dataDxfId="23"/>
    <tableColumn id="6" xr3:uid="{0F2B2976-7253-4FC5-A2A9-CDD7D48CE62A}" name="Driver / input" dataDxfId="22"/>
    <tableColumn id="7" xr3:uid="{382734A7-D983-4B5E-BA9C-958C075616AA}" name="Operativ beregning" dataDxfId="21"/>
    <tableColumn id="8" xr3:uid="{DD3A096D-6F78-4C4D-B0F1-9BDBF4459E32}" name="Oppdatering" dataDxfId="20"/>
    <tableColumn id="9" xr3:uid="{507EE957-6032-4D6A-9B9C-646F1960341E}" name="Datakilde" dataDxfId="19"/>
    <tableColumn id="10" xr3:uid="{3B03334D-67D7-47F9-ADA9-E394751B47EB}" name="Eier" dataDxfId="18"/>
    <tableColumn id="11" xr3:uid="{2EE98E3D-1883-47A0-8E8A-3513ADC704FA}" name="Best case" dataDxfId="17"/>
    <tableColumn id="12" xr3:uid="{7F5CE5FB-99F5-45F2-8FEA-C3A881DFD309}" name="Base case" dataDxfId="16"/>
    <tableColumn id="13" xr3:uid="{6E2AF5B6-E765-465D-8154-F5ADF0CDC821}" name="Downside" dataDxfId="15"/>
    <tableColumn id="14" xr3:uid="{3B28B113-5E89-42DC-85F3-3D2E6D6A189B}" name="RAG-kontroll" dataDxfId="1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C3786E8-F94E-47C8-BCE0-7EE7D2AFB137}" name="Forecast_Cycle_2027" displayName="Forecast_Cycle_2027" ref="A26:D32" totalsRowShown="0" headerRowDxfId="28" dataDxfId="27">
  <autoFilter ref="A26:D32" xr:uid="{1C3786E8-F94E-47C8-BCE0-7EE7D2AFB137}"/>
  <tableColumns count="4">
    <tableColumn id="1" xr3:uid="{0E865B6C-AB5A-4FD0-8566-8F5132791678}" name="Trinn" dataDxfId="29"/>
    <tableColumn id="2" xr3:uid="{38CE800D-CE67-4FE8-BEE6-C63359B8B7F6}" name="Formel / metode" dataDxfId="13"/>
    <tableColumn id="3" xr3:uid="{B94B01E6-B2FD-4F97-B6C5-1FA4D5CF3F20}" name="Forklaring" dataDxfId="12"/>
    <tableColumn id="4" xr3:uid="{F8CE6ED3-AEAB-4096-8BE1-6D13538CEF1E}" name="Kontroll" dataDxfId="11"/>
  </tableColumns>
  <tableStyleInfo name="TableStyleMedium4"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A4A4807-63F2-4B54-92BA-A07DE2C8CF98}" name="Forecast_Monthly_Calendar_2027" displayName="Forecast_Monthly_Calendar_2027" ref="F26:N31" totalsRowShown="0" headerRowDxfId="1" dataDxfId="0">
  <autoFilter ref="F26:N31" xr:uid="{6A4A4807-63F2-4B54-92BA-A07DE2C8CF98}"/>
  <tableColumns count="9">
    <tableColumn id="1" xr3:uid="{066DA82A-73B9-41BD-9408-0E443E6BB99D}" name="Månedlig aktivitet" dataDxfId="10"/>
    <tableColumn id="2" xr3:uid="{0AF5B70A-019A-477C-BA7B-7182F5DD8663}" name="Dag 1–3" dataDxfId="9"/>
    <tableColumn id="3" xr3:uid="{F7E9101F-FCE7-4054-B11B-E5EE6E5D17DE}" name="Dag 4–5" dataDxfId="8"/>
    <tableColumn id="4" xr3:uid="{59DBE486-2EDC-456F-A58A-773DE7AEF7D5}" name="Dag 6–7" dataDxfId="7"/>
    <tableColumn id="5" xr3:uid="{7A0BA215-2080-430D-AEC3-E3503B6520BD}" name="Dag 8" dataDxfId="6"/>
    <tableColumn id="6" xr3:uid="{AA2584A5-D278-45B6-805D-0F45002317DB}" name="Dag 9" dataDxfId="5"/>
    <tableColumn id="7" xr3:uid="{E03142B2-F7FE-4384-9C45-64114599B2FD}" name="Dag 10" dataDxfId="4"/>
    <tableColumn id="8" xr3:uid="{F7F36258-493B-493A-A9D2-579A4836EE6F}" name="Leveranse" dataDxfId="3"/>
    <tableColumn id="9" xr3:uid="{CB53E997-F370-4809-AC3C-F4E39ABC1B73}" name="Eier" dataDxfId="2"/>
  </tableColumns>
  <tableStyleInfo name="TableStyleMedium4"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55BCC7-9132-41F8-BE38-750478D130E6}" name="DimAccountHierarchy" displayName="DimAccountHierarchy" ref="A1:E21" totalsRowShown="0">
  <autoFilter ref="A1:E21" xr:uid="{6955BCC7-9132-41F8-BE38-750478D130E6}"/>
  <tableColumns count="5">
    <tableColumn id="1" xr3:uid="{26B55241-4DF1-4705-998D-ABCDBC7C39B3}" name="Konto"/>
    <tableColumn id="2" xr3:uid="{873CA17D-8C2A-4029-B60F-B7C1FC63BF9C}" name="Kontonavn"/>
    <tableColumn id="3" xr3:uid="{131E2863-E8E7-46E8-A58D-6AFAD405F58F}" name="Nivaa1_Navn"/>
    <tableColumn id="4" xr3:uid="{FCC95B5B-85AD-4D6D-9029-7049E43C77F2}" name="Kontotype"/>
    <tableColumn id="5" xr3:uid="{39E52790-2D21-4BE6-B6F1-EE90C953D4AB}" name="SRS_regnskapslinj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95AB58-E75A-453A-884F-B27BB98FBB68}" name="DimDate" displayName="DimDate" ref="A1:I13" totalsRowShown="0">
  <autoFilter ref="A1:I13" xr:uid="{CA95AB58-E75A-453A-884F-B27BB98FBB68}"/>
  <tableColumns count="9">
    <tableColumn id="1" xr3:uid="{BA56AE12-8EB6-46C1-B966-F86BFDBF7766}" name="DatoNokkel"/>
    <tableColumn id="2" xr3:uid="{0A90145E-62E5-431E-901A-392626663855}" name="Aar"/>
    <tableColumn id="3" xr3:uid="{93A6E57A-DFC8-4E8E-AAB1-4338966CAD4F}" name="MaanedNummer"/>
    <tableColumn id="4" xr3:uid="{81876B95-E4B1-4D02-8CE3-B0C6E25A48EC}" name="MaanedNavn"/>
    <tableColumn id="5" xr3:uid="{A55C85B0-0878-4282-9EC9-C59E8C992C5F}" name="MaanedNavnKort"/>
    <tableColumn id="6" xr3:uid="{5580F27E-26AB-498F-88CE-605151BB7B62}" name="Kvartal"/>
    <tableColumn id="7" xr3:uid="{14FF95D0-7308-4A32-90BA-90351B16603F}" name="ErActualYTD"/>
    <tableColumn id="8" xr3:uid="{596758EF-1433-43AB-9486-1E6796877C3E}" name="PeriodeBeskrivelse"/>
    <tableColumn id="9" xr3:uid="{C404A146-C18C-40F6-85A9-20C5EAC07D10}" name="Dato" dataDxfId="18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B9178F-B7B4-41C3-A7FE-F40AF723CD72}" name="DimDate_2027" displayName="DimDate_2027" ref="A1:I13" totalsRowShown="0">
  <autoFilter ref="A1:I13" xr:uid="{A3B9178F-B7B4-41C3-A7FE-F40AF723CD72}"/>
  <tableColumns count="9">
    <tableColumn id="1" xr3:uid="{FD14DE87-141C-4103-B22B-09AF873C4F86}" name="DatoNokkel"/>
    <tableColumn id="2" xr3:uid="{F7F6F013-BE01-4D6D-894A-D146A924DD86}" name="Dato" dataDxfId="192"/>
    <tableColumn id="3" xr3:uid="{33A95A50-1E6A-41EF-AB68-BA7CE1EA474E}" name="Aar"/>
    <tableColumn id="4" xr3:uid="{83E38FE6-4E97-4E8D-92DA-62E4CB00CDA9}" name="MaanedNummer"/>
    <tableColumn id="5" xr3:uid="{BF2ED47B-A20D-4E58-90A4-5D4C7DC973CC}" name="MaanedNavn"/>
    <tableColumn id="6" xr3:uid="{C0C71262-64D6-47CF-9927-4D546434904F}" name="MaanedNavnKort"/>
    <tableColumn id="7" xr3:uid="{039C9EC0-D155-4489-9BD9-CDBEB2935AEF}" name="Kvartal"/>
    <tableColumn id="8" xr3:uid="{069446FF-9136-4168-A718-ACC22CEF49A5}" name="ErActualYTD"/>
    <tableColumn id="9" xr3:uid="{AC8721A6-0EC5-4454-B1DE-8BDC76F2C81C}" name="Budsjettaar"/>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DEE07F-9D8C-45FF-9ABC-797835298831}" name="DimForecastVersion" displayName="DimForecastVersion" ref="A1:D6" totalsRowShown="0">
  <autoFilter ref="A1:D6" xr:uid="{E2DEE07F-9D8C-45FF-9ABC-797835298831}"/>
  <tableColumns count="4">
    <tableColumn id="1" xr3:uid="{BF360638-4613-48AE-89FF-76DCDF162A28}" name="VersjonKode"/>
    <tableColumn id="2" xr3:uid="{B33B8BF3-173F-4073-A421-153C8A5F3699}" name="VersjonNavn"/>
    <tableColumn id="3" xr3:uid="{54CFECDB-F2B8-496A-9D97-7E8B0CA95FDA}" name="Status"/>
    <tableColumn id="4" xr3:uid="{BD4D7E0E-08EE-4FAF-992F-8E297E291C36}" name="SisteOppdatert" dataDxfId="19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5B2748-8C11-4F5A-A56F-573EE5FC5411}" name="DimOrganization" displayName="DimOrganization" ref="A1:H5" totalsRowShown="0">
  <autoFilter ref="A1:H5" xr:uid="{B05B2748-8C11-4F5A-A56F-573EE5FC5411}"/>
  <tableColumns count="8">
    <tableColumn id="1" xr3:uid="{EFDA3568-C9D3-4553-89B2-A41D272893F0}" name="OrgKode"/>
    <tableColumn id="2" xr3:uid="{65638D1D-FBFC-4ECF-A242-F247D252A875}" name="Enhetsnavn"/>
    <tableColumn id="3" xr3:uid="{21B572E8-CD6C-4F17-8FAF-58B9E94F032F}" name="Nivaa1"/>
    <tableColumn id="4" xr3:uid="{74F667FC-2B15-4103-A7BD-C7D0A026DDF2}" name="Nivaa2"/>
    <tableColumn id="5" xr3:uid="{61AB59DF-9104-4E74-A840-2CD20557BE84}" name="Nivaa3"/>
    <tableColumn id="6" xr3:uid="{5F426F01-24CA-4DB8-8000-CF509E9694B8}" name="Budsjettansvarlig"/>
    <tableColumn id="7" xr3:uid="{5240E324-869C-44FE-B28F-574AAA617CD2}" name="LederTittel"/>
    <tableColumn id="8" xr3:uid="{D36778F5-887F-4C99-A339-5CCCCA7FE502}" name="Virksomhetstyp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4ACC55-DBB4-423C-A225-13303DC03C80}" name="Relationships" displayName="Relationships" ref="A1:F23" totalsRowShown="0">
  <autoFilter ref="A1:F23" xr:uid="{5C4ACC55-DBB4-423C-A225-13303DC03C80}"/>
  <tableColumns count="6">
    <tableColumn id="1" xr3:uid="{6B933EE2-9920-4728-B007-580A45FBD21B}" name="FraTabell"/>
    <tableColumn id="2" xr3:uid="{744A760D-E566-42D1-A63B-5A5EA05AD0AF}" name="FraKolonne"/>
    <tableColumn id="3" xr3:uid="{42479B4E-97E7-4017-825D-A44DB42A9BD0}" name="TilTabell"/>
    <tableColumn id="4" xr3:uid="{E247C13C-AC72-4237-8163-3E5CB228F218}" name="TilKolonne"/>
    <tableColumn id="5" xr3:uid="{8F224622-0B01-4351-9912-41734B594CA0}" name="Kardinalitet"/>
    <tableColumn id="6" xr3:uid="{6256FD22-BB1C-476F-9C3D-E09067C7E82B}" name="Kryssfiltrering"/>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F60DE51-B61B-4013-8046-096CD27B0370}" name="FactAction" displayName="FactAction" ref="A1:I5" totalsRowShown="0">
  <autoFilter ref="A1:I5" xr:uid="{FF60DE51-B61B-4013-8046-096CD27B0370}"/>
  <tableColumns count="9">
    <tableColumn id="1" xr3:uid="{BDDEA464-E5C8-4E98-A3B9-C247837DAC07}" name="TiltakID"/>
    <tableColumn id="2" xr3:uid="{8D8D4B14-B1C5-44C7-9B10-F8C9E87D58B3}" name="OrgKode"/>
    <tableColumn id="3" xr3:uid="{69332ABA-3523-41EE-9DC5-D95C4AE4073D}" name="Budsjettansvarsområde"/>
    <tableColumn id="4" xr3:uid="{1F4BD168-3C87-46E3-BADA-D02B9CEDE662}" name="AnsvarligLeder"/>
    <tableColumn id="5" xr3:uid="{909EE84F-937B-45E1-855C-56A5C88823BD}" name="TiltakNavn"/>
    <tableColumn id="6" xr3:uid="{258B1553-6ECB-4CF2-8A73-C9F930587870}" name="ForventetInnsparingNOK"/>
    <tableColumn id="7" xr3:uid="{4EE32FF6-C13F-4E2A-946B-205F27DB3C72}" name="RealisertInnsparingNOK"/>
    <tableColumn id="8" xr3:uid="{C6BF5B74-0D43-423B-BFA0-552EECC7BB79}" name="Status"/>
    <tableColumn id="9" xr3:uid="{C38DFB40-292F-4615-BA19-7573F93146A1}" name="FristDato" dataDxfId="19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F13937-D38B-4493-9143-3719A16173F3}" name="FactAction_2027" displayName="FactAction_2027" ref="A1:I5" totalsRowShown="0">
  <autoFilter ref="A1:I5" xr:uid="{EBF13937-D38B-4493-9143-3719A16173F3}"/>
  <tableColumns count="9">
    <tableColumn id="1" xr3:uid="{F89B334A-CF1A-49B1-B92C-C3868073A90C}" name="TiltakID"/>
    <tableColumn id="2" xr3:uid="{77A98CB3-E5B6-4081-89C2-3FCFA26087A4}" name="OrgKode"/>
    <tableColumn id="3" xr3:uid="{74CDC5A9-94AB-4ABC-8636-C934CD4EAAE5}" name="Tiltaksnavn"/>
    <tableColumn id="4" xr3:uid="{EC2FB351-F5BD-40BC-9A7C-877FDC185720}" name="Kategori"/>
    <tableColumn id="5" xr3:uid="{2569CF26-2978-4D93-97D6-E3BC30D2BF76}" name="Ansvarlig"/>
    <tableColumn id="6" xr3:uid="{DB98A637-CE59-4DBF-AA3F-AA33C662C01F}" name="ForventetEffekt"/>
    <tableColumn id="7" xr3:uid="{5021E7AD-AA31-49EB-930C-44BB2855A574}" name="RealisertEffekt"/>
    <tableColumn id="8" xr3:uid="{3D5FDF53-A033-4D4A-9A2B-C91DE5A36610}" name="Status"/>
    <tableColumn id="9" xr3:uid="{9EB25984-EA20-4889-8F24-A3F87C042A0E}" name="Beskrivels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D090F5-8E76-4CFF-A2A4-8351CFFD692E}" name="FactEVM" displayName="FactEVM" ref="A1:J13" totalsRowShown="0">
  <autoFilter ref="A1:J13" xr:uid="{8DD090F5-8E76-4CFF-A2A4-8351CFFD692E}"/>
  <tableColumns count="10">
    <tableColumn id="1" xr3:uid="{27536F7C-4C64-4AA4-80CD-223A36F5FC44}" name="DatoNokkel"/>
    <tableColumn id="2" xr3:uid="{4919B029-5F89-4EC4-91D9-2997AC732E0C}" name="BAC_BudgetAtCompletion"/>
    <tableColumn id="3" xr3:uid="{73D014F5-EB12-4104-B22E-1DFCFDCC8F2C}" name="PlannedValue_PV"/>
    <tableColumn id="4" xr3:uid="{4638C5FD-CF91-48B5-9089-97C21F48D7EB}" name="EarnedValue_EV"/>
    <tableColumn id="5" xr3:uid="{1CC8DE02-3D18-4B89-9F14-F0F4780BFBE3}" name="ActualCost_AC"/>
    <tableColumn id="6" xr3:uid="{992EA006-8DEE-469F-936A-9B158843F447}" name="EstimateAtCompletion_EAC"/>
    <tableColumn id="7" xr3:uid="{C3D5E8C4-0A75-4C89-8F32-8A1426242A4F}" name="EstimateToComplete_ETC"/>
    <tableColumn id="8" xr3:uid="{25870D86-CF1B-4E12-9A25-6AD06D2C4296}" name="VarianceAtCompletion_VAC"/>
    <tableColumn id="9" xr3:uid="{48671338-6FA7-4B01-8442-B0E710DFC9A7}" name="CostPerformanceIndex_CPI"/>
    <tableColumn id="10" xr3:uid="{F1EBC9FF-57AB-4363-99C8-CD9F81DE186D}" name="SchedulePerformanceIndex_SPI"/>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329F14B-8DF9-4E4D-9397-F3EFFFD1085C}" name="FactFTE" displayName="FactFTE" ref="A1:K49" totalsRowShown="0">
  <autoFilter ref="A1:K49" xr:uid="{0329F14B-8DF9-4E4D-9397-F3EFFFD1085C}"/>
  <tableColumns count="11">
    <tableColumn id="1" xr3:uid="{D80B7462-FE34-4CDB-AE35-6806C751975E}" name="DatoNokkel"/>
    <tableColumn id="2" xr3:uid="{E6CB9954-216C-44E6-B60E-1635D45ABC45}" name="OrgKode"/>
    <tableColumn id="3" xr3:uid="{7A06C5D6-C8AB-4232-905E-9BFF3DCB9A14}" name="Budsjettansvarsområde"/>
    <tableColumn id="4" xr3:uid="{2E6206D9-34F2-42EC-BE10-FF91AA51CC2D}" name="BudsjettansvarligLeder"/>
    <tableColumn id="5" xr3:uid="{E6FCBE6C-8788-436F-94FE-B4E9B92DF5F0}" name="Aarsverk_UF"/>
    <tableColumn id="6" xr3:uid="{EF879FEF-5FD2-4921-92F9-25E791B4888E}" name="Aarsverk_TA"/>
    <tableColumn id="7" xr3:uid="{75645840-3C8D-4419-A73F-F103EBB68BA3}" name="Aarsverk_Totalt"/>
    <tableColumn id="8" xr3:uid="{600E398D-2E62-4DAB-B83D-0F799C55E225}" name="Budsjettert_Aarsverk"/>
    <tableColumn id="9" xr3:uid="{229C2D36-EF3B-40C0-B5A1-733A907D2A16}" name="Vakans_Aarsverk"/>
    <tableColumn id="10" xr3:uid="{3E461C9C-81E1-41F4-AFF5-A61A1569915A}" name="Antall_Ansatte"/>
    <tableColumn id="11" xr3:uid="{28F9AC93-129B-4567-A20C-E4A4A2286A13}" name="Vakansgrad_Pc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74C02B8-63E0-4FDB-AC58-0B66B2214224}" name="FactFTE_2027" displayName="FactFTE_2027" ref="A1:K49" totalsRowShown="0">
  <autoFilter ref="A1:K49" xr:uid="{574C02B8-63E0-4FDB-AC58-0B66B2214224}"/>
  <tableColumns count="11">
    <tableColumn id="1" xr3:uid="{195E40FD-30D1-4713-A98D-6EA0A684EF25}" name="FTENokkel"/>
    <tableColumn id="2" xr3:uid="{A9CB4BBC-0B30-4AFB-863B-8600D39CE112}" name="DatoNokkel"/>
    <tableColumn id="3" xr3:uid="{C1CC4D14-9861-4543-9B29-1B6C326406A1}" name="OrgKode"/>
    <tableColumn id="4" xr3:uid="{1C163ACA-7EEF-47DD-8426-2FD3913F4C46}" name="Budsjettert_Aarsverk"/>
    <tableColumn id="5" xr3:uid="{429E672F-174A-46D3-8DFE-8ECF85DA5572}" name="Vakans_Aarsverk"/>
    <tableColumn id="6" xr3:uid="{2E9F3798-D3B1-436E-8E5F-0B81D86676B9}" name="Aarsverk_Totalt"/>
    <tableColumn id="7" xr3:uid="{C1FD46CD-7CCA-4E47-B596-382A10EDE670}" name="Aarsverk_UF"/>
    <tableColumn id="8" xr3:uid="{0E5E34F5-29E0-483B-8290-CAFF62432768}" name="Aarsverk_TA"/>
    <tableColumn id="9" xr3:uid="{C387EAB3-48A0-44A5-BF92-B0942DDB1E3F}" name="Antall_Ansatte"/>
    <tableColumn id="10" xr3:uid="{42E31F2F-B352-4838-B33E-5401E3EAE55E}" name="Maanedlig_Lonnskostnad"/>
    <tableColumn id="11" xr3:uid="{ED3E3BF7-F229-4885-80C9-F4CF0BF4CE4F}" name="Lennsandel_Pc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AAC10A3-8C0D-4348-BAE0-163373F0F0AC}" name="FactStudents" displayName="FactStudents" ref="A1:L13" totalsRowShown="0">
  <autoFilter ref="A1:L13" xr:uid="{CAAC10A3-8C0D-4348-BAE0-163373F0F0AC}"/>
  <tableColumns count="12">
    <tableColumn id="1" xr3:uid="{7657C721-2B55-4F10-8EA1-553484BF1574}" name="StudentNokkel"/>
    <tableColumn id="2" xr3:uid="{2B316134-2996-43C3-9548-BAC48B38E993}" name="DatoNokkel"/>
    <tableColumn id="3" xr3:uid="{193596A5-CAA7-42AA-9971-DEAE26A8CFBD}" name="OrgKode"/>
    <tableColumn id="4" xr3:uid="{C6A0564D-37F2-4EFD-AEF4-5AA7F5CDD956}" name="Studieprogram"/>
    <tableColumn id="5" xr3:uid="{1E4F864F-F7A3-4081-9B28-02CF4115FA3A}" name="RegistrerteStudenter"/>
    <tableColumn id="6" xr3:uid="{D819753A-F870-4782-BDB3-24F5827B7656}" name="SPE60_Baseline_2025"/>
    <tableColumn id="7" xr3:uid="{D82A217A-A719-40F0-BBA7-7DC396B7835E}" name="SPE60_Vekst_2025"/>
    <tableColumn id="8" xr3:uid="{850E9989-14E3-4AB1-87B9-C846B8114517}" name="SPE60"/>
    <tableColumn id="9" xr3:uid="{5522CAE2-2E48-4D34-A6D7-CB3CF8472BCE}" name="KDKategori"/>
    <tableColumn id="10" xr3:uid="{1874A4BC-746E-466E-A1F5-979C93F8DB60}" name="KDSats_NOK"/>
    <tableColumn id="11" xr3:uid="{4F1EA46C-0974-4E0A-B5D0-5008FF7A701A}" name="KD_Marginal_Inntekt_2027"/>
    <tableColumn id="12" xr3:uid="{C783AD04-19A2-474D-83E5-CF190E08AA8A}" name="Studenter_pr_UF"/>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E77F1F-2FCC-490F-AD22-98E07114A693}" name="FactStudents_2027" displayName="FactStudents_2027" ref="A1:L13" totalsRowShown="0">
  <autoFilter ref="A1:L13" xr:uid="{EEE77F1F-2FCC-490F-AD22-98E07114A693}"/>
  <tableColumns count="12">
    <tableColumn id="1" xr3:uid="{1C450EE0-C9EF-4965-A796-577E25350466}" name="StudentNokkel"/>
    <tableColumn id="2" xr3:uid="{93DC8259-0F31-4CE7-BF46-EF9E3424743B}" name="DatoNokkel"/>
    <tableColumn id="3" xr3:uid="{163E6589-3645-4D9E-A474-15FCBF3362E5}" name="OrgKode"/>
    <tableColumn id="4" xr3:uid="{DA74C7EF-4BD9-48AA-932F-4D5AED3074BD}" name="Studieprogram"/>
    <tableColumn id="5" xr3:uid="{5F6FBE4E-8261-4901-BCEF-7DB9E73D445E}" name="RegistrerteStudenter"/>
    <tableColumn id="6" xr3:uid="{899EB5CE-06FA-49A9-BF4A-A9C1F6D9C7E8}" name="SPE60_Baseline_2025"/>
    <tableColumn id="7" xr3:uid="{E2B3546A-80F4-4556-A3BB-F8E0491A6524}" name="SPE60_Vekst_2025"/>
    <tableColumn id="8" xr3:uid="{3B1C8537-BFB9-4F54-A985-C80462761E66}" name="SPE60"/>
    <tableColumn id="9" xr3:uid="{1E355133-6F8F-459E-A3BB-B9354944036D}" name="KDKategori"/>
    <tableColumn id="10" xr3:uid="{52F07338-EE5D-4105-A3F2-DFFC1979B309}" name="KDSats_NOK"/>
    <tableColumn id="11" xr3:uid="{589F934A-3A31-4487-8EA0-E3C611CD5044}" name="KD_Marginal_Inntekt_2027"/>
    <tableColumn id="12" xr3:uid="{328843FD-3565-4268-BC16-D738A04EB6EF}" name="Studenter_pr_UF"/>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73711FE-DC55-49BF-B29E-1D0B9DF3F50D}" name="FactBudget" displayName="FactBudget" ref="A1:G433" totalsRowShown="0">
  <autoFilter ref="A1:G433" xr:uid="{F73711FE-DC55-49BF-B29E-1D0B9DF3F50D}"/>
  <tableColumns count="7">
    <tableColumn id="1" xr3:uid="{F102207F-8448-45B0-8320-B8DBFA6A9468}" name="DatoNokkel"/>
    <tableColumn id="2" xr3:uid="{B5DB73ED-ADB9-49A5-854F-50688F9B0223}" name="OrgKode"/>
    <tableColumn id="3" xr3:uid="{BE49CBE0-81D2-417E-86FF-D172E491359C}" name="Konto"/>
    <tableColumn id="4" xr3:uid="{F1E0A15D-EDC3-43ED-B31B-9ADB5A3106F9}" name="VersjonKode"/>
    <tableColumn id="5" xr3:uid="{EFA153B3-4D11-4BDB-85EE-7565D0A55056}" name="BudsjettBelop"/>
    <tableColumn id="6" xr3:uid="{5A115458-462F-4D4F-8139-1393A7A71E77}" name="Budsjettansvarsområde"/>
    <tableColumn id="7" xr3:uid="{E87E0F7A-18A4-4ADF-B3C6-9DDEDB3A2057}" name="BudsjettansvarligLeder"/>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298F005-E9DC-4DE0-8E8A-89DFC4C43A60}" name="FactBudget_2027" displayName="FactBudget_2027" ref="A1:H385" totalsRowShown="0">
  <autoFilter ref="A1:H385" xr:uid="{9298F005-E9DC-4DE0-8E8A-89DFC4C43A60}"/>
  <tableColumns count="8">
    <tableColumn id="1" xr3:uid="{711FD4A9-545E-405C-833A-401E5129B86E}" name="BudsjettNokkel"/>
    <tableColumn id="2" xr3:uid="{750E0AE7-8A34-47C6-811B-F1A8E6BEC3C2}" name="DatoNokkel"/>
    <tableColumn id="3" xr3:uid="{87A36EE9-FBE9-428C-BAC0-EFB084C43309}" name="OrgKode"/>
    <tableColumn id="4" xr3:uid="{7CD03488-B6A7-4314-AF4D-849935E5222E}" name="Konto"/>
    <tableColumn id="5" xr3:uid="{D1A93408-7632-4584-9E22-0CEA4212375E}" name="VersjonKode"/>
    <tableColumn id="6" xr3:uid="{BE0EBA25-2090-4F91-B418-9A75E9F1F581}" name="BudsjettBelop"/>
    <tableColumn id="7" xr3:uid="{9441C457-988A-413F-9BC9-43E9C4744855}" name="Valuta"/>
    <tableColumn id="8" xr3:uid="{3D6810B7-E747-409A-A321-16C24E2574FA}" name="Kommentar"/>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02AE8B-FD64-40C8-857F-C7A267FCCE60}" name="FactGL" displayName="FactGL" ref="A1:K434" totalsRowShown="0">
  <autoFilter ref="A1:K434" xr:uid="{9E02AE8B-FD64-40C8-857F-C7A267FCCE60}"/>
  <tableColumns count="11">
    <tableColumn id="1" xr3:uid="{26E00265-6173-482E-A74E-8F36D3785771}" name="TransaksjonID"/>
    <tableColumn id="2" xr3:uid="{A4A109E0-87BF-4D4B-93AB-01C4ECBFA9E6}" name="DatoNokkel"/>
    <tableColumn id="3" xr3:uid="{B476F70D-E90B-4233-934A-68FF5A935F3A}" name="OrgKode"/>
    <tableColumn id="4" xr3:uid="{6252BD9F-CFA7-4843-881A-BFDD40E3AECD}" name="Konto"/>
    <tableColumn id="5" xr3:uid="{532A58F2-8D8D-48A1-9030-B9125954078B}" name="Bokforingstype"/>
    <tableColumn id="6" xr3:uid="{6E92D866-541B-4D11-B60D-F2BF1B168CA8}" name="VersjonKode"/>
    <tableColumn id="7" xr3:uid="{3D8AB5EA-01DA-4433-B3F0-23A380BF6E54}" name="Belop_signert"/>
    <tableColumn id="8" xr3:uid="{25BA22E6-A3D5-4A5A-BA4B-534885B565BF}" name="Budsjettansvarsområde"/>
    <tableColumn id="9" xr3:uid="{2A96B0A4-A167-468B-BBBC-0A63D7031667}" name="BudsjettansvarligLeder"/>
    <tableColumn id="10" xr3:uid="{E797F1EA-823D-431B-857E-C0F0EC28E8CC}" name="ProsjektID"/>
    <tableColumn id="11" xr3:uid="{9800F216-E0FC-4EC5-BEFE-78A32AEF61B0}" name="Avvikstype_Beskrivels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B3974DD-2C15-4AD7-9F51-F39D90A1C7BE}" name="DAX_Measure_Catalog" displayName="DAX_Measure_Catalog" ref="A4:E40" totalsRowShown="0">
  <autoFilter ref="A4:E40" xr:uid="{9B3974DD-2C15-4AD7-9F51-F39D90A1C7BE}"/>
  <tableColumns count="5">
    <tableColumn id="1" xr3:uid="{DC6BE4C4-8AA9-4F8B-B924-FFC08EEFE271}" name="Display Folder"/>
    <tableColumn id="2" xr3:uid="{4D6B4526-4255-4720-B009-52B6CFE5DE5F}" name="Measure"/>
    <tableColumn id="3" xr3:uid="{87E75C07-6EE6-4571-A86E-B1B1717BFD51}" name="Format"/>
    <tableColumn id="4" xr3:uid="{5ED0AC91-FD5A-4F08-8097-EE1D6F4B5CF6}" name="Status"/>
    <tableColumn id="5" xr3:uid="{910DF6E3-ACCD-45E0-8892-3C97DA805CF2}" name="DAX" dataDxfId="18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table" Target="../tables/table7.xml"/><Relationship Id="rId1" Type="http://schemas.openxmlformats.org/officeDocument/2006/relationships/drawing" Target="../drawings/drawing4.xml"/><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FEE4-30E8-4D40-8326-7BE445A5CC75}">
  <dimension ref="A1:N40"/>
  <sheetViews>
    <sheetView tabSelected="1" topLeftCell="A2" workbookViewId="0">
      <selection activeCell="Q7" sqref="Q7"/>
    </sheetView>
  </sheetViews>
  <sheetFormatPr defaultRowHeight="14.5"/>
  <cols>
    <col min="1" max="1" width="11.6328125" customWidth="1"/>
    <col min="2" max="2" width="15.90625" customWidth="1"/>
    <col min="3" max="4" width="11.6328125" customWidth="1"/>
    <col min="5" max="5" width="15.08984375" customWidth="1"/>
    <col min="6" max="14" width="11.6328125" customWidth="1"/>
  </cols>
  <sheetData>
    <row r="1" spans="1:14" ht="30" customHeight="1">
      <c r="A1" s="72" t="s">
        <v>2170</v>
      </c>
      <c r="B1" s="72"/>
      <c r="C1" s="72"/>
      <c r="D1" s="72"/>
      <c r="E1" s="72"/>
      <c r="F1" s="72"/>
      <c r="G1" s="72"/>
      <c r="H1" s="72"/>
      <c r="I1" s="72"/>
      <c r="J1" s="72"/>
      <c r="K1" s="72"/>
      <c r="L1" s="72"/>
      <c r="M1" s="72"/>
      <c r="N1" s="72"/>
    </row>
    <row r="2" spans="1:14" ht="16.5">
      <c r="A2" s="74" t="s">
        <v>2171</v>
      </c>
      <c r="B2" s="74"/>
      <c r="C2" s="74"/>
      <c r="D2" s="74"/>
      <c r="E2" s="74"/>
      <c r="F2" s="74"/>
      <c r="G2" s="74"/>
      <c r="H2" s="74"/>
      <c r="I2" s="74"/>
      <c r="J2" s="74"/>
      <c r="K2" s="74"/>
      <c r="L2" s="74"/>
      <c r="M2" s="74"/>
      <c r="N2" s="74"/>
    </row>
    <row r="3" spans="1:14" ht="16.5">
      <c r="A3" s="71"/>
      <c r="B3" s="71"/>
      <c r="C3" s="71"/>
      <c r="D3" s="71"/>
      <c r="E3" s="71"/>
      <c r="F3" s="71"/>
      <c r="G3" s="71"/>
      <c r="H3" s="71"/>
      <c r="I3" s="71"/>
      <c r="J3" s="71"/>
      <c r="K3" s="71"/>
      <c r="L3" s="71"/>
      <c r="M3" s="71"/>
      <c r="N3" s="71"/>
    </row>
    <row r="4" spans="1:14" ht="16.5">
      <c r="A4" s="78" t="s">
        <v>2172</v>
      </c>
      <c r="B4" s="78"/>
      <c r="C4" s="71"/>
      <c r="D4" s="98" t="s">
        <v>2173</v>
      </c>
      <c r="E4" s="98"/>
      <c r="F4" s="71"/>
      <c r="G4" s="78" t="s">
        <v>2174</v>
      </c>
      <c r="H4" s="78"/>
      <c r="I4" s="71"/>
      <c r="J4" s="102" t="s">
        <v>2175</v>
      </c>
      <c r="K4" s="102"/>
      <c r="L4" s="71"/>
      <c r="M4" s="78" t="s">
        <v>2176</v>
      </c>
      <c r="N4" s="78"/>
    </row>
    <row r="5" spans="1:14" ht="28" customHeight="1">
      <c r="A5" s="80">
        <f>SUM(FactGL[Belop_signert])</f>
        <v>129631567</v>
      </c>
      <c r="B5" s="79"/>
      <c r="C5" s="71"/>
      <c r="D5" s="99">
        <f>SUM(FactBudget[BudsjettBelop])-SUM(FactGL[Belop_signert])</f>
        <v>522258</v>
      </c>
      <c r="E5" s="100"/>
      <c r="F5" s="71"/>
      <c r="G5" s="81">
        <f>SUMIFS(FactFTE[Aarsverk_Totalt],FactFTE[DatoNokkel],202612)</f>
        <v>229</v>
      </c>
      <c r="H5" s="79"/>
      <c r="I5" s="71"/>
      <c r="J5" s="103">
        <f>MAX(FactEVM[CostPerformanceIndex_CPI])</f>
        <v>0.97</v>
      </c>
      <c r="K5" s="104"/>
      <c r="L5" s="71"/>
      <c r="M5" s="82">
        <f>SUMIFS(FactStudents_2027[RegistrerteStudenter],FactStudents_2027[DatoNokkel],20271031)</f>
        <v>3450</v>
      </c>
      <c r="N5" s="79"/>
    </row>
    <row r="6" spans="1:14" ht="28" customHeight="1">
      <c r="A6" s="79"/>
      <c r="B6" s="79"/>
      <c r="C6" s="71"/>
      <c r="D6" s="100"/>
      <c r="E6" s="100"/>
      <c r="F6" s="71"/>
      <c r="G6" s="79"/>
      <c r="H6" s="79"/>
      <c r="I6" s="71"/>
      <c r="J6" s="104"/>
      <c r="K6" s="104"/>
      <c r="L6" s="71"/>
      <c r="M6" s="79"/>
      <c r="N6" s="79"/>
    </row>
    <row r="7" spans="1:14" ht="16.5">
      <c r="A7" s="76" t="str">
        <f>"Budsjett "&amp;TEXT(SUM(FactBudget[BudsjettBelop])/1000000,"0.0")&amp;" MNOK"</f>
        <v>Budsjett 130.2 MNOK</v>
      </c>
      <c r="B7" s="76"/>
      <c r="C7" s="71"/>
      <c r="D7" s="101" t="str">
        <f>IF(D5&gt;=0,"🟢 Innenfor budsjett",IF(D5/SUM(FactBudget[BudsjettBelop])&gt;=-5%,"🟡 Moderat avvik","🔴 Kritisk avvik"))</f>
        <v>🟢 Innenfor budsjett</v>
      </c>
      <c r="E7" s="101"/>
      <c r="F7" s="71"/>
      <c r="G7" s="76" t="str">
        <f>TEXT(SUMIFS(FactFTE[Aarsverk_UF],FactFTE[DatoNokkel],202612),"0")&amp;" UF / "&amp;TEXT(SUMIFS(FactFTE[Aarsverk_TA],FactFTE[DatoNokkel],202612),"0")&amp;" TA"</f>
        <v>154 UF / 75 TA</v>
      </c>
      <c r="H7" s="76"/>
      <c r="I7" s="71"/>
      <c r="J7" s="105" t="str">
        <f>"🟡 CPI "&amp;TEXT(J5,"0.00")&amp;" | SPI "&amp;TEXT(MAX(FactEVM[SchedulePerformanceIndex_SPI]),"0.00")</f>
        <v>🟡 CPI 0.97 | SPI 0.98</v>
      </c>
      <c r="K7" s="105"/>
      <c r="L7" s="71"/>
      <c r="M7" s="76" t="str">
        <f>TEXT(SUMIFS(FactStudents_2027[SPE60],FactStudents_2027[DatoNokkel],20271031),"#,##0")&amp;" SPE60 | "&amp;TEXT(M5/SUMIFS(FactFTE_2027[Aarsverk_UF],FactFTE_2027[DatoNokkel],20271231),"0.0")&amp;" stud./UF"</f>
        <v>3,153 SPE60 | 22.3 stud./UF</v>
      </c>
      <c r="N7" s="76"/>
    </row>
    <row r="8" spans="1:14" ht="16.5">
      <c r="A8" s="71"/>
      <c r="B8" s="71"/>
      <c r="C8" s="71"/>
      <c r="D8" s="71"/>
      <c r="E8" s="71"/>
      <c r="F8" s="71"/>
      <c r="G8" s="71"/>
      <c r="H8" s="71"/>
      <c r="I8" s="71"/>
      <c r="J8" s="71"/>
      <c r="K8" s="71"/>
      <c r="L8" s="71"/>
      <c r="M8" s="71"/>
      <c r="N8" s="71"/>
    </row>
    <row r="9" spans="1:14" ht="16.5">
      <c r="A9" s="135" t="s">
        <v>2255</v>
      </c>
      <c r="B9" s="135"/>
      <c r="C9" s="135"/>
      <c r="D9" s="135"/>
      <c r="E9" s="135"/>
      <c r="F9" s="135"/>
      <c r="G9" s="135"/>
      <c r="H9" s="135"/>
      <c r="I9" s="71"/>
      <c r="J9" s="71"/>
      <c r="K9" s="71"/>
      <c r="L9" s="71"/>
      <c r="M9" s="71"/>
      <c r="N9" s="71"/>
    </row>
    <row r="10" spans="1:14" ht="16.5">
      <c r="A10" s="83" t="s">
        <v>2177</v>
      </c>
      <c r="B10" s="83"/>
      <c r="C10" s="83"/>
      <c r="D10" s="83"/>
      <c r="E10" s="83"/>
      <c r="F10" s="83"/>
      <c r="G10" s="83"/>
      <c r="H10" s="83"/>
      <c r="I10" s="83"/>
      <c r="J10" s="83" t="s">
        <v>2178</v>
      </c>
      <c r="K10" s="83"/>
      <c r="L10" s="83"/>
      <c r="M10" s="83"/>
      <c r="N10" s="83"/>
    </row>
    <row r="11" spans="1:14" ht="16.5">
      <c r="A11" s="71"/>
      <c r="B11" s="71"/>
      <c r="C11" s="71"/>
      <c r="D11" s="71"/>
      <c r="E11" s="71"/>
      <c r="F11" s="71"/>
      <c r="G11" s="71"/>
      <c r="H11" s="71"/>
      <c r="I11" s="71"/>
      <c r="J11" s="71"/>
      <c r="K11" s="71"/>
      <c r="L11" s="71"/>
      <c r="M11" s="71"/>
      <c r="N11" s="71"/>
    </row>
    <row r="12" spans="1:14" ht="16.5">
      <c r="A12" s="71"/>
      <c r="B12" s="71"/>
      <c r="C12" s="71"/>
      <c r="D12" s="71"/>
      <c r="E12" s="71"/>
      <c r="F12" s="71"/>
      <c r="G12" s="71"/>
      <c r="H12" s="71"/>
      <c r="I12" s="71"/>
      <c r="J12" s="71"/>
      <c r="K12" s="71"/>
      <c r="L12" s="71"/>
      <c r="M12" s="71"/>
      <c r="N12" s="71"/>
    </row>
    <row r="13" spans="1:14" ht="16.5">
      <c r="A13" s="71"/>
      <c r="B13" s="71"/>
      <c r="C13" s="71"/>
      <c r="D13" s="71"/>
      <c r="E13" s="71"/>
      <c r="F13" s="71"/>
      <c r="G13" s="71"/>
      <c r="H13" s="71"/>
      <c r="I13" s="71"/>
      <c r="J13" s="71"/>
      <c r="K13" s="71"/>
      <c r="L13" s="71"/>
      <c r="M13" s="71"/>
      <c r="N13" s="71"/>
    </row>
    <row r="14" spans="1:14" ht="16.5">
      <c r="A14" s="71"/>
      <c r="B14" s="71"/>
      <c r="C14" s="71"/>
      <c r="D14" s="71"/>
      <c r="E14" s="71"/>
      <c r="F14" s="71"/>
      <c r="G14" s="71"/>
      <c r="H14" s="71"/>
      <c r="I14" s="71"/>
      <c r="J14" s="71"/>
      <c r="K14" s="71"/>
      <c r="L14" s="71"/>
      <c r="M14" s="71"/>
      <c r="N14" s="71"/>
    </row>
    <row r="15" spans="1:14" ht="16.5">
      <c r="A15" s="71"/>
      <c r="B15" s="71"/>
      <c r="C15" s="71"/>
      <c r="D15" s="71"/>
      <c r="E15" s="71"/>
      <c r="F15" s="71"/>
      <c r="G15" s="71"/>
      <c r="H15" s="71"/>
      <c r="I15" s="71"/>
      <c r="J15" s="71"/>
      <c r="K15" s="71"/>
      <c r="L15" s="71"/>
      <c r="M15" s="71"/>
      <c r="N15" s="71"/>
    </row>
    <row r="16" spans="1:14" ht="16.5">
      <c r="A16" s="71"/>
      <c r="B16" s="71"/>
      <c r="C16" s="71"/>
      <c r="D16" s="71"/>
      <c r="E16" s="71"/>
      <c r="F16" s="71"/>
      <c r="G16" s="71"/>
      <c r="H16" s="71"/>
      <c r="I16" s="71"/>
      <c r="J16" s="71"/>
      <c r="K16" s="71"/>
      <c r="L16" s="71"/>
      <c r="M16" s="71"/>
      <c r="N16" s="71"/>
    </row>
    <row r="17" spans="1:14" ht="16.5">
      <c r="A17" s="71"/>
      <c r="B17" s="71"/>
      <c r="C17" s="71"/>
      <c r="D17" s="71"/>
      <c r="E17" s="71"/>
      <c r="F17" s="71"/>
      <c r="G17" s="71"/>
      <c r="H17" s="71"/>
      <c r="I17" s="71"/>
      <c r="J17" s="71"/>
      <c r="K17" s="71"/>
      <c r="L17" s="71"/>
      <c r="M17" s="71"/>
      <c r="N17" s="71"/>
    </row>
    <row r="18" spans="1:14" ht="16.5">
      <c r="A18" s="71"/>
      <c r="B18" s="71"/>
      <c r="C18" s="71"/>
      <c r="D18" s="71"/>
      <c r="E18" s="71"/>
      <c r="F18" s="71"/>
      <c r="G18" s="71"/>
      <c r="H18" s="71"/>
      <c r="I18" s="71"/>
      <c r="J18" s="71"/>
      <c r="K18" s="71"/>
      <c r="L18" s="71"/>
      <c r="M18" s="71"/>
      <c r="N18" s="71"/>
    </row>
    <row r="19" spans="1:14" ht="16.5">
      <c r="A19" s="71"/>
      <c r="B19" s="71"/>
      <c r="C19" s="71"/>
      <c r="D19" s="71"/>
      <c r="E19" s="71"/>
      <c r="F19" s="71"/>
      <c r="G19" s="71"/>
      <c r="H19" s="71"/>
      <c r="I19" s="71"/>
      <c r="J19" s="71"/>
      <c r="K19" s="71"/>
      <c r="L19" s="71"/>
      <c r="M19" s="71"/>
      <c r="N19" s="71"/>
    </row>
    <row r="20" spans="1:14" ht="16.5">
      <c r="A20" s="71"/>
      <c r="B20" s="71"/>
      <c r="C20" s="71"/>
      <c r="D20" s="71"/>
      <c r="E20" s="71"/>
      <c r="F20" s="71"/>
      <c r="G20" s="71"/>
      <c r="H20" s="71"/>
      <c r="I20" s="71"/>
      <c r="J20" s="71"/>
      <c r="K20" s="71"/>
      <c r="L20" s="71"/>
      <c r="M20" s="71"/>
      <c r="N20" s="71"/>
    </row>
    <row r="21" spans="1:14" ht="16.5">
      <c r="A21" s="71"/>
      <c r="B21" s="71"/>
      <c r="C21" s="71"/>
      <c r="D21" s="71"/>
      <c r="E21" s="71"/>
      <c r="F21" s="71"/>
      <c r="G21" s="71"/>
      <c r="H21" s="71"/>
      <c r="I21" s="71"/>
      <c r="J21" s="71"/>
      <c r="K21" s="71"/>
      <c r="L21" s="71"/>
      <c r="M21" s="71"/>
      <c r="N21" s="71"/>
    </row>
    <row r="22" spans="1:14" ht="16.5">
      <c r="A22" s="71"/>
      <c r="B22" s="71"/>
      <c r="C22" s="71"/>
      <c r="D22" s="71"/>
      <c r="E22" s="71"/>
      <c r="F22" s="71"/>
      <c r="G22" s="71"/>
      <c r="H22" s="71"/>
      <c r="I22" s="71"/>
      <c r="J22" s="71"/>
      <c r="K22" s="71"/>
      <c r="L22" s="71"/>
      <c r="M22" s="71"/>
      <c r="N22" s="71"/>
    </row>
    <row r="23" spans="1:14" ht="16.5">
      <c r="A23" s="71"/>
      <c r="B23" s="71"/>
      <c r="C23" s="71"/>
      <c r="D23" s="71"/>
      <c r="E23" s="71"/>
      <c r="F23" s="71"/>
      <c r="G23" s="71"/>
      <c r="H23" s="71"/>
      <c r="I23" s="71"/>
      <c r="J23" s="71"/>
      <c r="K23" s="71"/>
      <c r="L23" s="71"/>
      <c r="M23" s="71"/>
      <c r="N23" s="71"/>
    </row>
    <row r="24" spans="1:14" ht="16.5">
      <c r="A24" s="71"/>
      <c r="B24" s="71"/>
      <c r="C24" s="71"/>
      <c r="D24" s="71"/>
      <c r="E24" s="71"/>
      <c r="F24" s="71"/>
      <c r="G24" s="71"/>
      <c r="H24" s="71"/>
      <c r="I24" s="71"/>
      <c r="J24" s="71"/>
      <c r="K24" s="71"/>
      <c r="L24" s="71"/>
      <c r="M24" s="71"/>
      <c r="N24" s="71"/>
    </row>
    <row r="25" spans="1:14" ht="16.5">
      <c r="A25" s="71"/>
      <c r="B25" s="71"/>
      <c r="C25" s="71"/>
      <c r="D25" s="71"/>
      <c r="E25" s="71"/>
      <c r="F25" s="71"/>
      <c r="G25" s="71"/>
      <c r="H25" s="71"/>
      <c r="I25" s="71"/>
      <c r="J25" s="71"/>
      <c r="K25" s="71"/>
      <c r="L25" s="71"/>
      <c r="M25" s="71"/>
      <c r="N25" s="71"/>
    </row>
    <row r="26" spans="1:14" ht="16.5">
      <c r="A26" s="71"/>
      <c r="B26" s="71"/>
      <c r="C26" s="71"/>
      <c r="D26" s="71"/>
      <c r="E26" s="71"/>
      <c r="F26" s="71"/>
      <c r="G26" s="71"/>
      <c r="H26" s="71"/>
      <c r="I26" s="71"/>
      <c r="J26" s="71"/>
      <c r="K26" s="71"/>
      <c r="L26" s="71"/>
      <c r="M26" s="71"/>
      <c r="N26" s="71"/>
    </row>
    <row r="27" spans="1:14" ht="16.5">
      <c r="A27" s="83" t="s">
        <v>2179</v>
      </c>
      <c r="B27" s="83"/>
      <c r="C27" s="83"/>
      <c r="D27" s="83"/>
      <c r="E27" s="83"/>
      <c r="F27" s="83"/>
      <c r="G27" s="83"/>
      <c r="H27" s="83"/>
      <c r="I27" s="83"/>
      <c r="J27" s="83"/>
      <c r="K27" s="83"/>
      <c r="L27" s="83"/>
      <c r="M27" s="83"/>
      <c r="N27" s="83"/>
    </row>
    <row r="28" spans="1:14" ht="25" customHeight="1">
      <c r="A28" s="84" t="s">
        <v>2180</v>
      </c>
      <c r="B28" s="84"/>
      <c r="C28" s="84"/>
      <c r="D28" s="84"/>
      <c r="E28" s="84"/>
      <c r="F28" s="84"/>
      <c r="G28" s="84"/>
      <c r="H28" s="84"/>
      <c r="I28" s="84"/>
      <c r="J28" s="84"/>
      <c r="K28" s="84"/>
      <c r="L28" s="84"/>
      <c r="M28" s="84"/>
      <c r="N28" s="84"/>
    </row>
    <row r="29" spans="1:14" ht="25" customHeight="1">
      <c r="A29" s="84"/>
      <c r="B29" s="84"/>
      <c r="C29" s="84"/>
      <c r="D29" s="84"/>
      <c r="E29" s="84"/>
      <c r="F29" s="84"/>
      <c r="G29" s="84"/>
      <c r="H29" s="84"/>
      <c r="I29" s="84"/>
      <c r="J29" s="84"/>
      <c r="K29" s="84"/>
      <c r="L29" s="84"/>
      <c r="M29" s="84"/>
      <c r="N29" s="84"/>
    </row>
    <row r="30" spans="1:14" ht="25" customHeight="1">
      <c r="A30" s="84"/>
      <c r="B30" s="84"/>
      <c r="C30" s="84"/>
      <c r="D30" s="84"/>
      <c r="E30" s="84"/>
      <c r="F30" s="84"/>
      <c r="G30" s="84"/>
      <c r="H30" s="84"/>
      <c r="I30" s="84"/>
      <c r="J30" s="84"/>
      <c r="K30" s="84"/>
      <c r="L30" s="84"/>
      <c r="M30" s="84"/>
      <c r="N30" s="84"/>
    </row>
    <row r="31" spans="1:14" ht="16.5">
      <c r="A31" s="71"/>
      <c r="B31" s="71"/>
      <c r="C31" s="71"/>
      <c r="D31" s="71"/>
      <c r="E31" s="71"/>
      <c r="F31" s="71"/>
      <c r="G31" s="71"/>
      <c r="H31" s="71"/>
      <c r="I31" s="71"/>
      <c r="J31" s="71"/>
      <c r="K31" s="71"/>
      <c r="L31" s="71"/>
      <c r="M31" s="71"/>
      <c r="N31" s="71"/>
    </row>
    <row r="32" spans="1:14" ht="16.5">
      <c r="A32" s="74" t="s">
        <v>2181</v>
      </c>
      <c r="B32" s="74"/>
      <c r="C32" s="74"/>
      <c r="D32" s="74"/>
      <c r="E32" s="74"/>
      <c r="F32" s="74"/>
      <c r="G32" s="74"/>
      <c r="H32" s="74"/>
      <c r="I32" s="74"/>
      <c r="J32" s="74"/>
      <c r="K32" s="74"/>
      <c r="L32" s="74"/>
      <c r="M32" s="74"/>
      <c r="N32" s="74"/>
    </row>
    <row r="33" spans="1:14" ht="16.5">
      <c r="A33" s="71"/>
      <c r="B33" s="71"/>
      <c r="C33" s="71"/>
      <c r="D33" s="71"/>
      <c r="E33" s="71"/>
      <c r="F33" s="71"/>
      <c r="G33" s="71"/>
      <c r="H33" s="71"/>
      <c r="I33" s="71"/>
      <c r="J33" s="71"/>
      <c r="K33" s="71"/>
      <c r="L33" s="71"/>
      <c r="M33" s="71"/>
      <c r="N33" s="71"/>
    </row>
    <row r="34" spans="1:14" ht="16.5">
      <c r="A34" s="134" t="s">
        <v>2252</v>
      </c>
      <c r="B34" s="134"/>
      <c r="C34" s="134"/>
      <c r="D34" s="134"/>
      <c r="E34" s="134"/>
      <c r="F34" s="134"/>
      <c r="G34" s="71"/>
      <c r="H34" s="71"/>
      <c r="I34" s="71"/>
      <c r="J34" s="71"/>
      <c r="K34" s="71"/>
      <c r="L34" s="71"/>
      <c r="M34" s="71"/>
      <c r="N34" s="71"/>
    </row>
    <row r="35" spans="1:14" ht="16.5">
      <c r="A35" s="71"/>
      <c r="B35" s="71"/>
      <c r="C35" s="71"/>
      <c r="D35" s="71"/>
      <c r="E35" s="71"/>
      <c r="F35" s="71"/>
      <c r="G35" s="71"/>
      <c r="H35" s="71"/>
      <c r="I35" s="71"/>
      <c r="J35" s="71"/>
      <c r="K35" s="71"/>
      <c r="L35" s="71"/>
      <c r="M35" s="71"/>
      <c r="N35" s="71"/>
    </row>
    <row r="36" spans="1:14" ht="16.5">
      <c r="A36" s="71"/>
      <c r="B36" s="71"/>
      <c r="C36" s="71"/>
      <c r="D36" s="71"/>
      <c r="E36" s="71"/>
      <c r="F36" s="71"/>
      <c r="G36" s="71"/>
      <c r="H36" s="71"/>
      <c r="I36" s="71"/>
      <c r="J36" s="71"/>
      <c r="K36" s="71"/>
      <c r="L36" s="71"/>
      <c r="M36" s="71"/>
      <c r="N36" s="71"/>
    </row>
    <row r="37" spans="1:14" ht="16.5">
      <c r="A37" s="71"/>
      <c r="B37" s="71"/>
      <c r="C37" s="71"/>
      <c r="D37" s="71"/>
      <c r="E37" s="71"/>
      <c r="F37" s="71"/>
      <c r="G37" s="71"/>
      <c r="H37" s="71"/>
      <c r="I37" s="71"/>
      <c r="J37" s="71"/>
      <c r="K37" s="71"/>
      <c r="L37" s="71"/>
      <c r="M37" s="71"/>
      <c r="N37" s="71"/>
    </row>
    <row r="38" spans="1:14" ht="16.5">
      <c r="A38" s="71"/>
      <c r="B38" s="71"/>
      <c r="C38" s="71"/>
      <c r="D38" s="71"/>
      <c r="E38" s="71"/>
      <c r="F38" s="71"/>
      <c r="G38" s="71"/>
      <c r="H38" s="71"/>
      <c r="I38" s="71"/>
      <c r="J38" s="71"/>
      <c r="K38" s="71"/>
      <c r="L38" s="71"/>
      <c r="M38" s="71"/>
      <c r="N38" s="71"/>
    </row>
    <row r="39" spans="1:14" ht="16.5">
      <c r="A39" s="71"/>
      <c r="B39" s="71"/>
      <c r="C39" s="71"/>
      <c r="D39" s="71"/>
      <c r="E39" s="71"/>
      <c r="F39" s="71"/>
      <c r="G39" s="71"/>
      <c r="H39" s="71"/>
      <c r="I39" s="71"/>
      <c r="J39" s="71"/>
      <c r="K39" s="71"/>
      <c r="L39" s="71"/>
      <c r="M39" s="71"/>
      <c r="N39" s="71"/>
    </row>
    <row r="40" spans="1:14" ht="16.5">
      <c r="A40" s="71"/>
      <c r="B40" s="71"/>
      <c r="C40" s="71"/>
      <c r="D40" s="71"/>
      <c r="E40" s="71"/>
      <c r="F40" s="71"/>
      <c r="G40" s="71"/>
      <c r="H40" s="71"/>
      <c r="I40" s="71"/>
      <c r="J40" s="71"/>
      <c r="K40" s="71"/>
      <c r="L40" s="71"/>
      <c r="M40" s="71"/>
      <c r="N40" s="71"/>
    </row>
  </sheetData>
  <mergeCells count="24">
    <mergeCell ref="A9:H9"/>
    <mergeCell ref="A10:I10"/>
    <mergeCell ref="J10:N10"/>
    <mergeCell ref="A27:N27"/>
    <mergeCell ref="A28:N30"/>
    <mergeCell ref="A32:N32"/>
    <mergeCell ref="A34:F34"/>
    <mergeCell ref="G7:H7"/>
    <mergeCell ref="J4:K4"/>
    <mergeCell ref="J5:K6"/>
    <mergeCell ref="J7:K7"/>
    <mergeCell ref="M4:N4"/>
    <mergeCell ref="M5:N6"/>
    <mergeCell ref="M7:N7"/>
    <mergeCell ref="A1:N1"/>
    <mergeCell ref="A2:N2"/>
    <mergeCell ref="A4:B4"/>
    <mergeCell ref="A5:B6"/>
    <mergeCell ref="A7:B7"/>
    <mergeCell ref="D4:E4"/>
    <mergeCell ref="D5:E6"/>
    <mergeCell ref="D7:E7"/>
    <mergeCell ref="G4:H4"/>
    <mergeCell ref="G5:H6"/>
  </mergeCells>
  <conditionalFormatting sqref="D5:E6">
    <cfRule type="cellIs" dxfId="122" priority="1" operator="greaterThanOrEqual">
      <formula>0</formula>
    </cfRule>
  </conditionalFormatting>
  <conditionalFormatting sqref="D5:E6">
    <cfRule type="cellIs" dxfId="121" priority="2" operator="between">
      <formula>-6507691</formula>
      <formula>-0.01</formula>
    </cfRule>
  </conditionalFormatting>
  <conditionalFormatting sqref="D5:E6">
    <cfRule type="cellIs" dxfId="120" priority="3" operator="lessThan">
      <formula>-6507691</formula>
    </cfRule>
  </conditionalFormatting>
  <conditionalFormatting sqref="J5:K6">
    <cfRule type="cellIs" dxfId="119" priority="4" operator="greaterThanOrEqual">
      <formula>1</formula>
    </cfRule>
  </conditionalFormatting>
  <conditionalFormatting sqref="J5:K6">
    <cfRule type="cellIs" dxfId="118" priority="5" operator="between">
      <formula>0.9</formula>
      <formula>0.999999</formula>
    </cfRule>
  </conditionalFormatting>
  <conditionalFormatting sqref="J5:K6">
    <cfRule type="cellIs" dxfId="117" priority="6" operator="lessThan">
      <formula>0.9</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5C8A1-B2A2-436B-9B9C-280C146AFF41}">
  <dimension ref="A1:J25"/>
  <sheetViews>
    <sheetView workbookViewId="0">
      <selection activeCell="D18" sqref="D18"/>
    </sheetView>
  </sheetViews>
  <sheetFormatPr defaultRowHeight="14.5"/>
  <cols>
    <col min="1" max="1" width="12" bestFit="1" customWidth="1"/>
    <col min="2" max="2" width="31.81640625" customWidth="1"/>
    <col min="3" max="3" width="58.1796875" customWidth="1"/>
    <col min="4" max="4" width="12.81640625" bestFit="1" customWidth="1"/>
    <col min="5" max="5" width="13.08984375" bestFit="1" customWidth="1"/>
    <col min="6" max="6" width="11.1796875" bestFit="1" customWidth="1"/>
    <col min="7" max="7" width="12.54296875" bestFit="1" customWidth="1"/>
    <col min="8" max="8" width="11.26953125" bestFit="1" customWidth="1"/>
    <col min="9" max="9" width="12.90625" bestFit="1" customWidth="1"/>
    <col min="10" max="10" width="12.08984375" bestFit="1" customWidth="1"/>
  </cols>
  <sheetData>
    <row r="1" spans="1:10" ht="27.5">
      <c r="A1" s="86" t="s">
        <v>2192</v>
      </c>
      <c r="B1" s="86"/>
      <c r="C1" s="86"/>
      <c r="D1" s="86"/>
      <c r="E1" s="86"/>
      <c r="F1" s="86"/>
      <c r="G1" s="86"/>
      <c r="H1" s="86"/>
      <c r="I1" s="86"/>
      <c r="J1" s="86"/>
    </row>
    <row r="2" spans="1:10" ht="16.5">
      <c r="A2" s="73" t="s">
        <v>2193</v>
      </c>
      <c r="B2" s="73"/>
      <c r="C2" s="73"/>
      <c r="D2" s="73"/>
      <c r="E2" s="73"/>
      <c r="F2" s="73"/>
      <c r="G2" s="73"/>
      <c r="H2" s="73"/>
      <c r="I2" s="73"/>
      <c r="J2" s="73"/>
    </row>
    <row r="3" spans="1:10" ht="16.5">
      <c r="A3" s="71"/>
      <c r="B3" s="71"/>
      <c r="C3" s="71"/>
      <c r="D3" s="71"/>
      <c r="E3" s="71"/>
      <c r="F3" s="71"/>
      <c r="G3" s="71"/>
      <c r="H3" s="71"/>
      <c r="I3" s="71"/>
      <c r="J3" s="71"/>
    </row>
    <row r="4" spans="1:10" ht="16.5">
      <c r="A4" s="71" t="s">
        <v>991</v>
      </c>
      <c r="B4" s="71" t="s">
        <v>2186</v>
      </c>
      <c r="C4" s="71" t="s">
        <v>2183</v>
      </c>
      <c r="D4" s="71" t="s">
        <v>2194</v>
      </c>
      <c r="E4" s="71" t="s">
        <v>2187</v>
      </c>
      <c r="F4" s="71" t="s">
        <v>2195</v>
      </c>
      <c r="G4" s="71" t="s">
        <v>2196</v>
      </c>
      <c r="H4" s="71" t="s">
        <v>2197</v>
      </c>
      <c r="I4" s="71" t="s">
        <v>2198</v>
      </c>
      <c r="J4" s="71" t="s">
        <v>2199</v>
      </c>
    </row>
    <row r="5" spans="1:10" ht="16.5">
      <c r="A5" s="71" t="s">
        <v>600</v>
      </c>
      <c r="B5" s="71" t="s">
        <v>2200</v>
      </c>
      <c r="C5" s="87">
        <f>SUMIFS(FactBudget[BudsjettBelop],FactBudget[OrgKode],A5)</f>
        <v>14000000</v>
      </c>
      <c r="D5" s="87">
        <f>SUMIFS(FactGL[Belop_signert],FactGL[OrgKode],A5)</f>
        <v>13912501</v>
      </c>
      <c r="E5" s="106">
        <f>C5-D5</f>
        <v>87499</v>
      </c>
      <c r="F5" s="107">
        <f>E5/C5</f>
        <v>6.2499285714285712E-3</v>
      </c>
      <c r="G5" s="90">
        <f>SUMIFS(FactFTE[Aarsverk_UF],FactFTE[OrgKode],A5,FactFTE[DatoNokkel],202612)</f>
        <v>0</v>
      </c>
      <c r="H5" s="90">
        <f>SUMIFS(FactFTE[Aarsverk_TA],FactFTE[OrgKode],A5,FactFTE[DatoNokkel],202612)</f>
        <v>22</v>
      </c>
      <c r="I5" s="90">
        <f>G5+H5</f>
        <v>22</v>
      </c>
      <c r="J5" s="108" t="str">
        <f>IF(F5&gt;=0,"🟢 Innenfor",IF(F5&gt;=-5%,"🟡 Følg opp","🔴 Kritisk"))</f>
        <v>🟢 Innenfor</v>
      </c>
    </row>
    <row r="6" spans="1:10" ht="16.5">
      <c r="A6" s="71" t="s">
        <v>606</v>
      </c>
      <c r="B6" s="71" t="s">
        <v>2189</v>
      </c>
      <c r="C6" s="87">
        <f>SUMIFS(FactBudget[BudsjettBelop],FactBudget[OrgKode],A6)</f>
        <v>38500000</v>
      </c>
      <c r="D6" s="87">
        <f>SUMIFS(FactGL[Belop_signert],FactGL[OrgKode],A6)</f>
        <v>38503496</v>
      </c>
      <c r="E6" s="109">
        <f>C6-D6</f>
        <v>-3496</v>
      </c>
      <c r="F6" s="110">
        <f>E6/C6</f>
        <v>-9.0805194805194811E-5</v>
      </c>
      <c r="G6" s="90">
        <f>SUMIFS(FactFTE[Aarsverk_UF],FactFTE[OrgKode],A6,FactFTE[DatoNokkel],202612)</f>
        <v>45</v>
      </c>
      <c r="H6" s="90">
        <f>SUMIFS(FactFTE[Aarsverk_TA],FactFTE[OrgKode],A6,FactFTE[DatoNokkel],202612)</f>
        <v>18</v>
      </c>
      <c r="I6" s="90">
        <f>G6+H6</f>
        <v>63</v>
      </c>
      <c r="J6" s="111" t="str">
        <f>IF(F6&gt;=0,"🟢 Innenfor",IF(F6&gt;=-5%,"🟡 Følg opp","🔴 Kritisk"))</f>
        <v>🟡 Følg opp</v>
      </c>
    </row>
    <row r="7" spans="1:10" ht="16.5">
      <c r="A7" s="71" t="s">
        <v>611</v>
      </c>
      <c r="B7" s="71" t="s">
        <v>2190</v>
      </c>
      <c r="C7" s="87">
        <f>SUMIFS(FactBudget[BudsjettBelop],FactBudget[OrgKode],A7)</f>
        <v>29250000</v>
      </c>
      <c r="D7" s="87">
        <f>SUMIFS(FactGL[Belop_signert],FactGL[OrgKode],A7)</f>
        <v>28101060</v>
      </c>
      <c r="E7" s="106">
        <f>C7-D7</f>
        <v>1148940</v>
      </c>
      <c r="F7" s="107">
        <f>E7/C7</f>
        <v>3.9280000000000002E-2</v>
      </c>
      <c r="G7" s="90">
        <f>SUMIFS(FactFTE[Aarsverk_UF],FactFTE[OrgKode],A7,FactFTE[DatoNokkel],202612)</f>
        <v>34</v>
      </c>
      <c r="H7" s="90">
        <f>SUMIFS(FactFTE[Aarsverk_TA],FactFTE[OrgKode],A7,FactFTE[DatoNokkel],202612)</f>
        <v>12</v>
      </c>
      <c r="I7" s="90">
        <f>G7+H7</f>
        <v>46</v>
      </c>
      <c r="J7" s="108" t="str">
        <f>IF(F7&gt;=0,"🟢 Innenfor",IF(F7&gt;=-5%,"🟡 Følg opp","🔴 Kritisk"))</f>
        <v>🟢 Innenfor</v>
      </c>
    </row>
    <row r="8" spans="1:10" ht="16.5">
      <c r="A8" s="71" t="s">
        <v>616</v>
      </c>
      <c r="B8" s="71" t="s">
        <v>2191</v>
      </c>
      <c r="C8" s="87">
        <f>SUMIFS(FactBudget[BudsjettBelop],FactBudget[OrgKode],A8)</f>
        <v>48403825</v>
      </c>
      <c r="D8" s="87">
        <f>SUMIFS(FactGL[Belop_signert],FactGL[OrgKode],A8)</f>
        <v>49114510</v>
      </c>
      <c r="E8" s="109">
        <f>C8-D8</f>
        <v>-710685</v>
      </c>
      <c r="F8" s="110">
        <f>E8/C8</f>
        <v>-1.4682414044757827E-2</v>
      </c>
      <c r="G8" s="90">
        <f>SUMIFS(FactFTE[Aarsverk_UF],FactFTE[OrgKode],A8,FactFTE[DatoNokkel],202612)</f>
        <v>75</v>
      </c>
      <c r="H8" s="90">
        <f>SUMIFS(FactFTE[Aarsverk_TA],FactFTE[OrgKode],A8,FactFTE[DatoNokkel],202612)</f>
        <v>23</v>
      </c>
      <c r="I8" s="90">
        <f>G8+H8</f>
        <v>98</v>
      </c>
      <c r="J8" s="111" t="str">
        <f>IF(F8&gt;=0,"🟢 Innenfor",IF(F8&gt;=-5%,"🟡 Følg opp","🔴 Kritisk"))</f>
        <v>🟡 Følg opp</v>
      </c>
    </row>
    <row r="9" spans="1:10" ht="16.5">
      <c r="A9" s="71"/>
      <c r="B9" s="71"/>
      <c r="C9" s="71"/>
      <c r="D9" s="71"/>
      <c r="E9" s="71"/>
      <c r="F9" s="71"/>
      <c r="G9" s="71"/>
      <c r="H9" s="71"/>
      <c r="I9" s="71"/>
      <c r="J9" s="71"/>
    </row>
    <row r="10" spans="1:10" ht="16.5">
      <c r="A10" s="71"/>
      <c r="B10" s="71"/>
      <c r="C10" s="71"/>
      <c r="D10" s="71"/>
      <c r="E10" s="71"/>
      <c r="F10" s="71"/>
      <c r="G10" s="71"/>
      <c r="H10" s="71"/>
      <c r="I10" s="71"/>
      <c r="J10" s="71"/>
    </row>
    <row r="11" spans="1:10" ht="16.5">
      <c r="A11" s="83" t="s">
        <v>2201</v>
      </c>
      <c r="B11" s="83"/>
      <c r="C11" s="83"/>
      <c r="D11" s="83"/>
      <c r="E11" s="83"/>
      <c r="F11" s="83"/>
      <c r="G11" s="83"/>
      <c r="H11" s="83"/>
      <c r="I11" s="71"/>
      <c r="J11" s="71"/>
    </row>
    <row r="12" spans="1:10" ht="16.5">
      <c r="A12" s="71" t="s">
        <v>2202</v>
      </c>
      <c r="B12" s="71" t="s">
        <v>2186</v>
      </c>
      <c r="C12" s="71" t="s">
        <v>1047</v>
      </c>
      <c r="D12" s="71" t="s">
        <v>2203</v>
      </c>
      <c r="E12" s="71" t="s">
        <v>2204</v>
      </c>
      <c r="F12" s="71" t="s">
        <v>2205</v>
      </c>
      <c r="G12" s="71" t="s">
        <v>977</v>
      </c>
      <c r="H12" s="71" t="s">
        <v>2206</v>
      </c>
      <c r="I12" s="71"/>
      <c r="J12" s="71"/>
    </row>
    <row r="13" spans="1:10" ht="16.5">
      <c r="A13" s="71" t="s">
        <v>1034</v>
      </c>
      <c r="B13" s="71" t="s">
        <v>600</v>
      </c>
      <c r="C13" s="71" t="s">
        <v>1035</v>
      </c>
      <c r="D13" s="87">
        <v>1200000</v>
      </c>
      <c r="E13" s="87">
        <v>950000</v>
      </c>
      <c r="F13" s="112">
        <f>E13/D13</f>
        <v>0.79166666666666663</v>
      </c>
      <c r="G13" s="111" t="str">
        <f>IF(F13&gt;=100%,"🟢 Fullført",IF(F13&gt;=75%,"🟡 Følg opp","🔴 Kritisk gap"))</f>
        <v>🟡 Følg opp</v>
      </c>
      <c r="H13" s="85">
        <v>46387</v>
      </c>
      <c r="I13" s="71"/>
      <c r="J13" s="71"/>
    </row>
    <row r="14" spans="1:10" ht="16.5">
      <c r="A14" s="71" t="s">
        <v>1037</v>
      </c>
      <c r="B14" s="71" t="s">
        <v>616</v>
      </c>
      <c r="C14" s="71" t="s">
        <v>1039</v>
      </c>
      <c r="D14" s="87">
        <v>1800000</v>
      </c>
      <c r="E14" s="87">
        <v>1400000</v>
      </c>
      <c r="F14" s="112">
        <f>E14/D14</f>
        <v>0.77777777777777779</v>
      </c>
      <c r="G14" s="111" t="str">
        <f>IF(F14&gt;=100%,"🟢 Fullført",IF(F14&gt;=75%,"🟡 Følg opp","🔴 Kritisk gap"))</f>
        <v>🟡 Følg opp</v>
      </c>
      <c r="H14" s="85">
        <v>46387</v>
      </c>
      <c r="I14" s="71"/>
      <c r="J14" s="71"/>
    </row>
    <row r="15" spans="1:10" ht="16.5">
      <c r="A15" s="71" t="s">
        <v>1041</v>
      </c>
      <c r="B15" s="71" t="s">
        <v>606</v>
      </c>
      <c r="C15" s="71" t="s">
        <v>1043</v>
      </c>
      <c r="D15" s="87">
        <v>800000</v>
      </c>
      <c r="E15" s="87">
        <v>450000</v>
      </c>
      <c r="F15" s="113">
        <f>E15/D15</f>
        <v>0.5625</v>
      </c>
      <c r="G15" s="114" t="str">
        <f>IF(F15&gt;=100%,"🟢 Fullført",IF(F15&gt;=75%,"🟡 Følg opp","🔴 Kritisk gap"))</f>
        <v>🔴 Kritisk gap</v>
      </c>
      <c r="H15" s="85">
        <v>46356</v>
      </c>
      <c r="I15" s="71"/>
      <c r="J15" s="71"/>
    </row>
    <row r="16" spans="1:10" ht="16.5">
      <c r="A16" s="71" t="s">
        <v>1044</v>
      </c>
      <c r="B16" s="71" t="s">
        <v>611</v>
      </c>
      <c r="C16" s="71" t="s">
        <v>1046</v>
      </c>
      <c r="D16" s="87">
        <v>800000</v>
      </c>
      <c r="E16" s="87">
        <v>800000</v>
      </c>
      <c r="F16" s="115">
        <f>E16/D16</f>
        <v>1</v>
      </c>
      <c r="G16" s="108" t="str">
        <f>IF(F16&gt;=100%,"🟢 Fullført",IF(F16&gt;=75%,"🟡 Følg opp","🔴 Kritisk gap"))</f>
        <v>🟢 Fullført</v>
      </c>
      <c r="H16" s="85">
        <v>46295</v>
      </c>
      <c r="I16" s="71"/>
      <c r="J16" s="71"/>
    </row>
    <row r="17" spans="1:10" ht="16.5">
      <c r="A17" s="71"/>
      <c r="B17" s="71"/>
      <c r="C17" s="71"/>
      <c r="D17" s="71"/>
      <c r="E17" s="71"/>
      <c r="F17" s="71"/>
      <c r="G17" s="71"/>
      <c r="H17" s="71"/>
      <c r="I17" s="71"/>
      <c r="J17" s="71"/>
    </row>
    <row r="18" spans="1:10" ht="16.5">
      <c r="A18" s="71"/>
      <c r="B18" s="71"/>
      <c r="C18" s="71"/>
      <c r="D18" s="71"/>
      <c r="E18" s="71"/>
      <c r="F18" s="71"/>
      <c r="G18" s="71"/>
      <c r="H18" s="71"/>
      <c r="I18" s="71"/>
      <c r="J18" s="71"/>
    </row>
    <row r="19" spans="1:10" ht="16.5">
      <c r="A19" s="83" t="s">
        <v>2207</v>
      </c>
      <c r="B19" s="83"/>
      <c r="C19" s="83"/>
      <c r="D19" s="83"/>
      <c r="E19" s="83"/>
      <c r="F19" s="83"/>
      <c r="G19" s="83"/>
      <c r="H19" s="83"/>
      <c r="I19" s="83"/>
      <c r="J19" s="83"/>
    </row>
    <row r="20" spans="1:10" ht="25" customHeight="1">
      <c r="A20" s="91" t="s">
        <v>2208</v>
      </c>
      <c r="B20" s="91"/>
      <c r="C20" s="91"/>
      <c r="D20" s="91"/>
      <c r="E20" s="91"/>
      <c r="F20" s="91"/>
      <c r="G20" s="91"/>
      <c r="H20" s="91"/>
      <c r="I20" s="91"/>
      <c r="J20" s="91"/>
    </row>
    <row r="21" spans="1:10" ht="25" customHeight="1">
      <c r="A21" s="91"/>
      <c r="B21" s="91"/>
      <c r="C21" s="91"/>
      <c r="D21" s="91"/>
      <c r="E21" s="91"/>
      <c r="F21" s="91"/>
      <c r="G21" s="91"/>
      <c r="H21" s="91"/>
      <c r="I21" s="91"/>
      <c r="J21" s="91"/>
    </row>
    <row r="22" spans="1:10" ht="25" customHeight="1">
      <c r="A22" s="91"/>
      <c r="B22" s="91"/>
      <c r="C22" s="91"/>
      <c r="D22" s="91"/>
      <c r="E22" s="91"/>
      <c r="F22" s="91"/>
      <c r="G22" s="91"/>
      <c r="H22" s="91"/>
      <c r="I22" s="91"/>
      <c r="J22" s="91"/>
    </row>
    <row r="23" spans="1:10" ht="16.5">
      <c r="A23" s="71"/>
      <c r="B23" s="71"/>
      <c r="C23" s="71"/>
      <c r="D23" s="71"/>
      <c r="E23" s="71"/>
      <c r="F23" s="71"/>
      <c r="G23" s="71"/>
      <c r="H23" s="71"/>
      <c r="I23" s="71"/>
      <c r="J23" s="71"/>
    </row>
    <row r="24" spans="1:10" ht="16.5" customHeight="1">
      <c r="A24" s="134" t="s">
        <v>2253</v>
      </c>
      <c r="B24" s="134"/>
      <c r="C24" s="134"/>
      <c r="D24" s="134"/>
      <c r="E24" s="134"/>
      <c r="F24" s="134"/>
      <c r="G24" s="134"/>
      <c r="H24" s="134"/>
      <c r="I24" s="134"/>
      <c r="J24" s="134"/>
    </row>
    <row r="25" spans="1:10" ht="16.5">
      <c r="A25" s="71"/>
      <c r="B25" s="71"/>
      <c r="C25" s="71"/>
      <c r="D25" s="71"/>
      <c r="E25" s="71"/>
      <c r="F25" s="71"/>
      <c r="G25" s="71"/>
      <c r="H25" s="71"/>
      <c r="I25" s="71"/>
      <c r="J25" s="71"/>
    </row>
  </sheetData>
  <mergeCells count="6">
    <mergeCell ref="A1:J1"/>
    <mergeCell ref="A2:J2"/>
    <mergeCell ref="A11:H11"/>
    <mergeCell ref="A19:J19"/>
    <mergeCell ref="A20:J22"/>
    <mergeCell ref="A24:J24"/>
  </mergeCells>
  <conditionalFormatting sqref="F5:F8">
    <cfRule type="cellIs" dxfId="116" priority="1" operator="greaterThanOrEqual">
      <formula>0</formula>
    </cfRule>
  </conditionalFormatting>
  <conditionalFormatting sqref="F5:F8">
    <cfRule type="cellIs" dxfId="115" priority="2" operator="between">
      <formula>-0.05</formula>
      <formula>-0.000000001</formula>
    </cfRule>
  </conditionalFormatting>
  <conditionalFormatting sqref="F5:F8">
    <cfRule type="cellIs" dxfId="114" priority="3" operator="lessThan">
      <formula>-0.05</formula>
    </cfRule>
  </conditionalFormatting>
  <conditionalFormatting sqref="F13:F16">
    <cfRule type="cellIs" dxfId="113" priority="4" operator="greaterThanOrEqual">
      <formula>1</formula>
    </cfRule>
  </conditionalFormatting>
  <conditionalFormatting sqref="F13:F16">
    <cfRule type="cellIs" dxfId="112" priority="5" operator="between">
      <formula>0.75</formula>
      <formula>0.999999999</formula>
    </cfRule>
  </conditionalFormatting>
  <conditionalFormatting sqref="F13:F16">
    <cfRule type="cellIs" dxfId="111" priority="6" operator="lessThan">
      <formula>0.75</formula>
    </cfRule>
  </conditionalFormatting>
  <conditionalFormatting sqref="F5:F8">
    <cfRule type="iconSet" priority="7">
      <iconSet>
        <cfvo type="percent" val="0"/>
        <cfvo type="num" val="-0.05"/>
        <cfvo type="num" val="-1"/>
      </iconSet>
    </cfRule>
  </conditionalFormatting>
  <conditionalFormatting sqref="F13:F16">
    <cfRule type="iconSet" priority="8">
      <iconSet>
        <cfvo type="percent" val="0"/>
        <cfvo type="num" val="0.75"/>
        <cfvo type="num" val="0"/>
      </iconSet>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014B8-EAD1-4AD4-ACCD-DACC14E50EEB}">
  <dimension ref="A1:U40"/>
  <sheetViews>
    <sheetView topLeftCell="A5" workbookViewId="0">
      <selection activeCell="N7" sqref="N7:U7"/>
    </sheetView>
  </sheetViews>
  <sheetFormatPr defaultRowHeight="14.5"/>
  <cols>
    <col min="1" max="1" width="12" bestFit="1" customWidth="1"/>
    <col min="2" max="2" width="26" bestFit="1" customWidth="1"/>
    <col min="3" max="3" width="30" style="52" customWidth="1"/>
    <col min="4" max="4" width="46.36328125" style="52" customWidth="1"/>
    <col min="5" max="5" width="26.453125" bestFit="1" customWidth="1"/>
    <col min="6" max="6" width="11.453125" bestFit="1" customWidth="1"/>
    <col min="7" max="7" width="13.90625" bestFit="1" customWidth="1"/>
    <col min="8" max="8" width="19.36328125" bestFit="1" customWidth="1"/>
    <col min="9" max="9" width="16.54296875" style="52" customWidth="1"/>
    <col min="10" max="10" width="15.6328125" style="52" bestFit="1" customWidth="1"/>
    <col min="11" max="12" width="26.36328125" style="52" customWidth="1"/>
  </cols>
  <sheetData>
    <row r="1" spans="1:21" ht="27.5">
      <c r="A1" s="86" t="s">
        <v>2257</v>
      </c>
      <c r="B1" s="86"/>
      <c r="C1" s="86"/>
      <c r="D1" s="86"/>
      <c r="E1" s="86"/>
      <c r="F1" s="86"/>
      <c r="G1" s="86"/>
      <c r="H1" s="86"/>
      <c r="I1" s="86"/>
      <c r="J1" s="86"/>
      <c r="K1" s="86"/>
      <c r="L1" s="86"/>
    </row>
    <row r="2" spans="1:21" ht="16.5">
      <c r="A2" s="73" t="s">
        <v>2258</v>
      </c>
      <c r="B2" s="73"/>
      <c r="C2" s="73"/>
      <c r="D2" s="73"/>
      <c r="E2" s="73"/>
      <c r="F2" s="73"/>
      <c r="G2" s="73"/>
      <c r="H2" s="73"/>
      <c r="I2" s="73"/>
      <c r="J2" s="73"/>
      <c r="K2" s="73"/>
      <c r="L2" s="73"/>
    </row>
    <row r="3" spans="1:21" ht="16.5">
      <c r="A3" s="71"/>
      <c r="B3" s="71"/>
      <c r="C3" s="138"/>
      <c r="D3" s="138"/>
      <c r="E3" s="71"/>
      <c r="F3" s="71"/>
      <c r="G3" s="71"/>
      <c r="H3" s="71"/>
      <c r="I3" s="138"/>
      <c r="J3" s="138"/>
      <c r="K3" s="138"/>
      <c r="L3" s="138"/>
    </row>
    <row r="4" spans="1:21" ht="16.5">
      <c r="A4" s="92" t="s">
        <v>2259</v>
      </c>
      <c r="B4" s="92"/>
      <c r="C4" s="139" t="s">
        <v>2260</v>
      </c>
      <c r="D4" s="139"/>
      <c r="E4" s="92" t="s">
        <v>2261</v>
      </c>
      <c r="F4" s="92"/>
      <c r="G4" s="77" t="s">
        <v>2262</v>
      </c>
      <c r="H4" s="77"/>
      <c r="I4" s="142" t="s">
        <v>2263</v>
      </c>
      <c r="J4" s="142"/>
      <c r="K4" s="138"/>
      <c r="L4" s="138"/>
    </row>
    <row r="5" spans="1:21" ht="16.5">
      <c r="A5" s="146">
        <f>SUM(FactBudget[BudsjettBelop])-SUM(FactGL[Belop_signert])</f>
        <v>522258</v>
      </c>
      <c r="B5" s="136"/>
      <c r="C5" s="147">
        <f>SUMIF(F11:F21,"&gt;0",F11:F21)</f>
        <v>2107632</v>
      </c>
      <c r="D5" s="140"/>
      <c r="E5" s="146">
        <f>SUMIF(F11:F21,"&lt;0",F11:F21)</f>
        <v>-1585374</v>
      </c>
      <c r="F5" s="136"/>
      <c r="G5" s="148">
        <f>SUM(FactAction[ForventetInnsparingNOK])-SUM(FactAction[RealisertInnsparingNOK])</f>
        <v>1000000</v>
      </c>
      <c r="H5" s="137"/>
      <c r="I5" s="143" t="s">
        <v>2264</v>
      </c>
      <c r="J5" s="143"/>
      <c r="K5" s="138"/>
      <c r="L5" s="138"/>
    </row>
    <row r="6" spans="1:21" ht="16.5">
      <c r="A6" s="136"/>
      <c r="B6" s="136"/>
      <c r="C6" s="140"/>
      <c r="D6" s="140"/>
      <c r="E6" s="136"/>
      <c r="F6" s="136"/>
      <c r="G6" s="136"/>
      <c r="H6" s="137"/>
      <c r="I6" s="143"/>
      <c r="J6" s="143"/>
      <c r="K6" s="138"/>
      <c r="L6" s="138"/>
    </row>
    <row r="7" spans="1:21" ht="16.5">
      <c r="A7" s="71"/>
      <c r="B7" s="71"/>
      <c r="C7" s="138"/>
      <c r="D7" s="138"/>
      <c r="E7" s="71"/>
      <c r="F7" s="71"/>
      <c r="G7" s="71"/>
      <c r="H7" s="71"/>
      <c r="I7" s="138"/>
      <c r="J7" s="138"/>
      <c r="K7" s="138"/>
      <c r="L7" s="138"/>
      <c r="N7" s="135"/>
      <c r="O7" s="135"/>
      <c r="P7" s="135"/>
      <c r="Q7" s="135"/>
      <c r="R7" s="135"/>
      <c r="S7" s="135"/>
      <c r="T7" s="135"/>
      <c r="U7" s="135"/>
    </row>
    <row r="8" spans="1:21" ht="16.5">
      <c r="A8" s="71"/>
      <c r="B8" s="71"/>
      <c r="C8" s="138"/>
      <c r="D8" s="138"/>
      <c r="E8" s="71"/>
      <c r="F8" s="71"/>
      <c r="G8" s="71"/>
      <c r="H8" s="71"/>
      <c r="I8" s="138"/>
      <c r="J8" s="138"/>
      <c r="K8" s="138"/>
      <c r="L8" s="138"/>
    </row>
    <row r="9" spans="1:21" ht="16.5">
      <c r="A9" s="83" t="s">
        <v>2265</v>
      </c>
      <c r="B9" s="83"/>
      <c r="C9" s="83"/>
      <c r="D9" s="83"/>
      <c r="E9" s="83"/>
      <c r="F9" s="83"/>
      <c r="G9" s="83"/>
      <c r="H9" s="83"/>
      <c r="I9" s="138"/>
      <c r="J9" s="144" t="s">
        <v>2273</v>
      </c>
      <c r="K9" s="144"/>
      <c r="L9" s="144"/>
    </row>
    <row r="10" spans="1:21" ht="16.5">
      <c r="A10" s="71" t="s">
        <v>991</v>
      </c>
      <c r="B10" s="71" t="s">
        <v>895</v>
      </c>
      <c r="C10" s="138" t="s">
        <v>2266</v>
      </c>
      <c r="D10" s="138" t="s">
        <v>2183</v>
      </c>
      <c r="E10" s="71" t="s">
        <v>2267</v>
      </c>
      <c r="F10" s="71" t="s">
        <v>2268</v>
      </c>
      <c r="G10" s="71" t="s">
        <v>2195</v>
      </c>
      <c r="H10" s="71" t="s">
        <v>2199</v>
      </c>
      <c r="I10" s="138"/>
      <c r="J10" s="138" t="s">
        <v>2182</v>
      </c>
      <c r="K10" s="138" t="s">
        <v>2274</v>
      </c>
      <c r="L10" s="138" t="s">
        <v>2275</v>
      </c>
    </row>
    <row r="11" spans="1:21" ht="16.5">
      <c r="A11" s="71" t="s">
        <v>616</v>
      </c>
      <c r="B11" s="71">
        <v>5000</v>
      </c>
      <c r="C11" s="138" t="s">
        <v>2269</v>
      </c>
      <c r="D11" s="141">
        <f>SUMIFS(FactBudget[BudsjettBelop],FactBudget[OrgKode],A11,FactBudget[Konto],B11)</f>
        <v>28074218</v>
      </c>
      <c r="E11" s="87">
        <f>SUMIFS(FactGL[Belop_signert],FactGL[OrgKode],A11,FactGL[Konto],B11)</f>
        <v>29056814</v>
      </c>
      <c r="F11" s="88">
        <f>D11-E11</f>
        <v>-982596</v>
      </c>
      <c r="G11" s="89">
        <f>IFERROR(F11/D11,IF(F11&lt;0,-1,0))</f>
        <v>-3.4999941939611638E-2</v>
      </c>
      <c r="H11" s="71" t="str">
        <f>IF(F11&gt;=0,"🟢 Favorabel",IF(G11&gt;=-5%,"🟡 Moderat","🔴 Kritisk"))</f>
        <v>🟡 Moderat</v>
      </c>
      <c r="I11" s="138"/>
      <c r="J11" s="138" t="s">
        <v>946</v>
      </c>
      <c r="K11" s="149">
        <v>-356048</v>
      </c>
      <c r="L11" s="138" t="s">
        <v>2276</v>
      </c>
    </row>
    <row r="12" spans="1:21" ht="16.5">
      <c r="A12" s="71" t="s">
        <v>611</v>
      </c>
      <c r="B12" s="71">
        <v>5000</v>
      </c>
      <c r="C12" s="138" t="s">
        <v>2269</v>
      </c>
      <c r="D12" s="141">
        <f>SUMIFS(FactBudget[BudsjettBelop],FactBudget[OrgKode],A12,FactBudget[Konto],B12)</f>
        <v>16965000</v>
      </c>
      <c r="E12" s="87">
        <f>SUMIFS(FactGL[Belop_signert],FactGL[OrgKode],A12,FactGL[Konto],B12)</f>
        <v>16286400</v>
      </c>
      <c r="F12" s="88">
        <f>D12-E12</f>
        <v>678600</v>
      </c>
      <c r="G12" s="89">
        <f>IFERROR(F12/D12,IF(F12&lt;0,-1,0))</f>
        <v>0.04</v>
      </c>
      <c r="H12" s="71" t="str">
        <f>IF(F12&gt;=0,"🟢 Favorabel",IF(G12&gt;=-5%,"🟡 Moderat","🔴 Kritisk"))</f>
        <v>🟢 Favorabel</v>
      </c>
      <c r="I12" s="138"/>
      <c r="J12" s="138" t="s">
        <v>953</v>
      </c>
      <c r="K12" s="149">
        <v>-278427</v>
      </c>
      <c r="L12" s="138" t="s">
        <v>2277</v>
      </c>
    </row>
    <row r="13" spans="1:21" ht="16.5">
      <c r="A13" s="71" t="s">
        <v>616</v>
      </c>
      <c r="B13" s="71">
        <v>5080</v>
      </c>
      <c r="C13" s="138" t="s">
        <v>915</v>
      </c>
      <c r="D13" s="141">
        <f>SUMIFS(FactBudget[BudsjettBelop],FactBudget[OrgKode],A13,FactBudget[Konto],B13)</f>
        <v>3388268</v>
      </c>
      <c r="E13" s="87">
        <f>SUMIFS(FactGL[Belop_signert],FactGL[OrgKode],A13,FactGL[Konto],B13)</f>
        <v>2980829</v>
      </c>
      <c r="F13" s="88">
        <f>D13-E13</f>
        <v>407439</v>
      </c>
      <c r="G13" s="89">
        <f>IFERROR(F13/D13,IF(F13&lt;0,-1,0))</f>
        <v>0.12024993300411892</v>
      </c>
      <c r="H13" s="71" t="str">
        <f>IF(F13&gt;=0,"🟢 Favorabel",IF(G13&gt;=-5%,"🟡 Moderat","🔴 Kritisk"))</f>
        <v>🟢 Favorabel</v>
      </c>
      <c r="I13" s="138"/>
      <c r="J13" s="138" t="s">
        <v>961</v>
      </c>
      <c r="K13" s="150">
        <v>120576</v>
      </c>
      <c r="L13" s="138" t="s">
        <v>2278</v>
      </c>
    </row>
    <row r="14" spans="1:21" ht="33">
      <c r="A14" s="71" t="s">
        <v>606</v>
      </c>
      <c r="B14" s="71">
        <v>5080</v>
      </c>
      <c r="C14" s="138" t="s">
        <v>915</v>
      </c>
      <c r="D14" s="141">
        <f>SUMIFS(FactBudget[BudsjettBelop],FactBudget[OrgKode],A14,FactBudget[Konto],B14)</f>
        <v>2695000</v>
      </c>
      <c r="E14" s="87">
        <f>SUMIFS(FactGL[Belop_signert],FactGL[OrgKode],A14,FactGL[Konto],B14)</f>
        <v>2290746</v>
      </c>
      <c r="F14" s="88">
        <f>D14-E14</f>
        <v>404254</v>
      </c>
      <c r="G14" s="89">
        <f>IFERROR(F14/D14,IF(F14&lt;0,-1,0))</f>
        <v>0.15000148423005566</v>
      </c>
      <c r="H14" s="71" t="str">
        <f>IF(F14&gt;=0,"🟢 Favorabel",IF(G14&gt;=-5%,"🟡 Moderat","🔴 Kritisk"))</f>
        <v>🟢 Favorabel</v>
      </c>
      <c r="I14" s="138"/>
      <c r="J14" s="138" t="s">
        <v>2279</v>
      </c>
      <c r="K14" s="150">
        <v>1013193</v>
      </c>
      <c r="L14" s="138" t="s">
        <v>2280</v>
      </c>
    </row>
    <row r="15" spans="1:21" ht="16.5">
      <c r="A15" s="71" t="s">
        <v>611</v>
      </c>
      <c r="B15" s="71">
        <v>5080</v>
      </c>
      <c r="C15" s="138" t="s">
        <v>915</v>
      </c>
      <c r="D15" s="141">
        <f>SUMIFS(FactBudget[BudsjettBelop],FactBudget[OrgKode],A15,FactBudget[Konto],B15)</f>
        <v>2047500</v>
      </c>
      <c r="E15" s="87">
        <f>SUMIFS(FactGL[Belop_signert],FactGL[OrgKode],A15,FactGL[Konto],B15)</f>
        <v>1670760</v>
      </c>
      <c r="F15" s="88">
        <f>D15-E15</f>
        <v>376740</v>
      </c>
      <c r="G15" s="89">
        <f>IFERROR(F15/D15,IF(F15&lt;0,-1,0))</f>
        <v>0.184</v>
      </c>
      <c r="H15" s="71" t="str">
        <f>IF(F15&gt;=0,"🟢 Favorabel",IF(G15&gt;=-5%,"🟡 Moderat","🔴 Kritisk"))</f>
        <v>🟢 Favorabel</v>
      </c>
      <c r="I15" s="138"/>
      <c r="J15" s="138"/>
      <c r="K15" s="138"/>
      <c r="L15" s="138"/>
    </row>
    <row r="16" spans="1:21" ht="16.5">
      <c r="A16" s="71" t="s">
        <v>606</v>
      </c>
      <c r="B16" s="71">
        <v>7790</v>
      </c>
      <c r="C16" s="138" t="s">
        <v>2270</v>
      </c>
      <c r="D16" s="141">
        <f>SUMIFS(FactBudget[BudsjettBelop],FactBudget[OrgKode],A16,FactBudget[Konto],B16)</f>
        <v>0</v>
      </c>
      <c r="E16" s="87">
        <f>SUMIFS(FactGL[Belop_signert],FactGL[OrgKode],A16,FactGL[Konto],B16)</f>
        <v>350000</v>
      </c>
      <c r="F16" s="88">
        <f>D16-E16</f>
        <v>-350000</v>
      </c>
      <c r="G16" s="89">
        <f>IFERROR(F16/D16,IF(F16&lt;0,-1,0))</f>
        <v>-1</v>
      </c>
      <c r="H16" s="71" t="str">
        <f>IF(F16&gt;=0,"🟢 Favorabel",IF(G16&gt;=-5%,"🟡 Moderat","🔴 Kritisk"))</f>
        <v>🔴 Kritisk</v>
      </c>
      <c r="I16" s="138"/>
      <c r="J16" s="138"/>
      <c r="K16" s="138"/>
      <c r="L16" s="138"/>
    </row>
    <row r="17" spans="1:12" ht="16.5">
      <c r="A17" s="71" t="s">
        <v>600</v>
      </c>
      <c r="B17" s="71">
        <v>5080</v>
      </c>
      <c r="C17" s="138" t="s">
        <v>915</v>
      </c>
      <c r="D17" s="141">
        <f>SUMIFS(FactBudget[BudsjettBelop],FactBudget[OrgKode],A17,FactBudget[Konto],B17)</f>
        <v>980000</v>
      </c>
      <c r="E17" s="87">
        <f>SUMIFS(FactGL[Belop_signert],FactGL[OrgKode],A17,FactGL[Konto],B17)</f>
        <v>833001</v>
      </c>
      <c r="F17" s="88">
        <f>D17-E17</f>
        <v>146999</v>
      </c>
      <c r="G17" s="89">
        <f>IFERROR(F17/D17,IF(F17&lt;0,-1,0))</f>
        <v>0.14999897959183672</v>
      </c>
      <c r="H17" s="71" t="str">
        <f>IF(F17&gt;=0,"🟢 Favorabel",IF(G17&gt;=-5%,"🟡 Moderat","🔴 Kritisk"))</f>
        <v>🟢 Favorabel</v>
      </c>
      <c r="I17" s="138"/>
      <c r="J17" s="138"/>
      <c r="K17" s="138"/>
      <c r="L17" s="138"/>
    </row>
    <row r="18" spans="1:12" ht="16.5">
      <c r="A18" s="71" t="s">
        <v>616</v>
      </c>
      <c r="B18" s="71">
        <v>5400</v>
      </c>
      <c r="C18" s="138" t="s">
        <v>916</v>
      </c>
      <c r="D18" s="141">
        <f>SUMIFS(FactBudget[BudsjettBelop],FactBudget[OrgKode],A18,FactBudget[Konto],B18)</f>
        <v>3872306</v>
      </c>
      <c r="E18" s="87">
        <f>SUMIFS(FactGL[Belop_signert],FactGL[OrgKode],A18,FactGL[Konto],B18)</f>
        <v>4007834</v>
      </c>
      <c r="F18" s="88">
        <f>D18-E18</f>
        <v>-135528</v>
      </c>
      <c r="G18" s="89">
        <f>IFERROR(F18/D18,IF(F18&lt;0,-1,0))</f>
        <v>-3.4999300158613501E-2</v>
      </c>
      <c r="H18" s="71" t="str">
        <f>IF(F18&gt;=0,"🟢 Favorabel",IF(G18&gt;=-5%,"🟡 Moderat","🔴 Kritisk"))</f>
        <v>🟡 Moderat</v>
      </c>
      <c r="I18" s="138"/>
      <c r="J18" s="138"/>
      <c r="K18" s="138"/>
      <c r="L18" s="138"/>
    </row>
    <row r="19" spans="1:12" ht="16.5">
      <c r="A19" s="71" t="s">
        <v>611</v>
      </c>
      <c r="B19" s="71">
        <v>5400</v>
      </c>
      <c r="C19" s="138" t="s">
        <v>916</v>
      </c>
      <c r="D19" s="141">
        <f>SUMIFS(FactBudget[BudsjettBelop],FactBudget[OrgKode],A19,FactBudget[Konto],B19)</f>
        <v>2340000</v>
      </c>
      <c r="E19" s="87">
        <f>SUMIFS(FactGL[Belop_signert],FactGL[OrgKode],A19,FactGL[Konto],B19)</f>
        <v>2246400</v>
      </c>
      <c r="F19" s="88">
        <f>D19-E19</f>
        <v>93600</v>
      </c>
      <c r="G19" s="89">
        <f>IFERROR(F19/D19,IF(F19&lt;0,-1,0))</f>
        <v>0.04</v>
      </c>
      <c r="H19" s="71" t="str">
        <f>IF(F19&gt;=0,"🟢 Favorabel",IF(G19&gt;=-5%,"🟡 Moderat","🔴 Kritisk"))</f>
        <v>🟢 Favorabel</v>
      </c>
      <c r="I19" s="138"/>
      <c r="J19" s="138"/>
      <c r="K19" s="138"/>
      <c r="L19" s="138"/>
    </row>
    <row r="20" spans="1:12" ht="16.5">
      <c r="A20" s="71" t="s">
        <v>600</v>
      </c>
      <c r="B20" s="71">
        <v>6700</v>
      </c>
      <c r="C20" s="138" t="s">
        <v>2271</v>
      </c>
      <c r="D20" s="141">
        <f>SUMIFS(FactBudget[BudsjettBelop],FactBudget[OrgKode],A20,FactBudget[Konto],B20)</f>
        <v>420000</v>
      </c>
      <c r="E20" s="87">
        <f>SUMIFS(FactGL[Belop_signert],FactGL[OrgKode],A20,FactGL[Konto],B20)</f>
        <v>479500</v>
      </c>
      <c r="F20" s="88">
        <f>D20-E20</f>
        <v>-59500</v>
      </c>
      <c r="G20" s="89">
        <f>IFERROR(F20/D20,IF(F20&lt;0,-1,0))</f>
        <v>-0.14166666666666666</v>
      </c>
      <c r="H20" s="71" t="str">
        <f>IF(F20&gt;=0,"🟢 Favorabel",IF(G20&gt;=-5%,"🟡 Moderat","🔴 Kritisk"))</f>
        <v>🔴 Kritisk</v>
      </c>
      <c r="I20" s="138"/>
      <c r="J20" s="138"/>
      <c r="K20" s="138"/>
      <c r="L20" s="138"/>
    </row>
    <row r="21" spans="1:12" ht="16.5">
      <c r="A21" s="71" t="s">
        <v>606</v>
      </c>
      <c r="B21" s="71">
        <v>5100</v>
      </c>
      <c r="C21" s="138" t="s">
        <v>2272</v>
      </c>
      <c r="D21" s="141">
        <f>SUMIFS(FactBudget[BudsjettBelop],FactBudget[OrgKode],A21,FactBudget[Konto],B21)</f>
        <v>1540000</v>
      </c>
      <c r="E21" s="87">
        <f>SUMIFS(FactGL[Belop_signert],FactGL[OrgKode],A21,FactGL[Konto],B21)</f>
        <v>1597750</v>
      </c>
      <c r="F21" s="88">
        <f>D21-E21</f>
        <v>-57750</v>
      </c>
      <c r="G21" s="89">
        <f>IFERROR(F21/D21,IF(F21&lt;0,-1,0))</f>
        <v>-3.7499999999999999E-2</v>
      </c>
      <c r="H21" s="71" t="str">
        <f>IF(F21&gt;=0,"🟢 Favorabel",IF(G21&gt;=-5%,"🟡 Moderat","🔴 Kritisk"))</f>
        <v>🟡 Moderat</v>
      </c>
      <c r="I21" s="138"/>
      <c r="J21" s="138"/>
      <c r="K21" s="138"/>
      <c r="L21" s="138"/>
    </row>
    <row r="22" spans="1:12" ht="16.5">
      <c r="A22" s="71"/>
      <c r="B22" s="71"/>
      <c r="C22" s="138"/>
      <c r="D22" s="138"/>
      <c r="E22" s="71"/>
      <c r="F22" s="71"/>
      <c r="G22" s="71"/>
      <c r="H22" s="71"/>
      <c r="I22" s="138"/>
      <c r="J22" s="138"/>
      <c r="K22" s="138"/>
      <c r="L22" s="138"/>
    </row>
    <row r="23" spans="1:12" ht="16.5">
      <c r="A23" s="71"/>
      <c r="B23" s="71"/>
      <c r="C23" s="138"/>
      <c r="D23" s="138"/>
      <c r="E23" s="71"/>
      <c r="F23" s="71"/>
      <c r="G23" s="71"/>
      <c r="H23" s="71"/>
      <c r="I23" s="138"/>
      <c r="J23" s="138"/>
      <c r="K23" s="138"/>
      <c r="L23" s="138"/>
    </row>
    <row r="24" spans="1:12" ht="16.5">
      <c r="A24" s="83" t="s">
        <v>2281</v>
      </c>
      <c r="B24" s="83"/>
      <c r="C24" s="83"/>
      <c r="D24" s="83"/>
      <c r="E24" s="83"/>
      <c r="F24" s="83"/>
      <c r="G24" s="83"/>
      <c r="H24" s="83"/>
      <c r="I24" s="83"/>
      <c r="J24" s="83"/>
      <c r="K24" s="83"/>
      <c r="L24" s="83"/>
    </row>
    <row r="25" spans="1:12" ht="16.5">
      <c r="A25" s="71" t="s">
        <v>2282</v>
      </c>
      <c r="B25" s="71" t="s">
        <v>61</v>
      </c>
      <c r="C25" s="138" t="s">
        <v>2283</v>
      </c>
      <c r="D25" s="138" t="s">
        <v>2284</v>
      </c>
      <c r="E25" s="71" t="s">
        <v>2285</v>
      </c>
      <c r="F25" s="71" t="s">
        <v>2206</v>
      </c>
      <c r="G25" s="71" t="s">
        <v>2286</v>
      </c>
      <c r="H25" s="71" t="s">
        <v>2287</v>
      </c>
      <c r="I25" s="138" t="s">
        <v>2288</v>
      </c>
      <c r="J25" s="138" t="s">
        <v>2199</v>
      </c>
      <c r="K25" s="138" t="s">
        <v>2289</v>
      </c>
      <c r="L25" s="138" t="s">
        <v>2290</v>
      </c>
    </row>
    <row r="26" spans="1:12" ht="49.5">
      <c r="A26" s="71">
        <v>1</v>
      </c>
      <c r="B26" s="71" t="s">
        <v>2291</v>
      </c>
      <c r="C26" s="138" t="s">
        <v>2292</v>
      </c>
      <c r="D26" s="138" t="s">
        <v>2293</v>
      </c>
      <c r="E26" s="71" t="s">
        <v>1009</v>
      </c>
      <c r="F26" s="85">
        <v>46356</v>
      </c>
      <c r="G26" s="87">
        <v>1118124</v>
      </c>
      <c r="H26" s="87">
        <v>710685</v>
      </c>
      <c r="I26" s="138" t="s">
        <v>2294</v>
      </c>
      <c r="J26" s="151" t="s">
        <v>2295</v>
      </c>
      <c r="K26" s="138" t="s">
        <v>2296</v>
      </c>
      <c r="L26" s="138" t="s">
        <v>2297</v>
      </c>
    </row>
    <row r="27" spans="1:12" ht="49.5">
      <c r="A27" s="71">
        <v>2</v>
      </c>
      <c r="B27" s="71" t="s">
        <v>2298</v>
      </c>
      <c r="C27" s="138" t="s">
        <v>2299</v>
      </c>
      <c r="D27" s="138" t="s">
        <v>2300</v>
      </c>
      <c r="E27" s="71" t="s">
        <v>1005</v>
      </c>
      <c r="F27" s="85">
        <v>46326</v>
      </c>
      <c r="G27" s="87">
        <v>407750</v>
      </c>
      <c r="H27" s="87">
        <v>350000</v>
      </c>
      <c r="I27" s="138" t="s">
        <v>2301</v>
      </c>
      <c r="J27" s="151" t="s">
        <v>2295</v>
      </c>
      <c r="K27" s="138" t="s">
        <v>2302</v>
      </c>
      <c r="L27" s="138" t="s">
        <v>2303</v>
      </c>
    </row>
    <row r="28" spans="1:12" ht="49.5">
      <c r="A28" s="71">
        <v>3</v>
      </c>
      <c r="B28" s="71" t="s">
        <v>2304</v>
      </c>
      <c r="C28" s="138" t="s">
        <v>2305</v>
      </c>
      <c r="D28" s="138" t="s">
        <v>2306</v>
      </c>
      <c r="E28" s="71" t="s">
        <v>2307</v>
      </c>
      <c r="F28" s="85">
        <v>46371</v>
      </c>
      <c r="G28" s="87">
        <v>0</v>
      </c>
      <c r="H28" s="87">
        <v>1148940</v>
      </c>
      <c r="I28" s="138" t="s">
        <v>2308</v>
      </c>
      <c r="J28" s="152" t="s">
        <v>2309</v>
      </c>
      <c r="K28" s="138" t="s">
        <v>2310</v>
      </c>
      <c r="L28" s="138" t="s">
        <v>2311</v>
      </c>
    </row>
    <row r="29" spans="1:12" ht="49.5">
      <c r="A29" s="71">
        <v>4</v>
      </c>
      <c r="B29" s="71" t="s">
        <v>2312</v>
      </c>
      <c r="C29" s="138" t="s">
        <v>2313</v>
      </c>
      <c r="D29" s="138" t="s">
        <v>2314</v>
      </c>
      <c r="E29" s="71" t="s">
        <v>1003</v>
      </c>
      <c r="F29" s="85">
        <v>46310</v>
      </c>
      <c r="G29" s="87">
        <v>59500</v>
      </c>
      <c r="H29" s="87">
        <v>59500</v>
      </c>
      <c r="I29" s="138" t="s">
        <v>2315</v>
      </c>
      <c r="J29" s="153" t="s">
        <v>2316</v>
      </c>
      <c r="K29" s="138" t="s">
        <v>2317</v>
      </c>
      <c r="L29" s="138" t="s">
        <v>2318</v>
      </c>
    </row>
    <row r="30" spans="1:12" ht="49.5">
      <c r="A30" s="71">
        <v>5</v>
      </c>
      <c r="B30" s="71" t="s">
        <v>2319</v>
      </c>
      <c r="C30" s="138" t="s">
        <v>2320</v>
      </c>
      <c r="D30" s="138" t="s">
        <v>2321</v>
      </c>
      <c r="E30" s="71" t="s">
        <v>1003</v>
      </c>
      <c r="F30" s="85">
        <v>46302</v>
      </c>
      <c r="G30" s="87">
        <v>1000000</v>
      </c>
      <c r="H30" s="87">
        <v>1000000</v>
      </c>
      <c r="I30" s="138" t="s">
        <v>2322</v>
      </c>
      <c r="J30" s="151" t="s">
        <v>2295</v>
      </c>
      <c r="K30" s="138" t="s">
        <v>2323</v>
      </c>
      <c r="L30" s="138" t="s">
        <v>2324</v>
      </c>
    </row>
    <row r="31" spans="1:12" ht="16.5">
      <c r="A31" s="71"/>
      <c r="B31" s="71"/>
      <c r="C31" s="138"/>
      <c r="D31" s="138"/>
      <c r="E31" s="71"/>
      <c r="F31" s="71"/>
      <c r="G31" s="71"/>
      <c r="H31" s="71"/>
      <c r="I31" s="138"/>
      <c r="J31" s="138"/>
      <c r="K31" s="138"/>
      <c r="L31" s="138"/>
    </row>
    <row r="32" spans="1:12" ht="16.5">
      <c r="A32" s="71"/>
      <c r="B32" s="71"/>
      <c r="C32" s="138"/>
      <c r="D32" s="138"/>
      <c r="E32" s="71"/>
      <c r="F32" s="71"/>
      <c r="G32" s="71"/>
      <c r="H32" s="71"/>
      <c r="I32" s="138"/>
      <c r="J32" s="138"/>
      <c r="K32" s="138"/>
      <c r="L32" s="138"/>
    </row>
    <row r="33" spans="1:12" ht="16.5">
      <c r="A33" s="83" t="s">
        <v>2325</v>
      </c>
      <c r="B33" s="83"/>
      <c r="C33" s="83"/>
      <c r="D33" s="83"/>
      <c r="E33" s="83"/>
      <c r="F33" s="83"/>
      <c r="G33" s="83"/>
      <c r="H33" s="83"/>
      <c r="I33" s="83"/>
      <c r="J33" s="83"/>
      <c r="K33" s="83"/>
      <c r="L33" s="83"/>
    </row>
    <row r="34" spans="1:12" ht="28" customHeight="1">
      <c r="A34" s="94" t="s">
        <v>2326</v>
      </c>
      <c r="B34" s="94"/>
      <c r="C34" s="94"/>
      <c r="D34" s="94"/>
      <c r="E34" s="94"/>
      <c r="F34" s="94"/>
      <c r="G34" s="94"/>
      <c r="H34" s="94"/>
      <c r="I34" s="94"/>
      <c r="J34" s="94"/>
      <c r="K34" s="94"/>
      <c r="L34" s="94"/>
    </row>
    <row r="35" spans="1:12" ht="28" customHeight="1">
      <c r="A35" s="94"/>
      <c r="B35" s="94"/>
      <c r="C35" s="94"/>
      <c r="D35" s="94"/>
      <c r="E35" s="94"/>
      <c r="F35" s="94"/>
      <c r="G35" s="94"/>
      <c r="H35" s="94"/>
      <c r="I35" s="94"/>
      <c r="J35" s="94"/>
      <c r="K35" s="94"/>
      <c r="L35" s="94"/>
    </row>
    <row r="36" spans="1:12" ht="28" customHeight="1">
      <c r="A36" s="94"/>
      <c r="B36" s="94"/>
      <c r="C36" s="94"/>
      <c r="D36" s="94"/>
      <c r="E36" s="94"/>
      <c r="F36" s="94"/>
      <c r="G36" s="94"/>
      <c r="H36" s="94"/>
      <c r="I36" s="94"/>
      <c r="J36" s="94"/>
      <c r="K36" s="94"/>
      <c r="L36" s="94"/>
    </row>
    <row r="37" spans="1:12" ht="28" customHeight="1">
      <c r="A37" s="94"/>
      <c r="B37" s="94"/>
      <c r="C37" s="94"/>
      <c r="D37" s="94"/>
      <c r="E37" s="94"/>
      <c r="F37" s="94"/>
      <c r="G37" s="94"/>
      <c r="H37" s="94"/>
      <c r="I37" s="94"/>
      <c r="J37" s="94"/>
      <c r="K37" s="94"/>
      <c r="L37" s="94"/>
    </row>
    <row r="38" spans="1:12" ht="16.5">
      <c r="A38" s="71"/>
      <c r="B38" s="71"/>
      <c r="C38" s="138"/>
      <c r="D38" s="138"/>
      <c r="E38" s="71"/>
      <c r="F38" s="71"/>
      <c r="G38" s="71"/>
      <c r="H38" s="71"/>
      <c r="I38" s="138"/>
      <c r="J38" s="138"/>
      <c r="K38" s="138"/>
      <c r="L38" s="138"/>
    </row>
    <row r="39" spans="1:12" ht="16.5">
      <c r="A39" s="71"/>
      <c r="B39" s="71"/>
      <c r="C39" s="138"/>
      <c r="D39" s="138"/>
      <c r="E39" s="71"/>
      <c r="F39" s="71"/>
      <c r="G39" s="71"/>
      <c r="H39" s="71"/>
      <c r="I39" s="138"/>
      <c r="J39" s="138"/>
      <c r="K39" s="138"/>
      <c r="L39" s="138"/>
    </row>
    <row r="40" spans="1:12" ht="16.5">
      <c r="A40" s="71"/>
      <c r="B40" s="71"/>
      <c r="C40" s="138"/>
      <c r="D40" s="138"/>
      <c r="E40" s="71"/>
      <c r="F40" s="71"/>
      <c r="G40" s="71"/>
      <c r="H40" s="71"/>
      <c r="I40" s="138"/>
      <c r="J40" s="138"/>
      <c r="K40" s="138"/>
      <c r="L40" s="138"/>
    </row>
  </sheetData>
  <mergeCells count="18">
    <mergeCell ref="A34:L37"/>
    <mergeCell ref="N7:U7"/>
    <mergeCell ref="I4:J4"/>
    <mergeCell ref="I5:J6"/>
    <mergeCell ref="A9:H9"/>
    <mergeCell ref="J9:L9"/>
    <mergeCell ref="A24:L24"/>
    <mergeCell ref="A33:L33"/>
    <mergeCell ref="A1:L1"/>
    <mergeCell ref="A2:L2"/>
    <mergeCell ref="A4:B4"/>
    <mergeCell ref="A5:B6"/>
    <mergeCell ref="C4:D4"/>
    <mergeCell ref="C5:D6"/>
    <mergeCell ref="E4:F4"/>
    <mergeCell ref="E5:F6"/>
    <mergeCell ref="G4:H4"/>
    <mergeCell ref="G5:H6"/>
  </mergeCells>
  <conditionalFormatting sqref="G11:G21">
    <cfRule type="cellIs" dxfId="98" priority="1" operator="greaterThanOrEqual">
      <formula>0</formula>
    </cfRule>
  </conditionalFormatting>
  <conditionalFormatting sqref="G11:G21">
    <cfRule type="cellIs" dxfId="97" priority="2" operator="between">
      <formula>-0.05</formula>
      <formula>-0.000000001</formula>
    </cfRule>
  </conditionalFormatting>
  <conditionalFormatting sqref="G11:G21">
    <cfRule type="cellIs" dxfId="96" priority="3" operator="lessThan">
      <formula>-0.05</formula>
    </cfRule>
  </conditionalFormatting>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5B950-71A9-4FB4-8612-38730D171CD4}">
  <dimension ref="A1:O35"/>
  <sheetViews>
    <sheetView workbookViewId="0">
      <selection activeCell="L32" sqref="L32"/>
    </sheetView>
  </sheetViews>
  <sheetFormatPr defaultRowHeight="14.5"/>
  <cols>
    <col min="1" max="1" width="12" customWidth="1"/>
    <col min="2" max="2" width="30" customWidth="1"/>
    <col min="3" max="3" width="16.90625" customWidth="1"/>
    <col min="4" max="4" width="16" customWidth="1"/>
    <col min="5" max="5" width="15.453125" customWidth="1"/>
    <col min="6" max="14" width="12" customWidth="1"/>
    <col min="15" max="15" width="22.7265625" customWidth="1"/>
  </cols>
  <sheetData>
    <row r="1" spans="1:15" ht="27.5">
      <c r="A1" s="86" t="s">
        <v>2209</v>
      </c>
      <c r="B1" s="86"/>
      <c r="C1" s="86"/>
      <c r="D1" s="86"/>
      <c r="E1" s="86"/>
      <c r="F1" s="86"/>
      <c r="G1" s="86"/>
      <c r="H1" s="86"/>
      <c r="I1" s="86"/>
      <c r="J1" s="86"/>
      <c r="K1" s="86"/>
      <c r="L1" s="86"/>
      <c r="M1" s="86"/>
      <c r="N1" s="86"/>
      <c r="O1" s="71"/>
    </row>
    <row r="2" spans="1:15" ht="16.5">
      <c r="A2" s="73" t="s">
        <v>2210</v>
      </c>
      <c r="B2" s="73"/>
      <c r="C2" s="73"/>
      <c r="D2" s="73"/>
      <c r="E2" s="73"/>
      <c r="F2" s="73"/>
      <c r="G2" s="73"/>
      <c r="H2" s="73"/>
      <c r="I2" s="73"/>
      <c r="J2" s="73"/>
      <c r="K2" s="73"/>
      <c r="L2" s="73"/>
      <c r="M2" s="73"/>
      <c r="N2" s="73"/>
      <c r="O2" s="71"/>
    </row>
    <row r="3" spans="1:15" ht="16.5">
      <c r="A3" s="71"/>
      <c r="B3" s="71"/>
      <c r="C3" s="71"/>
      <c r="D3" s="71"/>
      <c r="E3" s="71"/>
      <c r="F3" s="71"/>
      <c r="G3" s="71"/>
      <c r="H3" s="71"/>
      <c r="I3" s="71"/>
      <c r="J3" s="71"/>
      <c r="K3" s="71"/>
      <c r="L3" s="71"/>
      <c r="M3" s="71"/>
      <c r="N3" s="71"/>
      <c r="O3" s="71"/>
    </row>
    <row r="4" spans="1:15" ht="16.5">
      <c r="A4" s="116" t="s">
        <v>2211</v>
      </c>
      <c r="B4" s="116"/>
      <c r="C4" s="71"/>
      <c r="D4" s="120" t="s">
        <v>2213</v>
      </c>
      <c r="E4" s="120"/>
      <c r="F4" s="71"/>
      <c r="G4" s="124" t="s">
        <v>2215</v>
      </c>
      <c r="H4" s="124"/>
      <c r="I4" s="71"/>
      <c r="J4" s="116" t="s">
        <v>2216</v>
      </c>
      <c r="K4" s="116"/>
      <c r="L4" s="71"/>
      <c r="M4" s="129" t="s">
        <v>2176</v>
      </c>
      <c r="N4" s="129"/>
      <c r="O4" s="71"/>
    </row>
    <row r="5" spans="1:15" ht="16.5">
      <c r="A5" s="117" cm="1">
        <f t="array" ref="A5">SUM(SUMIFS(FactBudget_2027[BudsjettBelop],FactBudget_2027[Konto],{3900,3670,3600,3630,3400,3420}))</f>
        <v>286069999.80000001</v>
      </c>
      <c r="B5" s="118"/>
      <c r="C5" s="71"/>
      <c r="D5" s="121">
        <f>SUM(FactBudget_2027[BudsjettBelop])-A5</f>
        <v>282000000.11999995</v>
      </c>
      <c r="E5" s="122"/>
      <c r="F5" s="71"/>
      <c r="G5" s="125">
        <f>A5-D5</f>
        <v>4069999.6800000668</v>
      </c>
      <c r="H5" s="126"/>
      <c r="I5" s="71"/>
      <c r="J5" s="128" cm="1">
        <f t="array" ref="J5">SUM(SUMIFS(FactBudget_2027[BudsjettBelop],FactBudget_2027[Konto],{5000,5400}))/A5</f>
        <v>0.66766875342934862</v>
      </c>
      <c r="K5" s="118"/>
      <c r="L5" s="71"/>
      <c r="M5" s="130">
        <f>SUMIFS(FactStudents_2027[RegistrerteStudenter],FactStudents_2027[DatoNokkel],20271031)</f>
        <v>3450</v>
      </c>
      <c r="N5" s="131"/>
      <c r="O5" s="71"/>
    </row>
    <row r="6" spans="1:15" ht="16.5">
      <c r="A6" s="118"/>
      <c r="B6" s="118"/>
      <c r="C6" s="71"/>
      <c r="D6" s="122"/>
      <c r="E6" s="122"/>
      <c r="F6" s="71"/>
      <c r="G6" s="126"/>
      <c r="H6" s="126"/>
      <c r="I6" s="71"/>
      <c r="J6" s="118"/>
      <c r="K6" s="118"/>
      <c r="L6" s="71"/>
      <c r="M6" s="131"/>
      <c r="N6" s="131"/>
      <c r="O6" s="71"/>
    </row>
    <row r="7" spans="1:15" ht="16.5">
      <c r="A7" s="119" t="s">
        <v>2212</v>
      </c>
      <c r="B7" s="119"/>
      <c r="C7" s="71"/>
      <c r="D7" s="123" t="s">
        <v>2214</v>
      </c>
      <c r="E7" s="123"/>
      <c r="F7" s="71"/>
      <c r="G7" s="127" t="s">
        <v>2251</v>
      </c>
      <c r="H7" s="127"/>
      <c r="I7" s="71"/>
      <c r="J7" s="119" t="s">
        <v>2217</v>
      </c>
      <c r="K7" s="119"/>
      <c r="L7" s="71"/>
      <c r="M7" s="132" t="s">
        <v>2218</v>
      </c>
      <c r="N7" s="132"/>
      <c r="O7" s="71"/>
    </row>
    <row r="8" spans="1:15" ht="16.5">
      <c r="A8" s="71"/>
      <c r="B8" s="71"/>
      <c r="C8" s="71"/>
      <c r="D8" s="71"/>
      <c r="E8" s="71"/>
      <c r="F8" s="71"/>
      <c r="G8" s="71"/>
      <c r="H8" s="71"/>
      <c r="I8" s="71"/>
      <c r="J8" s="71"/>
      <c r="K8" s="71"/>
      <c r="L8" s="71"/>
      <c r="M8" s="71"/>
      <c r="N8" s="71"/>
      <c r="O8" s="71"/>
    </row>
    <row r="9" spans="1:15" ht="16.5">
      <c r="A9" s="71"/>
      <c r="B9" s="71"/>
      <c r="C9" s="71"/>
      <c r="D9" s="71"/>
      <c r="E9" s="71"/>
      <c r="F9" s="71"/>
      <c r="G9" s="71"/>
      <c r="H9" s="71"/>
      <c r="I9" s="71"/>
      <c r="J9" s="71"/>
      <c r="K9" s="71"/>
      <c r="L9" s="71"/>
      <c r="M9" s="71"/>
      <c r="N9" s="71"/>
      <c r="O9" s="71"/>
    </row>
    <row r="10" spans="1:15" ht="16.5">
      <c r="A10" s="83" t="s">
        <v>2219</v>
      </c>
      <c r="B10" s="83"/>
      <c r="C10" s="83"/>
      <c r="D10" s="83"/>
      <c r="E10" s="83"/>
      <c r="F10" s="83"/>
      <c r="G10" s="83"/>
      <c r="H10" s="83"/>
      <c r="I10" s="83"/>
      <c r="J10" s="70"/>
      <c r="K10" s="83"/>
      <c r="L10" s="83"/>
      <c r="M10" s="83"/>
      <c r="N10" s="83"/>
      <c r="O10" s="83"/>
    </row>
    <row r="11" spans="1:15" ht="16.5">
      <c r="A11" s="71" t="s">
        <v>991</v>
      </c>
      <c r="B11" s="71" t="s">
        <v>2186</v>
      </c>
      <c r="C11" s="71" t="s">
        <v>2220</v>
      </c>
      <c r="D11" s="71" t="s">
        <v>2221</v>
      </c>
      <c r="E11" s="71" t="s">
        <v>2222</v>
      </c>
      <c r="F11" s="71" t="s">
        <v>2223</v>
      </c>
      <c r="G11" s="71" t="s">
        <v>2196</v>
      </c>
      <c r="H11" s="71" t="s">
        <v>2224</v>
      </c>
      <c r="I11" s="71" t="s">
        <v>1143</v>
      </c>
      <c r="J11" s="71"/>
      <c r="K11" s="71" t="s">
        <v>2202</v>
      </c>
      <c r="L11" s="71" t="s">
        <v>2186</v>
      </c>
      <c r="M11" s="71" t="s">
        <v>2225</v>
      </c>
      <c r="N11" s="71" t="s">
        <v>977</v>
      </c>
      <c r="O11" s="71" t="s">
        <v>2226</v>
      </c>
    </row>
    <row r="12" spans="1:15" ht="16.5">
      <c r="A12" s="71" t="s">
        <v>600</v>
      </c>
      <c r="B12" s="71" t="s">
        <v>2200</v>
      </c>
      <c r="C12" s="87" cm="1">
        <f t="array" ref="C12">SUM(SUMIFS(FactBudget_2027[BudsjettBelop],FactBudget_2027[OrgKode],A12,FactBudget_2027[Konto],{3900,3670,3600,3630,3400,3420}))</f>
        <v>14769849.960000001</v>
      </c>
      <c r="D12" s="87">
        <f>SUMIFS(FactBudget_2027[BudsjettBelop],FactBudget_2027[OrgKode],A12)-C12</f>
        <v>14499999.959999979</v>
      </c>
      <c r="E12" s="133">
        <f>C12-D12</f>
        <v>269850.00000002235</v>
      </c>
      <c r="F12" s="90">
        <f>SUMIFS(FactFTE_2027[Aarsverk_Totalt],FactFTE_2027[OrgKode],A12,FactFTE_2027[DatoNokkel],20271231)</f>
        <v>28.95</v>
      </c>
      <c r="G12" s="90">
        <f>SUMIFS(FactFTE_2027[Aarsverk_UF],FactFTE_2027[OrgKode],A12,FactFTE_2027[DatoNokkel],20271231)</f>
        <v>5</v>
      </c>
      <c r="H12" s="93">
        <f>SUMIFS(FactStudents_2027[RegistrerteStudenter],FactStudents_2027[OrgKode],A12,FactStudents_2027[DatoNokkel],20271031)</f>
        <v>0</v>
      </c>
      <c r="I12" s="93">
        <f>SUMIFS(FactStudents_2027[SPE60],FactStudents_2027[OrgKode],A12,FactStudents_2027[DatoNokkel],20271031)</f>
        <v>0</v>
      </c>
      <c r="J12" s="71"/>
      <c r="K12" s="71" t="s">
        <v>2227</v>
      </c>
      <c r="L12" s="71" t="s">
        <v>600</v>
      </c>
      <c r="M12" s="87">
        <v>1800000</v>
      </c>
      <c r="N12" s="108" t="s">
        <v>1055</v>
      </c>
      <c r="O12" s="71" t="s">
        <v>2228</v>
      </c>
    </row>
    <row r="13" spans="1:15" ht="16.5">
      <c r="A13" s="71" t="s">
        <v>606</v>
      </c>
      <c r="B13" s="71" t="s">
        <v>2189</v>
      </c>
      <c r="C13" s="87" cm="1">
        <f t="array" ref="C13">SUM(SUMIFS(FactBudget_2027[BudsjettBelop],FactBudget_2027[OrgKode],A13,FactBudget_2027[Konto],{3900,3670,3600,3630,3400,3420}))</f>
        <v>80000000.040000007</v>
      </c>
      <c r="D13" s="87">
        <f>SUMIFS(FactBudget_2027[BudsjettBelop],FactBudget_2027[OrgKode],A13)-C13</f>
        <v>77999999.999999985</v>
      </c>
      <c r="E13" s="133">
        <f>C13-D13</f>
        <v>2000000.0400000215</v>
      </c>
      <c r="F13" s="90">
        <f>SUMIFS(FactFTE_2027[Aarsverk_Totalt],FactFTE_2027[OrgKode],A13,FactFTE_2027[DatoNokkel],20271231)</f>
        <v>60.79</v>
      </c>
      <c r="G13" s="90">
        <f>SUMIFS(FactFTE_2027[Aarsverk_UF],FactFTE_2027[OrgKode],A13,FactFTE_2027[DatoNokkel],20271231)</f>
        <v>45</v>
      </c>
      <c r="H13" s="93">
        <f>SUMIFS(FactStudents_2027[RegistrerteStudenter],FactStudents_2027[OrgKode],A13,FactStudents_2027[DatoNokkel],20271031)</f>
        <v>1150</v>
      </c>
      <c r="I13" s="93">
        <f>SUMIFS(FactStudents_2027[SPE60],FactStudents_2027[OrgKode],A13,FactStudents_2027[DatoNokkel],20271031)</f>
        <v>1050</v>
      </c>
      <c r="J13" s="71"/>
      <c r="K13" s="71" t="s">
        <v>2229</v>
      </c>
      <c r="L13" s="71" t="s">
        <v>616</v>
      </c>
      <c r="M13" s="87">
        <v>1500000</v>
      </c>
      <c r="N13" s="108" t="s">
        <v>1059</v>
      </c>
      <c r="O13" s="71" t="s">
        <v>2230</v>
      </c>
    </row>
    <row r="14" spans="1:15" ht="16.5">
      <c r="A14" s="71" t="s">
        <v>611</v>
      </c>
      <c r="B14" s="71" t="s">
        <v>2190</v>
      </c>
      <c r="C14" s="87" cm="1">
        <f t="array" ref="C14">SUM(SUMIFS(FactBudget_2027[BudsjettBelop],FactBudget_2027[OrgKode],A14,FactBudget_2027[Konto],{3900,3670,3600,3630,3400,3420}))</f>
        <v>61999999.919999987</v>
      </c>
      <c r="D14" s="87">
        <f>SUMIFS(FactBudget_2027[BudsjettBelop],FactBudget_2027[OrgKode],A14)-C14</f>
        <v>60999999.959999949</v>
      </c>
      <c r="E14" s="133">
        <f>C14-D14</f>
        <v>999999.96000003815</v>
      </c>
      <c r="F14" s="90">
        <f>SUMIFS(FactFTE_2027[Aarsverk_Totalt],FactFTE_2027[OrgKode],A14,FactFTE_2027[DatoNokkel],20271231)</f>
        <v>48.25</v>
      </c>
      <c r="G14" s="90">
        <f>SUMIFS(FactFTE_2027[Aarsverk_UF],FactFTE_2027[OrgKode],A14,FactFTE_2027[DatoNokkel],20271231)</f>
        <v>38</v>
      </c>
      <c r="H14" s="93">
        <f>SUMIFS(FactStudents_2027[RegistrerteStudenter],FactStudents_2027[OrgKode],A14,FactStudents_2027[DatoNokkel],20271031)</f>
        <v>850</v>
      </c>
      <c r="I14" s="93">
        <f>SUMIFS(FactStudents_2027[SPE60],FactStudents_2027[OrgKode],A14,FactStudents_2027[DatoNokkel],20271031)</f>
        <v>788</v>
      </c>
      <c r="J14" s="71"/>
      <c r="K14" s="71" t="s">
        <v>2231</v>
      </c>
      <c r="L14" s="71" t="s">
        <v>606</v>
      </c>
      <c r="M14" s="87">
        <v>1400000</v>
      </c>
      <c r="N14" s="108" t="s">
        <v>1059</v>
      </c>
      <c r="O14" s="71" t="s">
        <v>2232</v>
      </c>
    </row>
    <row r="15" spans="1:15" ht="16.5">
      <c r="A15" s="71" t="s">
        <v>616</v>
      </c>
      <c r="B15" s="71" t="s">
        <v>2191</v>
      </c>
      <c r="C15" s="87" cm="1">
        <f t="array" ref="C15">SUM(SUMIFS(FactBudget_2027[BudsjettBelop],FactBudget_2027[OrgKode],A15,FactBudget_2027[Konto],{3900,3670,3600,3630,3400,3420}))</f>
        <v>129300149.87999998</v>
      </c>
      <c r="D15" s="87">
        <f>SUMIFS(FactBudget_2027[BudsjettBelop],FactBudget_2027[OrgKode],A15)-C15</f>
        <v>128500000.19999988</v>
      </c>
      <c r="E15" s="133">
        <f>C15-D15</f>
        <v>800149.68000009656</v>
      </c>
      <c r="F15" s="90">
        <f>SUMIFS(FactFTE_2027[Aarsverk_Totalt],FactFTE_2027[OrgKode],A15,FactFTE_2027[DatoNokkel],20271231)</f>
        <v>83.95</v>
      </c>
      <c r="G15" s="90">
        <f>SUMIFS(FactFTE_2027[Aarsverk_UF],FactFTE_2027[OrgKode],A15,FactFTE_2027[DatoNokkel],20271231)</f>
        <v>67</v>
      </c>
      <c r="H15" s="93">
        <f>SUMIFS(FactStudents_2027[RegistrerteStudenter],FactStudents_2027[OrgKode],A15,FactStudents_2027[DatoNokkel],20271031)</f>
        <v>1450</v>
      </c>
      <c r="I15" s="93">
        <f>SUMIFS(FactStudents_2027[SPE60],FactStudents_2027[OrgKode],A15,FactStudents_2027[DatoNokkel],20271031)</f>
        <v>1315</v>
      </c>
      <c r="J15" s="71"/>
      <c r="K15" s="71" t="s">
        <v>2233</v>
      </c>
      <c r="L15" s="71" t="s">
        <v>616</v>
      </c>
      <c r="M15" s="87">
        <v>1800000</v>
      </c>
      <c r="N15" s="108" t="s">
        <v>1059</v>
      </c>
      <c r="O15" s="71" t="s">
        <v>2234</v>
      </c>
    </row>
    <row r="16" spans="1:15" ht="16.5">
      <c r="A16" s="71"/>
      <c r="B16" s="71"/>
      <c r="C16" s="71"/>
      <c r="D16" s="71"/>
      <c r="E16" s="71"/>
      <c r="F16" s="71"/>
      <c r="G16" s="71"/>
      <c r="H16" s="71"/>
      <c r="I16" s="71"/>
      <c r="J16" s="71"/>
      <c r="K16" s="71"/>
      <c r="L16" s="71"/>
      <c r="M16" s="71"/>
      <c r="N16" s="71"/>
      <c r="O16" s="71"/>
    </row>
    <row r="17" spans="1:15" ht="16.5">
      <c r="A17" s="135" t="s">
        <v>2256</v>
      </c>
      <c r="B17" s="135"/>
      <c r="C17" s="135"/>
      <c r="D17" s="135"/>
      <c r="E17" s="135"/>
      <c r="F17" s="135"/>
      <c r="G17" s="135"/>
      <c r="H17" s="135"/>
      <c r="I17" s="135"/>
      <c r="J17" s="71"/>
      <c r="K17" s="71"/>
      <c r="L17" s="71"/>
      <c r="M17" s="71"/>
      <c r="N17" s="71"/>
      <c r="O17" s="71"/>
    </row>
    <row r="18" spans="1:15" ht="16.5">
      <c r="A18" s="83" t="s">
        <v>2235</v>
      </c>
      <c r="B18" s="83"/>
      <c r="C18" s="83"/>
      <c r="D18" s="83"/>
      <c r="E18" s="83"/>
      <c r="F18" s="83"/>
      <c r="G18" s="83"/>
      <c r="H18" s="83"/>
      <c r="I18" s="83"/>
      <c r="J18" s="71"/>
      <c r="K18" s="83" t="s">
        <v>2236</v>
      </c>
      <c r="L18" s="83"/>
      <c r="M18" s="83"/>
      <c r="N18" s="83"/>
      <c r="O18" s="83"/>
    </row>
    <row r="19" spans="1:15" ht="28" customHeight="1">
      <c r="A19" s="71"/>
      <c r="B19" s="71"/>
      <c r="C19" s="71"/>
      <c r="D19" s="71"/>
      <c r="E19" s="71"/>
      <c r="F19" s="71"/>
      <c r="G19" s="71"/>
      <c r="H19" s="71"/>
      <c r="I19" s="71"/>
      <c r="J19" s="71"/>
      <c r="K19" s="94" t="s">
        <v>2237</v>
      </c>
      <c r="L19" s="94"/>
      <c r="M19" s="94"/>
      <c r="N19" s="94"/>
      <c r="O19" s="94"/>
    </row>
    <row r="20" spans="1:15" ht="28" customHeight="1">
      <c r="A20" s="71"/>
      <c r="B20" s="71"/>
      <c r="C20" s="71"/>
      <c r="D20" s="71"/>
      <c r="E20" s="71"/>
      <c r="F20" s="71"/>
      <c r="G20" s="71"/>
      <c r="H20" s="71"/>
      <c r="I20" s="71"/>
      <c r="J20" s="71"/>
      <c r="K20" s="94"/>
      <c r="L20" s="94"/>
      <c r="M20" s="94"/>
      <c r="N20" s="94"/>
      <c r="O20" s="94"/>
    </row>
    <row r="21" spans="1:15" ht="28" customHeight="1">
      <c r="A21" s="71"/>
      <c r="B21" s="71"/>
      <c r="C21" s="71"/>
      <c r="D21" s="71"/>
      <c r="E21" s="71"/>
      <c r="F21" s="71"/>
      <c r="G21" s="71"/>
      <c r="H21" s="71"/>
      <c r="I21" s="71"/>
      <c r="J21" s="71"/>
      <c r="K21" s="94"/>
      <c r="L21" s="94"/>
      <c r="M21" s="94"/>
      <c r="N21" s="94"/>
      <c r="O21" s="94"/>
    </row>
    <row r="22" spans="1:15" ht="28" customHeight="1">
      <c r="A22" s="71"/>
      <c r="B22" s="71"/>
      <c r="C22" s="71"/>
      <c r="D22" s="71"/>
      <c r="E22" s="71"/>
      <c r="F22" s="71"/>
      <c r="G22" s="71"/>
      <c r="H22" s="71"/>
      <c r="I22" s="71"/>
      <c r="J22" s="71"/>
      <c r="K22" s="94"/>
      <c r="L22" s="94"/>
      <c r="M22" s="94"/>
      <c r="N22" s="94"/>
      <c r="O22" s="94"/>
    </row>
    <row r="23" spans="1:15" ht="28" customHeight="1">
      <c r="A23" s="71"/>
      <c r="B23" s="71"/>
      <c r="C23" s="71"/>
      <c r="D23" s="71"/>
      <c r="E23" s="71"/>
      <c r="F23" s="71"/>
      <c r="G23" s="71"/>
      <c r="H23" s="71"/>
      <c r="I23" s="71"/>
      <c r="J23" s="71"/>
      <c r="K23" s="94"/>
      <c r="L23" s="94"/>
      <c r="M23" s="94"/>
      <c r="N23" s="94"/>
      <c r="O23" s="94"/>
    </row>
    <row r="24" spans="1:15" ht="28" customHeight="1">
      <c r="A24" s="71"/>
      <c r="B24" s="71"/>
      <c r="C24" s="71"/>
      <c r="D24" s="71"/>
      <c r="E24" s="71"/>
      <c r="F24" s="71"/>
      <c r="G24" s="71"/>
      <c r="H24" s="71"/>
      <c r="I24" s="71"/>
      <c r="J24" s="71"/>
      <c r="K24" s="94"/>
      <c r="L24" s="94"/>
      <c r="M24" s="94"/>
      <c r="N24" s="94"/>
      <c r="O24" s="94"/>
    </row>
    <row r="25" spans="1:15" ht="28" customHeight="1">
      <c r="A25" s="71"/>
      <c r="B25" s="71"/>
      <c r="C25" s="71"/>
      <c r="D25" s="71"/>
      <c r="E25" s="71"/>
      <c r="F25" s="71"/>
      <c r="G25" s="71"/>
      <c r="H25" s="71"/>
      <c r="I25" s="71"/>
      <c r="J25" s="71"/>
      <c r="K25" s="94"/>
      <c r="L25" s="94"/>
      <c r="M25" s="94"/>
      <c r="N25" s="94"/>
      <c r="O25" s="94"/>
    </row>
    <row r="26" spans="1:15" ht="16.5">
      <c r="A26" s="71"/>
      <c r="B26" s="71"/>
      <c r="C26" s="71"/>
      <c r="D26" s="71"/>
      <c r="E26" s="71"/>
      <c r="F26" s="71"/>
      <c r="G26" s="71"/>
      <c r="H26" s="71"/>
      <c r="I26" s="71"/>
      <c r="J26" s="71"/>
      <c r="K26" s="71"/>
      <c r="L26" s="71"/>
      <c r="M26" s="71"/>
      <c r="N26" s="71"/>
      <c r="O26" s="71"/>
    </row>
    <row r="27" spans="1:15" ht="16.5">
      <c r="A27" s="71"/>
      <c r="B27" s="71"/>
      <c r="C27" s="71"/>
      <c r="D27" s="71"/>
      <c r="E27" s="71"/>
      <c r="F27" s="71"/>
      <c r="G27" s="71"/>
      <c r="H27" s="71"/>
      <c r="I27" s="71"/>
      <c r="J27" s="71"/>
      <c r="K27" s="71"/>
      <c r="L27" s="71"/>
      <c r="M27" s="71"/>
      <c r="N27" s="71"/>
      <c r="O27" s="71"/>
    </row>
    <row r="28" spans="1:15" ht="16.5">
      <c r="A28" s="71"/>
      <c r="B28" s="71"/>
      <c r="C28" s="71"/>
      <c r="D28" s="71"/>
      <c r="E28" s="71"/>
      <c r="F28" s="71"/>
      <c r="G28" s="71"/>
      <c r="H28" s="71"/>
      <c r="I28" s="71"/>
      <c r="J28" s="71"/>
      <c r="K28" s="71"/>
      <c r="L28" s="71"/>
      <c r="M28" s="71"/>
      <c r="N28" s="71"/>
      <c r="O28" s="71"/>
    </row>
    <row r="29" spans="1:15" ht="16.5">
      <c r="A29" s="71"/>
      <c r="B29" s="71"/>
      <c r="C29" s="71"/>
      <c r="D29" s="71"/>
      <c r="E29" s="71"/>
      <c r="F29" s="71"/>
      <c r="G29" s="71"/>
      <c r="H29" s="71"/>
      <c r="I29" s="71"/>
      <c r="J29" s="71"/>
      <c r="K29" s="71"/>
      <c r="L29" s="71"/>
      <c r="M29" s="71"/>
      <c r="N29" s="71"/>
      <c r="O29" s="71"/>
    </row>
    <row r="30" spans="1:15" ht="16.5">
      <c r="A30" s="71"/>
      <c r="B30" s="71"/>
      <c r="C30" s="71"/>
      <c r="D30" s="71"/>
      <c r="E30" s="71"/>
      <c r="F30" s="71"/>
      <c r="G30" s="71"/>
      <c r="H30" s="71"/>
      <c r="I30" s="71"/>
      <c r="J30" s="71"/>
      <c r="K30" s="71"/>
      <c r="L30" s="71"/>
      <c r="M30" s="71"/>
      <c r="N30" s="71"/>
      <c r="O30" s="71"/>
    </row>
    <row r="31" spans="1:15" ht="16.5">
      <c r="A31" s="71"/>
      <c r="B31" s="71"/>
      <c r="C31" s="71"/>
      <c r="D31" s="71"/>
      <c r="E31" s="71"/>
      <c r="F31" s="71"/>
      <c r="G31" s="71"/>
      <c r="H31" s="71"/>
      <c r="I31" s="71"/>
      <c r="J31" s="71"/>
      <c r="K31" s="71"/>
      <c r="L31" s="71"/>
      <c r="M31" s="71"/>
      <c r="N31" s="71"/>
      <c r="O31" s="71"/>
    </row>
    <row r="32" spans="1:15" ht="16.5">
      <c r="A32" s="71"/>
      <c r="B32" s="71"/>
      <c r="C32" s="71"/>
      <c r="D32" s="71"/>
      <c r="E32" s="71"/>
      <c r="F32" s="71"/>
      <c r="G32" s="71"/>
      <c r="H32" s="71"/>
      <c r="I32" s="71"/>
      <c r="J32" s="71"/>
      <c r="K32" s="71"/>
      <c r="L32" s="71"/>
      <c r="M32" s="71"/>
      <c r="N32" s="71"/>
      <c r="O32" s="71"/>
    </row>
    <row r="33" spans="1:15" ht="16.5">
      <c r="A33" s="71"/>
      <c r="B33" s="71"/>
      <c r="C33" s="71"/>
      <c r="D33" s="71"/>
      <c r="E33" s="71"/>
      <c r="F33" s="71"/>
      <c r="G33" s="71"/>
      <c r="H33" s="71"/>
      <c r="I33" s="71"/>
      <c r="J33" s="71"/>
      <c r="K33" s="71"/>
      <c r="L33" s="71"/>
      <c r="M33" s="71"/>
      <c r="N33" s="71"/>
      <c r="O33" s="71"/>
    </row>
    <row r="34" spans="1:15" ht="16.5">
      <c r="A34" s="71"/>
      <c r="B34" s="71"/>
      <c r="C34" s="71"/>
      <c r="D34" s="71"/>
      <c r="E34" s="71"/>
      <c r="F34" s="71"/>
      <c r="G34" s="71"/>
      <c r="H34" s="71"/>
      <c r="I34" s="71"/>
      <c r="J34" s="71"/>
      <c r="K34" s="71"/>
      <c r="L34" s="71"/>
      <c r="M34" s="71"/>
      <c r="N34" s="71"/>
      <c r="O34" s="71"/>
    </row>
    <row r="35" spans="1:15" ht="16.5" customHeight="1">
      <c r="A35" s="134" t="s">
        <v>2254</v>
      </c>
      <c r="B35" s="134"/>
      <c r="C35" s="134"/>
      <c r="D35" s="134"/>
      <c r="E35" s="134"/>
      <c r="F35" s="134"/>
      <c r="G35" s="134"/>
      <c r="H35" s="134"/>
      <c r="I35" s="134"/>
      <c r="J35" s="134"/>
      <c r="K35" s="134"/>
      <c r="L35" s="134"/>
      <c r="M35" s="134"/>
      <c r="N35" s="134"/>
      <c r="O35" s="134"/>
    </row>
  </sheetData>
  <mergeCells count="24">
    <mergeCell ref="A35:O35"/>
    <mergeCell ref="A17:I17"/>
    <mergeCell ref="A10:I10"/>
    <mergeCell ref="J10:O10"/>
    <mergeCell ref="A18:I18"/>
    <mergeCell ref="K18:O18"/>
    <mergeCell ref="K19:O25"/>
    <mergeCell ref="G7:H7"/>
    <mergeCell ref="J4:K4"/>
    <mergeCell ref="J5:K6"/>
    <mergeCell ref="J7:K7"/>
    <mergeCell ref="M4:N4"/>
    <mergeCell ref="M5:N6"/>
    <mergeCell ref="M7:N7"/>
    <mergeCell ref="A1:N1"/>
    <mergeCell ref="A2:N2"/>
    <mergeCell ref="A4:B4"/>
    <mergeCell ref="A5:B6"/>
    <mergeCell ref="A7:B7"/>
    <mergeCell ref="D4:E4"/>
    <mergeCell ref="D5:E6"/>
    <mergeCell ref="D7:E7"/>
    <mergeCell ref="G4:H4"/>
    <mergeCell ref="G5:H6"/>
  </mergeCells>
  <conditionalFormatting sqref="E12:E15">
    <cfRule type="cellIs" dxfId="110" priority="1" operator="greaterThanOrEqual">
      <formula>0</formula>
    </cfRule>
  </conditionalFormatting>
  <conditionalFormatting sqref="E12:E15">
    <cfRule type="cellIs" dxfId="109" priority="2" operator="between">
      <formula>-6400000</formula>
      <formula>-0.01</formula>
    </cfRule>
  </conditionalFormatting>
  <conditionalFormatting sqref="E12:E15">
    <cfRule type="cellIs" dxfId="108" priority="3" operator="lessThan">
      <formula>-6400000</formula>
    </cfRule>
  </conditionalFormatting>
  <conditionalFormatting sqref="A5:B6">
    <cfRule type="cellIs" dxfId="107" priority="4" operator="greaterThanOrEqual">
      <formula>288070000</formula>
    </cfRule>
  </conditionalFormatting>
  <conditionalFormatting sqref="A5:B6">
    <cfRule type="cellIs" dxfId="106" priority="5" operator="between">
      <formula>273666500</formula>
      <formula>288069999.99</formula>
    </cfRule>
  </conditionalFormatting>
  <conditionalFormatting sqref="A5:B6">
    <cfRule type="cellIs" dxfId="105" priority="6" operator="lessThan">
      <formula>273666500</formula>
    </cfRule>
  </conditionalFormatting>
  <conditionalFormatting sqref="G5:H6">
    <cfRule type="cellIs" dxfId="104" priority="7" operator="greaterThanOrEqual">
      <formula>6070000</formula>
    </cfRule>
  </conditionalFormatting>
  <conditionalFormatting sqref="G5:H6">
    <cfRule type="cellIs" dxfId="103" priority="8" operator="between">
      <formula>0</formula>
      <formula>6069999.99</formula>
    </cfRule>
  </conditionalFormatting>
  <conditionalFormatting sqref="G5:H6">
    <cfRule type="cellIs" dxfId="102" priority="9" operator="lessThan">
      <formula>0</formula>
    </cfRule>
  </conditionalFormatting>
  <conditionalFormatting sqref="J5:K6">
    <cfRule type="cellIs" dxfId="101" priority="10" operator="lessThanOrEqual">
      <formula>0.645</formula>
    </cfRule>
  </conditionalFormatting>
  <conditionalFormatting sqref="J5:K6">
    <cfRule type="cellIs" dxfId="100" priority="11" operator="between">
      <formula>0.6450001</formula>
      <formula>0.67</formula>
    </cfRule>
  </conditionalFormatting>
  <conditionalFormatting sqref="J5:K6">
    <cfRule type="cellIs" dxfId="99" priority="12" operator="greaterThan">
      <formula>0.67</formula>
    </cfRule>
  </conditionalFormatting>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E05CE-FDE1-4FC7-9E41-839295684962}">
  <dimension ref="A1:W54"/>
  <sheetViews>
    <sheetView topLeftCell="A37" workbookViewId="0">
      <selection activeCell="L32" sqref="L32"/>
    </sheetView>
  </sheetViews>
  <sheetFormatPr defaultRowHeight="14.5"/>
  <cols>
    <col min="1" max="1" width="19.6328125" style="52" bestFit="1" customWidth="1"/>
    <col min="2" max="4" width="31.81640625" style="52" customWidth="1"/>
    <col min="5" max="7" width="26.36328125" style="52" customWidth="1"/>
    <col min="8" max="8" width="21.6328125" style="52" bestFit="1" customWidth="1"/>
    <col min="9" max="14" width="23.6328125" style="52" customWidth="1"/>
  </cols>
  <sheetData>
    <row r="1" spans="1:14" ht="27.5">
      <c r="A1" s="166" t="s">
        <v>2338</v>
      </c>
      <c r="B1" s="166"/>
      <c r="C1" s="166"/>
      <c r="D1" s="166"/>
      <c r="E1" s="166"/>
      <c r="F1" s="166"/>
      <c r="G1" s="166"/>
      <c r="H1" s="166"/>
      <c r="I1" s="166"/>
      <c r="J1" s="166"/>
      <c r="K1" s="166"/>
      <c r="L1" s="166"/>
      <c r="M1" s="166"/>
      <c r="N1" s="166"/>
    </row>
    <row r="2" spans="1:14" ht="16.5">
      <c r="A2" s="167" t="s">
        <v>2339</v>
      </c>
      <c r="B2" s="167"/>
      <c r="C2" s="167"/>
      <c r="D2" s="167"/>
      <c r="E2" s="167"/>
      <c r="F2" s="167"/>
      <c r="G2" s="167"/>
      <c r="H2" s="167"/>
      <c r="I2" s="167"/>
      <c r="J2" s="167"/>
      <c r="K2" s="167"/>
      <c r="L2" s="167"/>
      <c r="M2" s="167"/>
      <c r="N2" s="167"/>
    </row>
    <row r="3" spans="1:14" ht="16.5">
      <c r="A3" s="154"/>
      <c r="B3" s="154"/>
      <c r="C3" s="154"/>
      <c r="D3" s="154"/>
      <c r="E3" s="154"/>
      <c r="F3" s="154"/>
      <c r="G3" s="154"/>
      <c r="H3" s="154"/>
      <c r="I3" s="154"/>
      <c r="J3" s="154"/>
      <c r="K3" s="154"/>
      <c r="L3" s="154"/>
      <c r="M3" s="154"/>
      <c r="N3" s="154"/>
    </row>
    <row r="4" spans="1:14" ht="16.5">
      <c r="A4" s="168" t="s">
        <v>2211</v>
      </c>
      <c r="B4" s="168"/>
      <c r="C4" s="154"/>
      <c r="D4" s="155" t="s">
        <v>2213</v>
      </c>
      <c r="E4" s="155"/>
      <c r="F4" s="154"/>
      <c r="G4" s="91" t="s">
        <v>2341</v>
      </c>
      <c r="H4" s="91"/>
      <c r="I4" s="154"/>
      <c r="J4" s="91" t="s">
        <v>2216</v>
      </c>
      <c r="K4" s="91"/>
      <c r="L4" s="154"/>
      <c r="M4" s="155" t="s">
        <v>2174</v>
      </c>
      <c r="N4" s="155"/>
    </row>
    <row r="5" spans="1:14" ht="16.5">
      <c r="A5" s="169" cm="1">
        <f t="array" ref="A5">SUM(SUMIFS(FactBudget_2027[BudsjettBelop],FactBudget_2027[Konto],{3900,3670,3600,3630,3400,3420}))</f>
        <v>286069999.80000001</v>
      </c>
      <c r="B5" s="168"/>
      <c r="C5" s="154"/>
      <c r="D5" s="156">
        <f>SUM(FactBudget_2027[BudsjettBelop])-A5</f>
        <v>282000000.11999995</v>
      </c>
      <c r="E5" s="155"/>
      <c r="F5" s="154"/>
      <c r="G5" s="157">
        <f>A5-D5</f>
        <v>4069999.6800000668</v>
      </c>
      <c r="H5" s="91"/>
      <c r="I5" s="154"/>
      <c r="J5" s="158" cm="1">
        <f t="array" ref="J5">SUM(SUMIFS(FactBudget_2027[BudsjettBelop],FactBudget_2027[Konto],{5000,5400}))/A5</f>
        <v>0.66766875342934862</v>
      </c>
      <c r="K5" s="91"/>
      <c r="L5" s="154"/>
      <c r="M5" s="159">
        <f>SUMIFS(FactFTE_2027[Aarsverk_Totalt],FactFTE_2027[DatoNokkel],20271231)</f>
        <v>221.94</v>
      </c>
      <c r="N5" s="155"/>
    </row>
    <row r="6" spans="1:14" ht="16.5">
      <c r="A6" s="168"/>
      <c r="B6" s="168"/>
      <c r="C6" s="154"/>
      <c r="D6" s="155"/>
      <c r="E6" s="155"/>
      <c r="F6" s="154"/>
      <c r="G6" s="91"/>
      <c r="H6" s="91"/>
      <c r="I6" s="154"/>
      <c r="J6" s="91"/>
      <c r="K6" s="91"/>
      <c r="L6" s="154"/>
      <c r="M6" s="155"/>
      <c r="N6" s="155"/>
    </row>
    <row r="7" spans="1:14" ht="16.5">
      <c r="A7" s="168" t="s">
        <v>2212</v>
      </c>
      <c r="B7" s="168"/>
      <c r="C7" s="154"/>
      <c r="D7" s="155" t="s">
        <v>2340</v>
      </c>
      <c r="E7" s="155"/>
      <c r="F7" s="154"/>
      <c r="G7" s="91" t="s">
        <v>2342</v>
      </c>
      <c r="H7" s="91"/>
      <c r="I7" s="154"/>
      <c r="J7" s="91" t="s">
        <v>2343</v>
      </c>
      <c r="K7" s="91"/>
      <c r="L7" s="154"/>
      <c r="M7" s="155" t="s">
        <v>2344</v>
      </c>
      <c r="N7" s="155"/>
    </row>
    <row r="8" spans="1:14" ht="16.5">
      <c r="A8" s="154"/>
      <c r="B8" s="154"/>
      <c r="C8" s="154"/>
      <c r="D8" s="154"/>
      <c r="E8" s="154"/>
      <c r="F8" s="154"/>
      <c r="G8" s="154"/>
      <c r="H8" s="154"/>
      <c r="I8" s="154"/>
      <c r="J8" s="154"/>
      <c r="K8" s="154"/>
      <c r="L8" s="154"/>
      <c r="M8" s="154"/>
      <c r="N8" s="154"/>
    </row>
    <row r="9" spans="1:14" ht="16.5">
      <c r="A9" s="154"/>
      <c r="B9" s="154"/>
      <c r="C9" s="154"/>
      <c r="D9" s="154"/>
      <c r="E9" s="154"/>
      <c r="F9" s="154"/>
      <c r="G9" s="154"/>
      <c r="H9" s="154"/>
      <c r="I9" s="154"/>
      <c r="J9" s="154"/>
      <c r="K9" s="154"/>
      <c r="L9" s="154"/>
      <c r="M9" s="154"/>
      <c r="N9" s="154"/>
    </row>
    <row r="10" spans="1:14" ht="16.5">
      <c r="A10" s="170" t="s">
        <v>2345</v>
      </c>
      <c r="B10" s="170"/>
      <c r="C10" s="170"/>
      <c r="D10" s="170"/>
      <c r="E10" s="170"/>
      <c r="F10" s="170"/>
      <c r="G10" s="170"/>
      <c r="H10" s="170"/>
      <c r="I10" s="170"/>
      <c r="J10" s="170"/>
      <c r="K10" s="170"/>
      <c r="L10" s="170"/>
      <c r="M10" s="170"/>
      <c r="N10" s="170"/>
    </row>
    <row r="11" spans="1:14" ht="16.5">
      <c r="A11" s="154" t="s">
        <v>2185</v>
      </c>
      <c r="B11" s="154" t="s">
        <v>2346</v>
      </c>
      <c r="C11" s="154" t="s">
        <v>2347</v>
      </c>
      <c r="D11" s="154" t="s">
        <v>2348</v>
      </c>
      <c r="E11" s="154" t="s">
        <v>2349</v>
      </c>
      <c r="F11" s="154" t="s">
        <v>1048</v>
      </c>
      <c r="G11" s="154" t="s">
        <v>2350</v>
      </c>
      <c r="H11" s="154" t="s">
        <v>2351</v>
      </c>
      <c r="I11" s="154" t="s">
        <v>977</v>
      </c>
      <c r="J11" s="154" t="s">
        <v>2199</v>
      </c>
      <c r="K11" s="154" t="s">
        <v>2352</v>
      </c>
      <c r="L11" s="154" t="s">
        <v>2353</v>
      </c>
      <c r="M11" s="154" t="s">
        <v>2354</v>
      </c>
      <c r="N11" s="154" t="s">
        <v>2206</v>
      </c>
    </row>
    <row r="12" spans="1:14" ht="33">
      <c r="A12" s="154">
        <v>1</v>
      </c>
      <c r="B12" s="171">
        <v>46266</v>
      </c>
      <c r="C12" s="154" t="s">
        <v>2355</v>
      </c>
      <c r="D12" s="154" t="s">
        <v>2356</v>
      </c>
      <c r="E12" s="154" t="s">
        <v>2357</v>
      </c>
      <c r="F12" s="154" t="s">
        <v>2358</v>
      </c>
      <c r="G12" s="154" t="s">
        <v>2359</v>
      </c>
      <c r="H12" s="154" t="s">
        <v>2360</v>
      </c>
      <c r="I12" s="154" t="s">
        <v>2361</v>
      </c>
      <c r="J12" s="153" t="s">
        <v>2362</v>
      </c>
      <c r="K12" s="154" t="s">
        <v>2363</v>
      </c>
      <c r="L12" s="154" t="s">
        <v>2364</v>
      </c>
      <c r="M12" s="154" t="s">
        <v>2365</v>
      </c>
      <c r="N12" s="160">
        <v>46302</v>
      </c>
    </row>
    <row r="13" spans="1:14" ht="33">
      <c r="A13" s="154">
        <v>2</v>
      </c>
      <c r="B13" s="154" t="s">
        <v>2366</v>
      </c>
      <c r="C13" s="154" t="s">
        <v>2367</v>
      </c>
      <c r="D13" s="154" t="s">
        <v>2368</v>
      </c>
      <c r="E13" s="154" t="s">
        <v>2369</v>
      </c>
      <c r="F13" s="154" t="s">
        <v>2370</v>
      </c>
      <c r="G13" s="154" t="s">
        <v>2371</v>
      </c>
      <c r="H13" s="154" t="s">
        <v>2372</v>
      </c>
      <c r="I13" s="154" t="s">
        <v>2373</v>
      </c>
      <c r="J13" s="151" t="s">
        <v>2374</v>
      </c>
      <c r="K13" s="154" t="s">
        <v>2375</v>
      </c>
      <c r="L13" s="154" t="s">
        <v>2376</v>
      </c>
      <c r="M13" s="154" t="s">
        <v>2377</v>
      </c>
      <c r="N13" s="160">
        <v>46310</v>
      </c>
    </row>
    <row r="14" spans="1:14" ht="33">
      <c r="A14" s="154">
        <v>3</v>
      </c>
      <c r="B14" s="154" t="s">
        <v>2378</v>
      </c>
      <c r="C14" s="154" t="s">
        <v>2379</v>
      </c>
      <c r="D14" s="154" t="s">
        <v>2380</v>
      </c>
      <c r="E14" s="154" t="s">
        <v>2381</v>
      </c>
      <c r="F14" s="154" t="s">
        <v>2382</v>
      </c>
      <c r="G14" s="154" t="s">
        <v>2383</v>
      </c>
      <c r="H14" s="154" t="s">
        <v>2384</v>
      </c>
      <c r="I14" s="154" t="s">
        <v>2385</v>
      </c>
      <c r="J14" s="152" t="s">
        <v>2386</v>
      </c>
      <c r="K14" s="154" t="s">
        <v>2387</v>
      </c>
      <c r="L14" s="154" t="s">
        <v>2388</v>
      </c>
      <c r="M14" s="154" t="s">
        <v>2389</v>
      </c>
      <c r="N14" s="160">
        <v>46318</v>
      </c>
    </row>
    <row r="15" spans="1:14" ht="49.5">
      <c r="A15" s="154">
        <v>4</v>
      </c>
      <c r="B15" s="154" t="s">
        <v>2390</v>
      </c>
      <c r="C15" s="154" t="s">
        <v>2391</v>
      </c>
      <c r="D15" s="154" t="s">
        <v>2392</v>
      </c>
      <c r="E15" s="154" t="s">
        <v>2393</v>
      </c>
      <c r="F15" s="154" t="s">
        <v>2358</v>
      </c>
      <c r="G15" s="154" t="s">
        <v>2394</v>
      </c>
      <c r="H15" s="154" t="s">
        <v>2395</v>
      </c>
      <c r="I15" s="154" t="s">
        <v>2396</v>
      </c>
      <c r="J15" s="153" t="s">
        <v>2362</v>
      </c>
      <c r="K15" s="154" t="s">
        <v>2397</v>
      </c>
      <c r="L15" s="154" t="s">
        <v>2398</v>
      </c>
      <c r="M15" s="154" t="s">
        <v>2399</v>
      </c>
      <c r="N15" s="160">
        <v>46332</v>
      </c>
    </row>
    <row r="16" spans="1:14" ht="33">
      <c r="A16" s="154">
        <v>5</v>
      </c>
      <c r="B16" s="154" t="s">
        <v>2400</v>
      </c>
      <c r="C16" s="154" t="s">
        <v>2401</v>
      </c>
      <c r="D16" s="154" t="s">
        <v>2402</v>
      </c>
      <c r="E16" s="154" t="s">
        <v>2403</v>
      </c>
      <c r="F16" s="154" t="s">
        <v>2404</v>
      </c>
      <c r="G16" s="154" t="s">
        <v>2405</v>
      </c>
      <c r="H16" s="154" t="s">
        <v>2406</v>
      </c>
      <c r="I16" s="154" t="s">
        <v>2407</v>
      </c>
      <c r="J16" s="151" t="s">
        <v>2374</v>
      </c>
      <c r="K16" s="154" t="s">
        <v>2408</v>
      </c>
      <c r="L16" s="154" t="s">
        <v>2409</v>
      </c>
      <c r="M16" s="154" t="s">
        <v>2410</v>
      </c>
      <c r="N16" s="160">
        <v>46371</v>
      </c>
    </row>
    <row r="17" spans="1:23" ht="33">
      <c r="A17" s="154">
        <v>6</v>
      </c>
      <c r="B17" s="154" t="s">
        <v>2411</v>
      </c>
      <c r="C17" s="154" t="s">
        <v>2412</v>
      </c>
      <c r="D17" s="154" t="s">
        <v>2413</v>
      </c>
      <c r="E17" s="154" t="s">
        <v>2414</v>
      </c>
      <c r="F17" s="154" t="s">
        <v>2415</v>
      </c>
      <c r="G17" s="154" t="s">
        <v>2416</v>
      </c>
      <c r="H17" s="154" t="s">
        <v>2417</v>
      </c>
      <c r="I17" s="154" t="s">
        <v>2418</v>
      </c>
      <c r="J17" s="152" t="s">
        <v>2419</v>
      </c>
      <c r="K17" s="154" t="s">
        <v>2420</v>
      </c>
      <c r="L17" s="154" t="s">
        <v>2421</v>
      </c>
      <c r="M17" s="154" t="s">
        <v>2422</v>
      </c>
      <c r="N17" s="160">
        <v>46397</v>
      </c>
    </row>
    <row r="18" spans="1:23" ht="16.5">
      <c r="A18" s="154"/>
      <c r="B18" s="154"/>
      <c r="C18" s="154"/>
      <c r="D18" s="154"/>
      <c r="E18" s="154"/>
      <c r="F18" s="154"/>
      <c r="G18" s="154"/>
      <c r="H18" s="154"/>
      <c r="I18" s="154"/>
      <c r="J18" s="154"/>
      <c r="K18" s="154"/>
      <c r="L18" s="154"/>
      <c r="M18" s="154"/>
      <c r="N18" s="154"/>
      <c r="P18" s="135" t="s">
        <v>2584</v>
      </c>
      <c r="Q18" s="135"/>
      <c r="R18" s="135"/>
      <c r="S18" s="135"/>
      <c r="T18" s="135"/>
      <c r="U18" s="135"/>
      <c r="V18" s="135"/>
      <c r="W18" s="135"/>
    </row>
    <row r="20" spans="1:23">
      <c r="A20" s="172" t="s">
        <v>2423</v>
      </c>
      <c r="B20" s="172"/>
      <c r="C20" s="172"/>
      <c r="D20" s="172"/>
      <c r="E20" s="172"/>
      <c r="F20" s="172"/>
      <c r="G20" s="172"/>
      <c r="H20" s="172"/>
      <c r="I20" s="172"/>
      <c r="J20" s="172"/>
      <c r="K20" s="172"/>
      <c r="L20" s="172"/>
      <c r="M20" s="172"/>
      <c r="N20" s="172"/>
    </row>
    <row r="21" spans="1:23">
      <c r="A21" s="52" t="s">
        <v>2266</v>
      </c>
      <c r="B21" s="52" t="s">
        <v>2424</v>
      </c>
      <c r="C21" s="52" t="s">
        <v>2425</v>
      </c>
      <c r="D21" s="52" t="s">
        <v>2426</v>
      </c>
      <c r="E21" s="52" t="s">
        <v>2427</v>
      </c>
      <c r="F21" s="52" t="s">
        <v>2428</v>
      </c>
      <c r="G21" s="52" t="s">
        <v>2285</v>
      </c>
      <c r="H21" s="52" t="s">
        <v>2199</v>
      </c>
      <c r="J21" s="52" t="s">
        <v>2468</v>
      </c>
      <c r="K21" s="52" t="s">
        <v>2469</v>
      </c>
      <c r="L21" s="52" t="s">
        <v>2470</v>
      </c>
      <c r="M21" s="52" t="s">
        <v>2160</v>
      </c>
      <c r="N21" s="52" t="s">
        <v>2471</v>
      </c>
    </row>
    <row r="22" spans="1:23" ht="29">
      <c r="A22" s="52" t="s">
        <v>2429</v>
      </c>
      <c r="B22" s="52" t="s">
        <v>2430</v>
      </c>
      <c r="C22" s="52" t="s">
        <v>2431</v>
      </c>
      <c r="D22" s="52" t="s">
        <v>2432</v>
      </c>
      <c r="E22" s="52" t="s">
        <v>2433</v>
      </c>
      <c r="F22" s="52" t="s">
        <v>2434</v>
      </c>
      <c r="G22" s="52" t="s">
        <v>2435</v>
      </c>
      <c r="H22" s="176" t="s">
        <v>2362</v>
      </c>
      <c r="J22" s="52" t="s">
        <v>2220</v>
      </c>
      <c r="K22" s="161">
        <v>286069999.80000001</v>
      </c>
      <c r="L22" s="161">
        <v>288070000</v>
      </c>
      <c r="M22" s="162">
        <v>-2000000.2</v>
      </c>
      <c r="N22" s="52" t="s">
        <v>2472</v>
      </c>
    </row>
    <row r="23" spans="1:23" ht="29">
      <c r="A23" s="52" t="s">
        <v>2436</v>
      </c>
      <c r="B23" s="52" t="s">
        <v>2437</v>
      </c>
      <c r="C23" s="52" t="s">
        <v>2438</v>
      </c>
      <c r="D23" s="52" t="s">
        <v>2439</v>
      </c>
      <c r="E23" s="52" t="s">
        <v>2440</v>
      </c>
      <c r="F23" s="52" t="s">
        <v>2441</v>
      </c>
      <c r="G23" s="52" t="s">
        <v>1003</v>
      </c>
      <c r="H23" s="177" t="s">
        <v>2374</v>
      </c>
      <c r="J23" s="52" t="s">
        <v>2221</v>
      </c>
      <c r="K23" s="161">
        <v>282000000.12</v>
      </c>
      <c r="L23" s="161">
        <v>282000000</v>
      </c>
      <c r="M23" s="162">
        <v>0.12</v>
      </c>
      <c r="N23" s="52" t="s">
        <v>2473</v>
      </c>
    </row>
    <row r="24" spans="1:23" ht="29">
      <c r="A24" s="52" t="s">
        <v>2442</v>
      </c>
      <c r="B24" s="52" t="s">
        <v>2443</v>
      </c>
      <c r="C24" s="52" t="s">
        <v>2444</v>
      </c>
      <c r="D24" s="52" t="s">
        <v>2445</v>
      </c>
      <c r="E24" s="52" t="s">
        <v>2446</v>
      </c>
      <c r="F24" s="52" t="s">
        <v>2447</v>
      </c>
      <c r="G24" s="52" t="s">
        <v>2448</v>
      </c>
      <c r="H24" s="177" t="s">
        <v>2374</v>
      </c>
      <c r="J24" s="52" t="s">
        <v>2474</v>
      </c>
      <c r="K24" s="161">
        <v>4069999.68</v>
      </c>
      <c r="L24" s="161">
        <v>6070000</v>
      </c>
      <c r="M24" s="162">
        <v>-2000000.32</v>
      </c>
      <c r="N24" s="52" t="s">
        <v>2475</v>
      </c>
    </row>
    <row r="25" spans="1:23" ht="29">
      <c r="A25" s="52" t="s">
        <v>2449</v>
      </c>
      <c r="B25" s="52" t="s">
        <v>2450</v>
      </c>
      <c r="C25" s="52" t="s">
        <v>2451</v>
      </c>
      <c r="D25" s="52" t="s">
        <v>2452</v>
      </c>
      <c r="E25" s="52" t="s">
        <v>2453</v>
      </c>
      <c r="F25" s="52" t="s">
        <v>2454</v>
      </c>
      <c r="G25" s="52" t="s">
        <v>2455</v>
      </c>
      <c r="H25" s="176" t="s">
        <v>2362</v>
      </c>
      <c r="J25" s="52" t="s">
        <v>2476</v>
      </c>
      <c r="K25" s="163">
        <v>0.66766875339999998</v>
      </c>
      <c r="L25" s="163">
        <v>0.64500000000000002</v>
      </c>
      <c r="M25" s="163">
        <v>2.2668753400000002E-2</v>
      </c>
      <c r="N25" s="52" t="s">
        <v>2477</v>
      </c>
    </row>
    <row r="26" spans="1:23" ht="29">
      <c r="A26" s="52" t="s">
        <v>2456</v>
      </c>
      <c r="B26" s="52" t="s">
        <v>2457</v>
      </c>
      <c r="C26" s="52" t="s">
        <v>2458</v>
      </c>
      <c r="D26" s="52" t="s">
        <v>2459</v>
      </c>
      <c r="E26" s="52" t="s">
        <v>2460</v>
      </c>
      <c r="F26" s="52" t="s">
        <v>2461</v>
      </c>
      <c r="G26" s="52" t="s">
        <v>1005</v>
      </c>
      <c r="H26" s="176" t="s">
        <v>2362</v>
      </c>
      <c r="J26" s="52" t="s">
        <v>2478</v>
      </c>
      <c r="K26" s="164">
        <v>221.94</v>
      </c>
      <c r="L26" s="164">
        <v>230</v>
      </c>
      <c r="M26" s="165">
        <v>-8.06</v>
      </c>
      <c r="N26" s="52" t="s">
        <v>2479</v>
      </c>
    </row>
    <row r="27" spans="1:23" ht="29">
      <c r="A27" s="52" t="s">
        <v>2462</v>
      </c>
      <c r="B27" s="52" t="s">
        <v>2463</v>
      </c>
      <c r="C27" s="52" t="s">
        <v>2464</v>
      </c>
      <c r="D27" s="52" t="s">
        <v>2465</v>
      </c>
      <c r="E27" s="52" t="s">
        <v>2466</v>
      </c>
      <c r="F27" s="52" t="s">
        <v>2467</v>
      </c>
      <c r="G27" s="52" t="s">
        <v>1003</v>
      </c>
      <c r="H27" s="178" t="s">
        <v>2386</v>
      </c>
    </row>
    <row r="30" spans="1:23">
      <c r="A30" s="172" t="s">
        <v>2480</v>
      </c>
      <c r="B30" s="172"/>
      <c r="C30" s="172"/>
      <c r="D30" s="172"/>
      <c r="E30" s="172"/>
      <c r="F30" s="172"/>
      <c r="G30" s="172"/>
      <c r="H30" s="172"/>
      <c r="I30" s="172"/>
      <c r="J30" s="172"/>
      <c r="K30" s="172"/>
      <c r="L30" s="172"/>
      <c r="M30" s="172"/>
      <c r="N30" s="172"/>
    </row>
    <row r="31" spans="1:23">
      <c r="A31" s="52" t="s">
        <v>2481</v>
      </c>
      <c r="B31" s="52" t="s">
        <v>2482</v>
      </c>
      <c r="C31" s="52" t="s">
        <v>2483</v>
      </c>
      <c r="D31" s="52" t="s">
        <v>2484</v>
      </c>
      <c r="E31" s="52" t="s">
        <v>2485</v>
      </c>
      <c r="F31" s="52" t="s">
        <v>2486</v>
      </c>
      <c r="G31" s="52" t="s">
        <v>2487</v>
      </c>
      <c r="I31" s="52" t="s">
        <v>2136</v>
      </c>
      <c r="J31" s="52" t="s">
        <v>2517</v>
      </c>
      <c r="K31" s="52" t="s">
        <v>2518</v>
      </c>
      <c r="L31" s="52" t="s">
        <v>2519</v>
      </c>
      <c r="M31" s="52" t="s">
        <v>2520</v>
      </c>
      <c r="N31" s="52" t="s">
        <v>2521</v>
      </c>
    </row>
    <row r="32" spans="1:23" ht="29">
      <c r="A32" s="52" t="s">
        <v>2488</v>
      </c>
      <c r="B32" s="52" t="s">
        <v>2489</v>
      </c>
      <c r="C32" s="52" t="s">
        <v>2490</v>
      </c>
      <c r="D32" s="52" t="s">
        <v>2491</v>
      </c>
      <c r="E32" s="52" t="s">
        <v>2492</v>
      </c>
      <c r="F32" s="52" t="s">
        <v>2493</v>
      </c>
      <c r="G32" s="52" t="s">
        <v>2494</v>
      </c>
      <c r="I32" s="52" t="s">
        <v>2474</v>
      </c>
      <c r="J32" s="52" t="s">
        <v>2522</v>
      </c>
      <c r="K32" s="52" t="s">
        <v>2523</v>
      </c>
      <c r="L32" s="52" t="s">
        <v>2524</v>
      </c>
      <c r="M32" s="52" t="s">
        <v>2525</v>
      </c>
      <c r="N32" s="52" t="s">
        <v>2311</v>
      </c>
    </row>
    <row r="33" spans="1:14" ht="29">
      <c r="A33" s="52" t="s">
        <v>1003</v>
      </c>
      <c r="B33" s="52" t="s">
        <v>2495</v>
      </c>
      <c r="C33" s="52" t="s">
        <v>2311</v>
      </c>
      <c r="D33" s="52" t="s">
        <v>2496</v>
      </c>
      <c r="E33" s="52" t="s">
        <v>2497</v>
      </c>
      <c r="F33" s="52" t="s">
        <v>2498</v>
      </c>
      <c r="G33" s="52" t="s">
        <v>2499</v>
      </c>
      <c r="I33" s="52" t="s">
        <v>2526</v>
      </c>
      <c r="J33" s="52" t="s">
        <v>2527</v>
      </c>
      <c r="K33" s="52" t="s">
        <v>2528</v>
      </c>
      <c r="L33" s="52" t="s">
        <v>2529</v>
      </c>
      <c r="M33" s="52" t="s">
        <v>2530</v>
      </c>
      <c r="N33" s="52" t="s">
        <v>2311</v>
      </c>
    </row>
    <row r="34" spans="1:14" ht="29">
      <c r="A34" s="52" t="s">
        <v>2358</v>
      </c>
      <c r="B34" s="52" t="s">
        <v>2500</v>
      </c>
      <c r="C34" s="52" t="s">
        <v>2311</v>
      </c>
      <c r="D34" s="52" t="s">
        <v>2501</v>
      </c>
      <c r="E34" s="52" t="s">
        <v>2502</v>
      </c>
      <c r="F34" s="52" t="s">
        <v>2503</v>
      </c>
      <c r="G34" s="52" t="s">
        <v>2504</v>
      </c>
      <c r="I34" s="52" t="s">
        <v>2531</v>
      </c>
      <c r="J34" s="52" t="s">
        <v>2532</v>
      </c>
      <c r="K34" s="52" t="s">
        <v>2533</v>
      </c>
      <c r="L34" s="52" t="s">
        <v>2534</v>
      </c>
      <c r="M34" s="52" t="s">
        <v>2535</v>
      </c>
      <c r="N34" s="52" t="s">
        <v>2311</v>
      </c>
    </row>
    <row r="35" spans="1:14">
      <c r="A35" s="52" t="s">
        <v>2382</v>
      </c>
      <c r="B35" s="52" t="s">
        <v>2505</v>
      </c>
      <c r="C35" s="52" t="s">
        <v>2311</v>
      </c>
      <c r="D35" s="52" t="s">
        <v>2506</v>
      </c>
      <c r="E35" s="52" t="s">
        <v>2507</v>
      </c>
      <c r="F35" s="52" t="s">
        <v>2508</v>
      </c>
      <c r="G35" s="52" t="s">
        <v>2509</v>
      </c>
      <c r="I35" s="52" t="s">
        <v>2536</v>
      </c>
      <c r="J35" s="52" t="s">
        <v>2537</v>
      </c>
      <c r="K35" s="52" t="s">
        <v>2538</v>
      </c>
      <c r="L35" s="52" t="s">
        <v>2539</v>
      </c>
      <c r="M35" s="52" t="s">
        <v>2540</v>
      </c>
      <c r="N35" s="52" t="s">
        <v>2541</v>
      </c>
    </row>
    <row r="36" spans="1:14" ht="29">
      <c r="A36" s="52" t="s">
        <v>2510</v>
      </c>
      <c r="B36" s="52" t="s">
        <v>2511</v>
      </c>
      <c r="C36" s="52" t="s">
        <v>2512</v>
      </c>
      <c r="D36" s="52" t="s">
        <v>2513</v>
      </c>
      <c r="E36" s="52" t="s">
        <v>2514</v>
      </c>
      <c r="F36" s="52" t="s">
        <v>2515</v>
      </c>
      <c r="G36" s="52" t="s">
        <v>2516</v>
      </c>
      <c r="I36" s="52" t="s">
        <v>2542</v>
      </c>
      <c r="J36" s="52" t="s">
        <v>2543</v>
      </c>
      <c r="K36" s="52" t="s">
        <v>2544</v>
      </c>
      <c r="L36" s="52" t="s">
        <v>2545</v>
      </c>
      <c r="M36" s="52" t="s">
        <v>2546</v>
      </c>
      <c r="N36" s="52" t="s">
        <v>2311</v>
      </c>
    </row>
    <row r="37" spans="1:14" ht="29">
      <c r="I37" s="52" t="s">
        <v>2547</v>
      </c>
      <c r="J37" s="52" t="s">
        <v>2548</v>
      </c>
      <c r="K37" s="52" t="s">
        <v>2549</v>
      </c>
      <c r="L37" s="52" t="s">
        <v>2550</v>
      </c>
      <c r="M37" s="52" t="s">
        <v>2551</v>
      </c>
      <c r="N37" s="52" t="s">
        <v>2552</v>
      </c>
    </row>
    <row r="39" spans="1:14">
      <c r="A39" s="172" t="s">
        <v>2553</v>
      </c>
      <c r="B39" s="172"/>
      <c r="C39" s="172"/>
      <c r="D39" s="172"/>
      <c r="E39" s="172"/>
      <c r="F39" s="172"/>
      <c r="G39" s="172"/>
      <c r="H39" s="172"/>
      <c r="I39" s="172"/>
      <c r="J39" s="172"/>
      <c r="K39" s="172"/>
      <c r="L39" s="172"/>
      <c r="M39" s="172"/>
      <c r="N39" s="172"/>
    </row>
    <row r="40" spans="1:14">
      <c r="A40" s="52" t="s">
        <v>2282</v>
      </c>
      <c r="B40" s="52" t="s">
        <v>2554</v>
      </c>
      <c r="C40" s="52" t="s">
        <v>2520</v>
      </c>
      <c r="D40" s="52" t="s">
        <v>2285</v>
      </c>
      <c r="E40" s="52" t="s">
        <v>2206</v>
      </c>
      <c r="F40" s="52" t="s">
        <v>2555</v>
      </c>
      <c r="G40" s="52" t="s">
        <v>2556</v>
      </c>
      <c r="H40" s="52" t="s">
        <v>2199</v>
      </c>
    </row>
    <row r="41" spans="1:14" ht="43.5">
      <c r="A41" s="52">
        <v>1</v>
      </c>
      <c r="B41" s="52" t="s">
        <v>2557</v>
      </c>
      <c r="C41" s="52" t="s">
        <v>2558</v>
      </c>
      <c r="D41" s="52" t="s">
        <v>2559</v>
      </c>
      <c r="E41" s="173">
        <v>46302</v>
      </c>
      <c r="F41" s="52" t="s">
        <v>2560</v>
      </c>
      <c r="G41" s="52" t="s">
        <v>2561</v>
      </c>
      <c r="H41" s="177" t="s">
        <v>2374</v>
      </c>
    </row>
    <row r="42" spans="1:14" ht="43.5">
      <c r="A42" s="52">
        <v>2</v>
      </c>
      <c r="B42" s="52" t="s">
        <v>2562</v>
      </c>
      <c r="C42" s="52" t="s">
        <v>2563</v>
      </c>
      <c r="D42" s="52" t="s">
        <v>2564</v>
      </c>
      <c r="E42" s="173">
        <v>46310</v>
      </c>
      <c r="F42" s="52" t="s">
        <v>2565</v>
      </c>
      <c r="G42" s="52" t="s">
        <v>2566</v>
      </c>
      <c r="H42" s="177" t="s">
        <v>2374</v>
      </c>
    </row>
    <row r="43" spans="1:14" ht="43.5">
      <c r="A43" s="52">
        <v>3</v>
      </c>
      <c r="B43" s="52" t="s">
        <v>2567</v>
      </c>
      <c r="C43" s="52" t="s">
        <v>2568</v>
      </c>
      <c r="D43" s="52" t="s">
        <v>2455</v>
      </c>
      <c r="E43" s="173">
        <v>46318</v>
      </c>
      <c r="F43" s="52" t="s">
        <v>2569</v>
      </c>
      <c r="G43" s="52" t="s">
        <v>2570</v>
      </c>
      <c r="H43" s="176" t="s">
        <v>2362</v>
      </c>
    </row>
    <row r="44" spans="1:14" ht="29">
      <c r="A44" s="52">
        <v>4</v>
      </c>
      <c r="B44" s="52" t="s">
        <v>2571</v>
      </c>
      <c r="C44" s="52" t="s">
        <v>2572</v>
      </c>
      <c r="D44" s="52" t="s">
        <v>1005</v>
      </c>
      <c r="E44" s="173">
        <v>46326</v>
      </c>
      <c r="F44" s="52" t="s">
        <v>2573</v>
      </c>
      <c r="G44" s="52" t="s">
        <v>2574</v>
      </c>
      <c r="H44" s="176" t="s">
        <v>2362</v>
      </c>
    </row>
    <row r="45" spans="1:14" ht="29">
      <c r="A45" s="52">
        <v>5</v>
      </c>
      <c r="B45" s="52" t="s">
        <v>2575</v>
      </c>
      <c r="C45" s="52" t="s">
        <v>2576</v>
      </c>
      <c r="D45" s="52" t="s">
        <v>1003</v>
      </c>
      <c r="E45" s="173">
        <v>46341</v>
      </c>
      <c r="F45" s="52" t="s">
        <v>2467</v>
      </c>
      <c r="G45" s="52" t="s">
        <v>2577</v>
      </c>
      <c r="H45" s="178" t="s">
        <v>2386</v>
      </c>
    </row>
    <row r="46" spans="1:14" ht="43.5">
      <c r="A46" s="52">
        <v>6</v>
      </c>
      <c r="B46" s="52" t="s">
        <v>2578</v>
      </c>
      <c r="C46" s="52" t="s">
        <v>2579</v>
      </c>
      <c r="D46" s="52" t="s">
        <v>2358</v>
      </c>
      <c r="E46" s="173">
        <v>46371</v>
      </c>
      <c r="F46" s="52" t="s">
        <v>2580</v>
      </c>
      <c r="G46" s="52" t="s">
        <v>2581</v>
      </c>
      <c r="H46" s="177" t="s">
        <v>2374</v>
      </c>
    </row>
    <row r="49" spans="1:14">
      <c r="A49" s="175" t="s">
        <v>2582</v>
      </c>
      <c r="B49" s="175"/>
      <c r="C49" s="175"/>
      <c r="D49" s="175"/>
      <c r="E49" s="175"/>
      <c r="F49" s="175"/>
      <c r="G49" s="175"/>
      <c r="H49" s="175"/>
      <c r="I49" s="175"/>
      <c r="J49" s="175"/>
      <c r="K49" s="175"/>
      <c r="L49" s="175"/>
      <c r="M49" s="175"/>
      <c r="N49" s="175"/>
    </row>
    <row r="50" spans="1:14" ht="27" customHeight="1">
      <c r="A50" s="174" t="s">
        <v>2583</v>
      </c>
      <c r="B50" s="174"/>
      <c r="C50" s="174"/>
      <c r="D50" s="174"/>
      <c r="E50" s="174"/>
      <c r="F50" s="174"/>
      <c r="G50" s="174"/>
      <c r="H50" s="174"/>
      <c r="I50" s="174"/>
      <c r="J50" s="174"/>
      <c r="K50" s="174"/>
      <c r="L50" s="174"/>
      <c r="M50" s="174"/>
      <c r="N50" s="174"/>
    </row>
    <row r="51" spans="1:14" ht="27" customHeight="1">
      <c r="A51" s="174"/>
      <c r="B51" s="174"/>
      <c r="C51" s="174"/>
      <c r="D51" s="174"/>
      <c r="E51" s="174"/>
      <c r="F51" s="174"/>
      <c r="G51" s="174"/>
      <c r="H51" s="174"/>
      <c r="I51" s="174"/>
      <c r="J51" s="174"/>
      <c r="K51" s="174"/>
      <c r="L51" s="174"/>
      <c r="M51" s="174"/>
      <c r="N51" s="174"/>
    </row>
    <row r="52" spans="1:14" ht="27" customHeight="1">
      <c r="A52" s="174"/>
      <c r="B52" s="174"/>
      <c r="C52" s="174"/>
      <c r="D52" s="174"/>
      <c r="E52" s="174"/>
      <c r="F52" s="174"/>
      <c r="G52" s="174"/>
      <c r="H52" s="174"/>
      <c r="I52" s="174"/>
      <c r="J52" s="174"/>
      <c r="K52" s="174"/>
      <c r="L52" s="174"/>
      <c r="M52" s="174"/>
      <c r="N52" s="174"/>
    </row>
    <row r="53" spans="1:14" ht="27" customHeight="1">
      <c r="A53" s="174"/>
      <c r="B53" s="174"/>
      <c r="C53" s="174"/>
      <c r="D53" s="174"/>
      <c r="E53" s="174"/>
      <c r="F53" s="174"/>
      <c r="G53" s="174"/>
      <c r="H53" s="174"/>
      <c r="I53" s="174"/>
      <c r="J53" s="174"/>
      <c r="K53" s="174"/>
      <c r="L53" s="174"/>
      <c r="M53" s="174"/>
      <c r="N53" s="174"/>
    </row>
    <row r="54" spans="1:14" ht="27" customHeight="1">
      <c r="A54" s="174"/>
      <c r="B54" s="174"/>
      <c r="C54" s="174"/>
      <c r="D54" s="174"/>
      <c r="E54" s="174"/>
      <c r="F54" s="174"/>
      <c r="G54" s="174"/>
      <c r="H54" s="174"/>
      <c r="I54" s="174"/>
      <c r="J54" s="174"/>
      <c r="K54" s="174"/>
      <c r="L54" s="174"/>
      <c r="M54" s="174"/>
      <c r="N54" s="174"/>
    </row>
  </sheetData>
  <mergeCells count="24">
    <mergeCell ref="P18:W18"/>
    <mergeCell ref="A10:N10"/>
    <mergeCell ref="A20:N20"/>
    <mergeCell ref="A30:N30"/>
    <mergeCell ref="A39:N39"/>
    <mergeCell ref="A49:N49"/>
    <mergeCell ref="A50:N54"/>
    <mergeCell ref="G7:H7"/>
    <mergeCell ref="J4:K4"/>
    <mergeCell ref="J5:K6"/>
    <mergeCell ref="J7:K7"/>
    <mergeCell ref="M4:N4"/>
    <mergeCell ref="M5:N6"/>
    <mergeCell ref="M7:N7"/>
    <mergeCell ref="A1:N1"/>
    <mergeCell ref="A2:N2"/>
    <mergeCell ref="A4:B4"/>
    <mergeCell ref="A5:B6"/>
    <mergeCell ref="A7:B7"/>
    <mergeCell ref="D4:E4"/>
    <mergeCell ref="D5:E6"/>
    <mergeCell ref="D7:E7"/>
    <mergeCell ref="G4:H4"/>
    <mergeCell ref="G5:H6"/>
  </mergeCells>
  <pageMargins left="0.7" right="0.7" top="0.75" bottom="0.75" header="0.3" footer="0.3"/>
  <drawing r:id="rId1"/>
  <tableParts count="6">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918B-7B57-4510-97D3-23B5E2397E97}">
  <dimension ref="A1:N39"/>
  <sheetViews>
    <sheetView workbookViewId="0">
      <selection activeCell="L32" sqref="L32"/>
    </sheetView>
  </sheetViews>
  <sheetFormatPr defaultRowHeight="14.5"/>
  <cols>
    <col min="1" max="1" width="11.453125" bestFit="1" customWidth="1"/>
    <col min="2" max="2" width="24.54296875" style="52" customWidth="1"/>
    <col min="3" max="3" width="36.26953125" style="52" bestFit="1" customWidth="1"/>
    <col min="4" max="4" width="38.7265625" style="52" bestFit="1" customWidth="1"/>
    <col min="5" max="7" width="32.7265625" style="52" customWidth="1"/>
    <col min="8" max="8" width="18.6328125" style="52" bestFit="1" customWidth="1"/>
    <col min="9" max="10" width="22.7265625" style="52" customWidth="1"/>
    <col min="11" max="11" width="14.1796875" style="52" bestFit="1" customWidth="1"/>
    <col min="12" max="12" width="13.90625" style="52" bestFit="1" customWidth="1"/>
    <col min="13" max="13" width="17.81640625" style="52" bestFit="1" customWidth="1"/>
    <col min="14" max="14" width="23.6328125" style="52" customWidth="1"/>
  </cols>
  <sheetData>
    <row r="1" spans="1:14" ht="27.5">
      <c r="A1" s="86" t="s">
        <v>2585</v>
      </c>
      <c r="B1" s="86"/>
      <c r="C1" s="86"/>
      <c r="D1" s="86"/>
      <c r="E1" s="86"/>
      <c r="F1" s="86"/>
      <c r="G1" s="86"/>
      <c r="H1" s="86"/>
      <c r="I1" s="86"/>
      <c r="J1" s="86"/>
      <c r="K1" s="86"/>
      <c r="L1" s="86"/>
      <c r="M1" s="86"/>
      <c r="N1" s="86"/>
    </row>
    <row r="2" spans="1:14" ht="16.5">
      <c r="A2" s="73" t="s">
        <v>2586</v>
      </c>
      <c r="B2" s="73"/>
      <c r="C2" s="73"/>
      <c r="D2" s="73"/>
      <c r="E2" s="73"/>
      <c r="F2" s="73"/>
      <c r="G2" s="73"/>
      <c r="H2" s="73"/>
      <c r="I2" s="73"/>
      <c r="J2" s="73"/>
      <c r="K2" s="73"/>
      <c r="L2" s="73"/>
      <c r="M2" s="73"/>
      <c r="N2" s="73"/>
    </row>
    <row r="3" spans="1:14" ht="16.5">
      <c r="A3" s="71"/>
      <c r="B3" s="138"/>
      <c r="C3" s="138"/>
      <c r="D3" s="138"/>
      <c r="E3" s="138"/>
      <c r="F3" s="138"/>
      <c r="G3" s="138"/>
      <c r="H3" s="138"/>
      <c r="I3" s="138"/>
      <c r="J3" s="138"/>
      <c r="K3" s="138"/>
      <c r="L3" s="138"/>
      <c r="M3" s="138"/>
      <c r="N3" s="138"/>
    </row>
    <row r="4" spans="1:14" ht="16.5">
      <c r="A4" s="92" t="s">
        <v>2733</v>
      </c>
      <c r="B4" s="92"/>
      <c r="C4" s="92"/>
      <c r="D4" s="138"/>
      <c r="E4" s="139" t="s">
        <v>2587</v>
      </c>
      <c r="F4" s="139"/>
      <c r="G4" s="139"/>
      <c r="H4" s="138"/>
      <c r="I4" s="139" t="s">
        <v>2590</v>
      </c>
      <c r="J4" s="139"/>
      <c r="K4" s="139"/>
      <c r="L4" s="138"/>
      <c r="M4" s="139" t="s">
        <v>2593</v>
      </c>
      <c r="N4" s="139"/>
    </row>
    <row r="5" spans="1:14" ht="16.5">
      <c r="A5" s="179">
        <f>SUM(FactBudget_2027[BudsjettBelop])</f>
        <v>568069999.91999996</v>
      </c>
      <c r="B5" s="180"/>
      <c r="C5" s="180"/>
      <c r="D5" s="138"/>
      <c r="E5" s="181" t="s">
        <v>2588</v>
      </c>
      <c r="F5" s="181"/>
      <c r="G5" s="181"/>
      <c r="H5" s="138"/>
      <c r="I5" s="181" t="s">
        <v>2591</v>
      </c>
      <c r="J5" s="181"/>
      <c r="K5" s="181"/>
      <c r="L5" s="138"/>
      <c r="M5" s="181" t="s">
        <v>2594</v>
      </c>
      <c r="N5" s="181"/>
    </row>
    <row r="6" spans="1:14" ht="16.5">
      <c r="A6" s="180"/>
      <c r="B6" s="180"/>
      <c r="C6" s="180"/>
      <c r="D6" s="138"/>
      <c r="E6" s="181"/>
      <c r="F6" s="181"/>
      <c r="G6" s="181"/>
      <c r="H6" s="138"/>
      <c r="I6" s="181"/>
      <c r="J6" s="181"/>
      <c r="K6" s="181"/>
      <c r="L6" s="138"/>
      <c r="M6" s="181"/>
      <c r="N6" s="181"/>
    </row>
    <row r="7" spans="1:14" ht="16.5">
      <c r="A7" s="75" t="s">
        <v>2734</v>
      </c>
      <c r="B7" s="75"/>
      <c r="C7" s="75"/>
      <c r="D7" s="138"/>
      <c r="E7" s="155" t="s">
        <v>2589</v>
      </c>
      <c r="F7" s="155"/>
      <c r="G7" s="155"/>
      <c r="H7" s="138"/>
      <c r="I7" s="155" t="s">
        <v>2592</v>
      </c>
      <c r="J7" s="155"/>
      <c r="K7" s="155"/>
      <c r="L7" s="138"/>
      <c r="M7" s="155" t="s">
        <v>2595</v>
      </c>
      <c r="N7" s="155"/>
    </row>
    <row r="8" spans="1:14" ht="16.5">
      <c r="A8" s="71"/>
      <c r="B8" s="138"/>
      <c r="C8" s="138"/>
      <c r="D8" s="138"/>
      <c r="E8" s="138"/>
      <c r="F8" s="138"/>
      <c r="G8" s="138"/>
      <c r="H8" s="138"/>
      <c r="I8" s="138"/>
      <c r="J8" s="138"/>
      <c r="K8" s="138"/>
      <c r="L8" s="138"/>
      <c r="M8" s="138"/>
      <c r="N8" s="138"/>
    </row>
    <row r="9" spans="1:14" ht="16.5">
      <c r="A9" s="71"/>
      <c r="B9" s="138"/>
      <c r="C9" s="138"/>
      <c r="D9" s="138"/>
      <c r="E9" s="138"/>
      <c r="F9" s="138"/>
      <c r="G9" s="138"/>
      <c r="H9" s="138"/>
      <c r="I9" s="138"/>
      <c r="J9" s="138"/>
      <c r="K9" s="138"/>
      <c r="L9" s="138"/>
      <c r="M9" s="138"/>
      <c r="N9" s="138"/>
    </row>
    <row r="10" spans="1:14" ht="16.5">
      <c r="A10" s="83" t="s">
        <v>2596</v>
      </c>
      <c r="B10" s="83"/>
      <c r="C10" s="83"/>
      <c r="D10" s="83"/>
      <c r="E10" s="83"/>
      <c r="F10" s="83"/>
      <c r="G10" s="83"/>
      <c r="H10" s="83"/>
      <c r="I10" s="83"/>
      <c r="J10" s="83"/>
      <c r="K10" s="83"/>
      <c r="L10" s="83"/>
      <c r="M10" s="83"/>
      <c r="N10" s="83"/>
    </row>
    <row r="11" spans="1:14" ht="16.5">
      <c r="A11" s="71" t="s">
        <v>2282</v>
      </c>
      <c r="B11" s="138" t="s">
        <v>2597</v>
      </c>
      <c r="C11" s="138" t="s">
        <v>2598</v>
      </c>
      <c r="D11" s="138" t="s">
        <v>2599</v>
      </c>
      <c r="E11" s="138" t="s">
        <v>2600</v>
      </c>
      <c r="F11" s="138" t="s">
        <v>2601</v>
      </c>
      <c r="G11" s="138" t="s">
        <v>2602</v>
      </c>
      <c r="H11" s="138" t="s">
        <v>2603</v>
      </c>
      <c r="I11" s="138" t="s">
        <v>2604</v>
      </c>
      <c r="J11" s="138" t="s">
        <v>2285</v>
      </c>
      <c r="K11" s="138" t="s">
        <v>2605</v>
      </c>
      <c r="L11" s="138" t="s">
        <v>2606</v>
      </c>
      <c r="M11" s="138" t="s">
        <v>2607</v>
      </c>
      <c r="N11" s="138" t="s">
        <v>2608</v>
      </c>
    </row>
    <row r="12" spans="1:14" ht="33">
      <c r="A12" s="114" t="s">
        <v>2609</v>
      </c>
      <c r="B12" s="138" t="s">
        <v>2436</v>
      </c>
      <c r="C12" s="138">
        <v>3900</v>
      </c>
      <c r="D12" s="141">
        <v>251800149.96000001</v>
      </c>
      <c r="E12" s="138" t="s">
        <v>2610</v>
      </c>
      <c r="F12" s="138" t="s">
        <v>2611</v>
      </c>
      <c r="G12" s="138" t="s">
        <v>2612</v>
      </c>
      <c r="H12" s="138" t="s">
        <v>2613</v>
      </c>
      <c r="I12" s="138" t="s">
        <v>2614</v>
      </c>
      <c r="J12" s="138" t="s">
        <v>2358</v>
      </c>
      <c r="K12" s="141">
        <v>253800150</v>
      </c>
      <c r="L12" s="141">
        <v>251800150</v>
      </c>
      <c r="M12" s="141">
        <v>249800150</v>
      </c>
      <c r="N12" s="153" t="s">
        <v>2615</v>
      </c>
    </row>
    <row r="13" spans="1:14" ht="33">
      <c r="A13" s="111" t="s">
        <v>2616</v>
      </c>
      <c r="B13" s="138" t="s">
        <v>2617</v>
      </c>
      <c r="C13" s="138" t="s">
        <v>1594</v>
      </c>
      <c r="D13" s="141">
        <v>1800150</v>
      </c>
      <c r="E13" s="138" t="s">
        <v>2618</v>
      </c>
      <c r="F13" s="138" t="s">
        <v>2619</v>
      </c>
      <c r="G13" s="138" t="s">
        <v>2620</v>
      </c>
      <c r="H13" s="138" t="s">
        <v>2621</v>
      </c>
      <c r="I13" s="138" t="s">
        <v>2622</v>
      </c>
      <c r="J13" s="138" t="s">
        <v>2623</v>
      </c>
      <c r="K13" s="141">
        <v>2072900</v>
      </c>
      <c r="L13" s="141">
        <v>1800150</v>
      </c>
      <c r="M13" s="141">
        <v>1527400</v>
      </c>
      <c r="N13" s="151" t="s">
        <v>2624</v>
      </c>
    </row>
    <row r="14" spans="1:14" ht="33">
      <c r="A14" s="114" t="s">
        <v>2609</v>
      </c>
      <c r="B14" s="138" t="s">
        <v>2625</v>
      </c>
      <c r="C14" s="138" t="s">
        <v>2626</v>
      </c>
      <c r="D14" s="141">
        <v>19999999.920000002</v>
      </c>
      <c r="E14" s="138" t="s">
        <v>2627</v>
      </c>
      <c r="F14" s="138" t="s">
        <v>2628</v>
      </c>
      <c r="G14" s="138" t="s">
        <v>2629</v>
      </c>
      <c r="H14" s="138" t="s">
        <v>2311</v>
      </c>
      <c r="I14" s="138" t="s">
        <v>2630</v>
      </c>
      <c r="J14" s="138" t="s">
        <v>2455</v>
      </c>
      <c r="K14" s="141">
        <v>22000000</v>
      </c>
      <c r="L14" s="141">
        <v>20000000</v>
      </c>
      <c r="M14" s="141">
        <v>17000000</v>
      </c>
      <c r="N14" s="153" t="s">
        <v>2631</v>
      </c>
    </row>
    <row r="15" spans="1:14" ht="33">
      <c r="A15" s="114" t="s">
        <v>2609</v>
      </c>
      <c r="B15" s="138" t="s">
        <v>2632</v>
      </c>
      <c r="C15" s="138" t="s">
        <v>2633</v>
      </c>
      <c r="D15" s="141">
        <v>13000000</v>
      </c>
      <c r="E15" s="138" t="s">
        <v>2634</v>
      </c>
      <c r="F15" s="138" t="s">
        <v>2635</v>
      </c>
      <c r="G15" s="138" t="s">
        <v>2636</v>
      </c>
      <c r="H15" s="138" t="s">
        <v>2311</v>
      </c>
      <c r="I15" s="138" t="s">
        <v>2637</v>
      </c>
      <c r="J15" s="138" t="s">
        <v>1005</v>
      </c>
      <c r="K15" s="141">
        <v>14500000</v>
      </c>
      <c r="L15" s="141">
        <v>13000000</v>
      </c>
      <c r="M15" s="141">
        <v>11000000</v>
      </c>
      <c r="N15" s="153" t="s">
        <v>2638</v>
      </c>
    </row>
    <row r="16" spans="1:14" ht="33">
      <c r="A16" s="114" t="s">
        <v>2609</v>
      </c>
      <c r="B16" s="138" t="s">
        <v>2269</v>
      </c>
      <c r="C16" s="138">
        <v>5000</v>
      </c>
      <c r="D16" s="141">
        <v>155400000.12</v>
      </c>
      <c r="E16" s="138" t="s">
        <v>2639</v>
      </c>
      <c r="F16" s="138" t="s">
        <v>2640</v>
      </c>
      <c r="G16" s="138" t="s">
        <v>2641</v>
      </c>
      <c r="H16" s="138" t="s">
        <v>2311</v>
      </c>
      <c r="I16" s="138" t="s">
        <v>2642</v>
      </c>
      <c r="J16" s="138" t="s">
        <v>2448</v>
      </c>
      <c r="K16" s="141">
        <v>151500000</v>
      </c>
      <c r="L16" s="141">
        <v>155400000</v>
      </c>
      <c r="M16" s="141">
        <v>160000000</v>
      </c>
      <c r="N16" s="153" t="s">
        <v>2643</v>
      </c>
    </row>
    <row r="17" spans="1:14" ht="33">
      <c r="A17" s="114" t="s">
        <v>2609</v>
      </c>
      <c r="B17" s="138" t="s">
        <v>916</v>
      </c>
      <c r="C17" s="138">
        <v>5400</v>
      </c>
      <c r="D17" s="141">
        <v>35600000.039999999</v>
      </c>
      <c r="E17" s="138" t="s">
        <v>2644</v>
      </c>
      <c r="F17" s="138" t="s">
        <v>2645</v>
      </c>
      <c r="G17" s="138" t="s">
        <v>2646</v>
      </c>
      <c r="H17" s="138" t="s">
        <v>2311</v>
      </c>
      <c r="I17" s="138" t="s">
        <v>2647</v>
      </c>
      <c r="J17" s="138" t="s">
        <v>2358</v>
      </c>
      <c r="K17" s="141">
        <v>34700000</v>
      </c>
      <c r="L17" s="141">
        <v>35600000</v>
      </c>
      <c r="M17" s="141">
        <v>36700000</v>
      </c>
      <c r="N17" s="153" t="s">
        <v>2648</v>
      </c>
    </row>
    <row r="18" spans="1:14" ht="33">
      <c r="A18" s="114" t="s">
        <v>2609</v>
      </c>
      <c r="B18" s="138" t="s">
        <v>2649</v>
      </c>
      <c r="C18" s="138" t="s">
        <v>1593</v>
      </c>
      <c r="D18" s="182">
        <v>221.94</v>
      </c>
      <c r="E18" s="138" t="s">
        <v>2650</v>
      </c>
      <c r="F18" s="138" t="s">
        <v>2651</v>
      </c>
      <c r="G18" s="138" t="s">
        <v>2652</v>
      </c>
      <c r="H18" s="138" t="s">
        <v>2311</v>
      </c>
      <c r="I18" s="138" t="s">
        <v>2653</v>
      </c>
      <c r="J18" s="138" t="s">
        <v>2448</v>
      </c>
      <c r="K18" s="182">
        <v>219</v>
      </c>
      <c r="L18" s="182">
        <v>221.94</v>
      </c>
      <c r="M18" s="182">
        <v>226</v>
      </c>
      <c r="N18" s="153" t="s">
        <v>2654</v>
      </c>
    </row>
    <row r="19" spans="1:14" ht="33">
      <c r="A19" s="111" t="s">
        <v>2616</v>
      </c>
      <c r="B19" s="138" t="s">
        <v>2655</v>
      </c>
      <c r="C19" s="138" t="s">
        <v>2656</v>
      </c>
      <c r="D19" s="141">
        <v>58999999.920000002</v>
      </c>
      <c r="E19" s="138" t="s">
        <v>2657</v>
      </c>
      <c r="F19" s="138" t="s">
        <v>2658</v>
      </c>
      <c r="G19" s="138" t="s">
        <v>2659</v>
      </c>
      <c r="H19" s="138" t="s">
        <v>2311</v>
      </c>
      <c r="I19" s="138" t="s">
        <v>2660</v>
      </c>
      <c r="J19" s="138" t="s">
        <v>2661</v>
      </c>
      <c r="K19" s="141">
        <v>57000000</v>
      </c>
      <c r="L19" s="141">
        <v>59000000</v>
      </c>
      <c r="M19" s="141">
        <v>62000000</v>
      </c>
      <c r="N19" s="151" t="s">
        <v>2662</v>
      </c>
    </row>
    <row r="20" spans="1:14" ht="33">
      <c r="A20" s="111" t="s">
        <v>2616</v>
      </c>
      <c r="B20" s="138" t="s">
        <v>2663</v>
      </c>
      <c r="C20" s="138">
        <v>1250</v>
      </c>
      <c r="D20" s="141">
        <v>32000000.039999999</v>
      </c>
      <c r="E20" s="138" t="s">
        <v>2664</v>
      </c>
      <c r="F20" s="138" t="s">
        <v>2665</v>
      </c>
      <c r="G20" s="138" t="s">
        <v>2666</v>
      </c>
      <c r="H20" s="138" t="s">
        <v>2311</v>
      </c>
      <c r="I20" s="138" t="s">
        <v>2667</v>
      </c>
      <c r="J20" s="138" t="s">
        <v>1003</v>
      </c>
      <c r="K20" s="141">
        <v>30000000</v>
      </c>
      <c r="L20" s="141">
        <v>32000000</v>
      </c>
      <c r="M20" s="141">
        <v>34000000</v>
      </c>
      <c r="N20" s="151" t="s">
        <v>2668</v>
      </c>
    </row>
    <row r="21" spans="1:14" ht="33">
      <c r="A21" s="114" t="s">
        <v>2609</v>
      </c>
      <c r="B21" s="138" t="s">
        <v>2669</v>
      </c>
      <c r="C21" s="138" t="s">
        <v>1595</v>
      </c>
      <c r="D21" s="141">
        <v>6500000</v>
      </c>
      <c r="E21" s="138" t="s">
        <v>2670</v>
      </c>
      <c r="F21" s="138" t="s">
        <v>2671</v>
      </c>
      <c r="G21" s="138" t="s">
        <v>2672</v>
      </c>
      <c r="H21" s="138" t="s">
        <v>2541</v>
      </c>
      <c r="I21" s="138" t="s">
        <v>1595</v>
      </c>
      <c r="J21" s="138" t="s">
        <v>2673</v>
      </c>
      <c r="K21" s="141">
        <v>6500000</v>
      </c>
      <c r="L21" s="141">
        <v>5850000</v>
      </c>
      <c r="M21" s="141">
        <v>4550000</v>
      </c>
      <c r="N21" s="153" t="s">
        <v>2674</v>
      </c>
    </row>
    <row r="22" spans="1:14" ht="33">
      <c r="A22" s="108" t="s">
        <v>2675</v>
      </c>
      <c r="B22" s="138" t="s">
        <v>2474</v>
      </c>
      <c r="C22" s="138" t="s">
        <v>2676</v>
      </c>
      <c r="D22" s="145">
        <v>4069999.68</v>
      </c>
      <c r="E22" s="138" t="s">
        <v>2677</v>
      </c>
      <c r="F22" s="138" t="s">
        <v>2678</v>
      </c>
      <c r="G22" s="138" t="s">
        <v>2679</v>
      </c>
      <c r="H22" s="138" t="s">
        <v>2311</v>
      </c>
      <c r="I22" s="138" t="s">
        <v>2680</v>
      </c>
      <c r="J22" s="138" t="s">
        <v>2358</v>
      </c>
      <c r="K22" s="145">
        <v>11372850</v>
      </c>
      <c r="L22" s="145">
        <v>4069999.68</v>
      </c>
      <c r="M22" s="145">
        <v>-11127250</v>
      </c>
      <c r="N22" s="153" t="s">
        <v>2681</v>
      </c>
    </row>
    <row r="23" spans="1:14" ht="16.5">
      <c r="A23" s="71"/>
      <c r="B23" s="138"/>
      <c r="C23" s="138"/>
      <c r="D23" s="138"/>
      <c r="E23" s="138"/>
      <c r="F23" s="138"/>
      <c r="G23" s="138"/>
      <c r="H23" s="138"/>
      <c r="I23" s="138"/>
      <c r="J23" s="138"/>
      <c r="K23" s="138"/>
      <c r="L23" s="138"/>
      <c r="M23" s="138"/>
      <c r="N23" s="138"/>
    </row>
    <row r="24" spans="1:14" ht="16.5">
      <c r="A24" s="71"/>
      <c r="B24" s="138"/>
      <c r="C24" s="138"/>
      <c r="D24" s="138"/>
      <c r="E24" s="138"/>
      <c r="F24" s="138"/>
      <c r="G24" s="138"/>
      <c r="H24" s="138"/>
      <c r="I24" s="138"/>
      <c r="J24" s="138"/>
      <c r="K24" s="138"/>
      <c r="L24" s="138"/>
      <c r="M24" s="138"/>
      <c r="N24" s="138"/>
    </row>
    <row r="25" spans="1:14" ht="16.5">
      <c r="A25" s="83" t="s">
        <v>2682</v>
      </c>
      <c r="B25" s="83"/>
      <c r="C25" s="83"/>
      <c r="D25" s="83"/>
      <c r="E25" s="83"/>
      <c r="F25" s="83"/>
      <c r="G25" s="83"/>
      <c r="H25" s="83"/>
      <c r="I25" s="83"/>
      <c r="J25" s="83"/>
      <c r="K25" s="83"/>
      <c r="L25" s="83"/>
      <c r="M25" s="83"/>
      <c r="N25" s="83"/>
    </row>
    <row r="26" spans="1:14" ht="16.5">
      <c r="A26" s="71" t="s">
        <v>2683</v>
      </c>
      <c r="B26" s="138" t="s">
        <v>2684</v>
      </c>
      <c r="C26" s="138" t="s">
        <v>2275</v>
      </c>
      <c r="D26" s="138" t="s">
        <v>2352</v>
      </c>
      <c r="E26" s="138"/>
      <c r="F26" s="138" t="s">
        <v>2702</v>
      </c>
      <c r="G26" s="138" t="s">
        <v>2703</v>
      </c>
      <c r="H26" s="138" t="s">
        <v>2704</v>
      </c>
      <c r="I26" s="138" t="s">
        <v>2705</v>
      </c>
      <c r="J26" s="138" t="s">
        <v>2706</v>
      </c>
      <c r="K26" s="138" t="s">
        <v>2707</v>
      </c>
      <c r="L26" s="138" t="s">
        <v>2708</v>
      </c>
      <c r="M26" s="138" t="s">
        <v>2350</v>
      </c>
      <c r="N26" s="138" t="s">
        <v>2285</v>
      </c>
    </row>
    <row r="27" spans="1:14" ht="33">
      <c r="A27" s="71">
        <v>1</v>
      </c>
      <c r="B27" s="138" t="s">
        <v>2685</v>
      </c>
      <c r="C27" s="138" t="s">
        <v>2686</v>
      </c>
      <c r="D27" s="138" t="s">
        <v>2687</v>
      </c>
      <c r="E27" s="138"/>
      <c r="F27" s="138" t="s">
        <v>2709</v>
      </c>
      <c r="G27" s="138" t="s">
        <v>2710</v>
      </c>
      <c r="H27" s="138" t="s">
        <v>2711</v>
      </c>
      <c r="I27" s="138" t="s">
        <v>2712</v>
      </c>
      <c r="J27" s="138"/>
      <c r="K27" s="138"/>
      <c r="L27" s="138"/>
      <c r="M27" s="138" t="s">
        <v>2713</v>
      </c>
      <c r="N27" s="138" t="s">
        <v>2714</v>
      </c>
    </row>
    <row r="28" spans="1:14" ht="33">
      <c r="A28" s="71">
        <v>2</v>
      </c>
      <c r="B28" s="138" t="s">
        <v>2688</v>
      </c>
      <c r="C28" s="138" t="s">
        <v>2689</v>
      </c>
      <c r="D28" s="138" t="s">
        <v>2690</v>
      </c>
      <c r="E28" s="138"/>
      <c r="F28" s="138" t="s">
        <v>2516</v>
      </c>
      <c r="G28" s="138"/>
      <c r="H28" s="138" t="s">
        <v>2715</v>
      </c>
      <c r="I28" s="138" t="s">
        <v>2716</v>
      </c>
      <c r="J28" s="138" t="s">
        <v>2717</v>
      </c>
      <c r="K28" s="138"/>
      <c r="L28" s="138"/>
      <c r="M28" s="138" t="s">
        <v>2718</v>
      </c>
      <c r="N28" s="138" t="s">
        <v>2719</v>
      </c>
    </row>
    <row r="29" spans="1:14" ht="16.5">
      <c r="A29" s="71">
        <v>3</v>
      </c>
      <c r="B29" s="138" t="s">
        <v>2691</v>
      </c>
      <c r="C29" s="138" t="s">
        <v>2595</v>
      </c>
      <c r="D29" s="138" t="s">
        <v>2692</v>
      </c>
      <c r="E29" s="138"/>
      <c r="F29" s="138" t="s">
        <v>2720</v>
      </c>
      <c r="G29" s="138"/>
      <c r="H29" s="138"/>
      <c r="I29" s="138"/>
      <c r="J29" s="138" t="s">
        <v>2721</v>
      </c>
      <c r="K29" s="138" t="s">
        <v>2722</v>
      </c>
      <c r="L29" s="138"/>
      <c r="M29" s="138" t="s">
        <v>2723</v>
      </c>
      <c r="N29" s="138" t="s">
        <v>2714</v>
      </c>
    </row>
    <row r="30" spans="1:14" ht="16.5">
      <c r="A30" s="71">
        <v>4</v>
      </c>
      <c r="B30" s="138" t="s">
        <v>2693</v>
      </c>
      <c r="C30" s="138" t="s">
        <v>2694</v>
      </c>
      <c r="D30" s="138" t="s">
        <v>2695</v>
      </c>
      <c r="E30" s="138"/>
      <c r="F30" s="138" t="s">
        <v>2724</v>
      </c>
      <c r="G30" s="138"/>
      <c r="H30" s="138"/>
      <c r="I30" s="138"/>
      <c r="J30" s="138"/>
      <c r="K30" s="138" t="s">
        <v>2725</v>
      </c>
      <c r="L30" s="138"/>
      <c r="M30" s="138" t="s">
        <v>2726</v>
      </c>
      <c r="N30" s="138" t="s">
        <v>2727</v>
      </c>
    </row>
    <row r="31" spans="1:14" ht="16.5">
      <c r="A31" s="71">
        <v>5</v>
      </c>
      <c r="B31" s="138" t="s">
        <v>2696</v>
      </c>
      <c r="C31" s="138" t="s">
        <v>2697</v>
      </c>
      <c r="D31" s="138" t="s">
        <v>2698</v>
      </c>
      <c r="E31" s="138"/>
      <c r="F31" s="138" t="s">
        <v>2728</v>
      </c>
      <c r="G31" s="138"/>
      <c r="H31" s="138"/>
      <c r="I31" s="138"/>
      <c r="J31" s="138"/>
      <c r="K31" s="138"/>
      <c r="L31" s="138" t="s">
        <v>2729</v>
      </c>
      <c r="M31" s="138" t="s">
        <v>2730</v>
      </c>
      <c r="N31" s="138" t="s">
        <v>2714</v>
      </c>
    </row>
    <row r="32" spans="1:14" ht="33">
      <c r="A32" s="71">
        <v>6</v>
      </c>
      <c r="B32" s="138" t="s">
        <v>2699</v>
      </c>
      <c r="C32" s="138" t="s">
        <v>2700</v>
      </c>
      <c r="D32" s="138" t="s">
        <v>2701</v>
      </c>
      <c r="E32" s="138"/>
      <c r="F32" s="138"/>
      <c r="G32" s="138"/>
      <c r="H32" s="138"/>
      <c r="I32" s="138"/>
      <c r="J32" s="138"/>
      <c r="K32" s="138"/>
      <c r="L32" s="138"/>
      <c r="M32" s="138"/>
      <c r="N32" s="138"/>
    </row>
    <row r="33" spans="1:14" ht="16.5">
      <c r="A33" s="71"/>
      <c r="B33" s="138"/>
      <c r="C33" s="138"/>
      <c r="D33" s="138"/>
      <c r="E33" s="138"/>
      <c r="F33" s="138"/>
      <c r="G33" s="138"/>
      <c r="H33" s="138"/>
      <c r="I33" s="138"/>
      <c r="J33" s="138"/>
      <c r="K33" s="138"/>
      <c r="L33" s="138"/>
      <c r="M33" s="138"/>
      <c r="N33" s="138"/>
    </row>
    <row r="34" spans="1:14" ht="16.5">
      <c r="A34" s="71"/>
      <c r="B34" s="138"/>
      <c r="C34" s="138"/>
      <c r="D34" s="138"/>
      <c r="E34" s="138"/>
      <c r="F34" s="138"/>
      <c r="G34" s="138"/>
      <c r="H34" s="138"/>
      <c r="I34" s="138"/>
      <c r="J34" s="138"/>
      <c r="K34" s="138"/>
      <c r="L34" s="138"/>
      <c r="M34" s="138"/>
      <c r="N34" s="138"/>
    </row>
    <row r="35" spans="1:14" ht="16.5" customHeight="1">
      <c r="A35" s="95" t="s">
        <v>2731</v>
      </c>
      <c r="B35" s="95"/>
      <c r="C35" s="95"/>
      <c r="D35" s="95"/>
      <c r="E35" s="95"/>
      <c r="F35" s="95"/>
      <c r="G35" s="95"/>
      <c r="H35" s="95"/>
      <c r="I35" s="95"/>
      <c r="J35" s="95"/>
      <c r="K35" s="95"/>
      <c r="L35" s="95"/>
      <c r="M35" s="95"/>
      <c r="N35" s="95"/>
    </row>
    <row r="36" spans="1:14" ht="26" customHeight="1">
      <c r="A36" s="183" t="s">
        <v>2732</v>
      </c>
      <c r="B36" s="183"/>
      <c r="C36" s="183"/>
      <c r="D36" s="183"/>
      <c r="E36" s="183"/>
      <c r="F36" s="183"/>
      <c r="G36" s="183"/>
      <c r="H36" s="183"/>
      <c r="I36" s="183"/>
      <c r="J36" s="183"/>
      <c r="K36" s="183"/>
      <c r="L36" s="183"/>
      <c r="M36" s="183"/>
      <c r="N36" s="183"/>
    </row>
    <row r="37" spans="1:14" ht="26" customHeight="1">
      <c r="A37" s="183"/>
      <c r="B37" s="183"/>
      <c r="C37" s="183"/>
      <c r="D37" s="183"/>
      <c r="E37" s="183"/>
      <c r="F37" s="183"/>
      <c r="G37" s="183"/>
      <c r="H37" s="183"/>
      <c r="I37" s="183"/>
      <c r="J37" s="183"/>
      <c r="K37" s="183"/>
      <c r="L37" s="183"/>
      <c r="M37" s="183"/>
      <c r="N37" s="183"/>
    </row>
    <row r="38" spans="1:14" ht="26" customHeight="1">
      <c r="A38" s="183"/>
      <c r="B38" s="183"/>
      <c r="C38" s="183"/>
      <c r="D38" s="183"/>
      <c r="E38" s="183"/>
      <c r="F38" s="183"/>
      <c r="G38" s="183"/>
      <c r="H38" s="183"/>
      <c r="I38" s="183"/>
      <c r="J38" s="183"/>
      <c r="K38" s="183"/>
      <c r="L38" s="183"/>
      <c r="M38" s="183"/>
      <c r="N38" s="183"/>
    </row>
    <row r="39" spans="1:14" ht="26" customHeight="1">
      <c r="A39" s="183"/>
      <c r="B39" s="183"/>
      <c r="C39" s="183"/>
      <c r="D39" s="183"/>
      <c r="E39" s="183"/>
      <c r="F39" s="183"/>
      <c r="G39" s="183"/>
      <c r="H39" s="183"/>
      <c r="I39" s="183"/>
      <c r="J39" s="183"/>
      <c r="K39" s="183"/>
      <c r="L39" s="183"/>
      <c r="M39" s="183"/>
      <c r="N39" s="183"/>
    </row>
  </sheetData>
  <mergeCells count="18">
    <mergeCell ref="A35:N35"/>
    <mergeCell ref="A36:N39"/>
    <mergeCell ref="I7:K7"/>
    <mergeCell ref="M4:N4"/>
    <mergeCell ref="M5:N6"/>
    <mergeCell ref="M7:N7"/>
    <mergeCell ref="A10:N10"/>
    <mergeCell ref="A25:N25"/>
    <mergeCell ref="A1:N1"/>
    <mergeCell ref="A2:N2"/>
    <mergeCell ref="A4:C4"/>
    <mergeCell ref="A5:C6"/>
    <mergeCell ref="A7:C7"/>
    <mergeCell ref="E4:G4"/>
    <mergeCell ref="E5:G6"/>
    <mergeCell ref="E7:G7"/>
    <mergeCell ref="I4:K4"/>
    <mergeCell ref="I5:K6"/>
  </mergeCells>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5BEB-F290-478E-9C23-7E01296A45ED}">
  <dimension ref="A1:J32"/>
  <sheetViews>
    <sheetView workbookViewId="0">
      <selection activeCell="D18" sqref="D18"/>
    </sheetView>
  </sheetViews>
  <sheetFormatPr defaultRowHeight="14.5"/>
  <cols>
    <col min="1" max="1" width="34.54296875" customWidth="1"/>
    <col min="2" max="2" width="15.453125" bestFit="1" customWidth="1"/>
    <col min="3" max="3" width="17.453125" bestFit="1" customWidth="1"/>
    <col min="4" max="4" width="21.36328125" bestFit="1" customWidth="1"/>
    <col min="5" max="6" width="40" style="52" customWidth="1"/>
    <col min="8" max="8" width="15" bestFit="1" customWidth="1"/>
    <col min="9" max="9" width="34.54296875" style="52" customWidth="1"/>
    <col min="10" max="10" width="40" style="52" customWidth="1"/>
  </cols>
  <sheetData>
    <row r="1" spans="1:10" ht="26">
      <c r="A1" s="60" t="s">
        <v>2134</v>
      </c>
      <c r="B1" s="60"/>
      <c r="C1" s="60"/>
      <c r="D1" s="60"/>
      <c r="E1" s="60"/>
      <c r="F1" s="60"/>
    </row>
    <row r="2" spans="1:10">
      <c r="A2" s="61" t="s">
        <v>2135</v>
      </c>
      <c r="B2" s="61"/>
      <c r="C2" s="61"/>
      <c r="D2" s="61"/>
      <c r="E2" s="61"/>
      <c r="F2" s="61"/>
    </row>
    <row r="4" spans="1:10">
      <c r="A4" s="62" t="s">
        <v>2136</v>
      </c>
      <c r="B4" s="62" t="s">
        <v>2137</v>
      </c>
      <c r="D4" s="62" t="s">
        <v>2143</v>
      </c>
      <c r="E4" s="66" t="s">
        <v>2144</v>
      </c>
      <c r="F4" s="66" t="s">
        <v>2145</v>
      </c>
      <c r="H4" s="95" t="s">
        <v>2238</v>
      </c>
      <c r="I4" s="95"/>
      <c r="J4" s="95"/>
    </row>
    <row r="5" spans="1:10">
      <c r="A5" s="56" t="s">
        <v>2138</v>
      </c>
      <c r="B5" s="57">
        <f>SUM(FactBudget[BudsjettBelop])</f>
        <v>130153825</v>
      </c>
      <c r="D5" s="56" t="s">
        <v>2146</v>
      </c>
      <c r="E5" s="67" t="s">
        <v>2147</v>
      </c>
      <c r="F5" s="67" t="s">
        <v>2169</v>
      </c>
      <c r="H5" s="96" t="s">
        <v>2239</v>
      </c>
      <c r="I5" s="97" t="s">
        <v>2240</v>
      </c>
      <c r="J5" s="97" t="s">
        <v>2241</v>
      </c>
    </row>
    <row r="6" spans="1:10">
      <c r="A6" s="56" t="s">
        <v>2139</v>
      </c>
      <c r="B6" s="57">
        <f>SUM(FactGL[Belop_signert])</f>
        <v>129631567</v>
      </c>
      <c r="D6" s="56" t="s">
        <v>2148</v>
      </c>
      <c r="E6" s="67" t="s">
        <v>2149</v>
      </c>
      <c r="F6" s="67" t="s">
        <v>2150</v>
      </c>
      <c r="H6" t="s">
        <v>2242</v>
      </c>
      <c r="I6" s="52" t="s">
        <v>2243</v>
      </c>
      <c r="J6" s="52" t="s">
        <v>2244</v>
      </c>
    </row>
    <row r="7" spans="1:10">
      <c r="A7" s="56" t="s">
        <v>2140</v>
      </c>
      <c r="B7" s="57" cm="1">
        <f t="array" ref="B7">SUM(SUMIFS(FactBudget_2027[BudsjettBelop],FactBudget_2027[Konto],{"3900","3670","3600","3630","3400","3420"}))</f>
        <v>286069999.80000001</v>
      </c>
      <c r="D7" s="56" t="s">
        <v>2151</v>
      </c>
      <c r="E7" s="67" t="s">
        <v>2152</v>
      </c>
      <c r="F7" s="67" t="s">
        <v>2153</v>
      </c>
      <c r="H7" t="s">
        <v>2245</v>
      </c>
      <c r="I7" s="52" t="s">
        <v>2246</v>
      </c>
      <c r="J7" s="52" t="s">
        <v>2247</v>
      </c>
    </row>
    <row r="8" spans="1:10" ht="29">
      <c r="A8" s="56" t="s">
        <v>2141</v>
      </c>
      <c r="B8" s="57">
        <f>SUM(FactBudget_2027[BudsjettBelop])-B7</f>
        <v>282000000.11999995</v>
      </c>
      <c r="D8" s="58" t="s">
        <v>2154</v>
      </c>
      <c r="E8" s="68" t="s">
        <v>2155</v>
      </c>
      <c r="F8" s="68" t="s">
        <v>2156</v>
      </c>
      <c r="H8" t="s">
        <v>2248</v>
      </c>
      <c r="I8" s="52" t="s">
        <v>2249</v>
      </c>
      <c r="J8" s="52" t="s">
        <v>2250</v>
      </c>
    </row>
    <row r="9" spans="1:10">
      <c r="A9" s="58" t="s">
        <v>2142</v>
      </c>
      <c r="B9" s="59">
        <f>B7-B8</f>
        <v>4069999.6800000668</v>
      </c>
    </row>
    <row r="12" spans="1:10">
      <c r="A12" s="62" t="s">
        <v>2157</v>
      </c>
      <c r="B12" s="62" t="s">
        <v>2158</v>
      </c>
      <c r="C12" s="62" t="s">
        <v>2159</v>
      </c>
      <c r="D12" s="62" t="s">
        <v>2160</v>
      </c>
      <c r="E12" s="66" t="s">
        <v>2161</v>
      </c>
      <c r="F12" s="66" t="s">
        <v>2162</v>
      </c>
    </row>
    <row r="13" spans="1:10" ht="29">
      <c r="A13" s="63" t="s">
        <v>2163</v>
      </c>
      <c r="B13" s="64">
        <v>286069999.80000001</v>
      </c>
      <c r="C13" s="64">
        <v>288070000</v>
      </c>
      <c r="D13" s="65">
        <v>-2000000.2</v>
      </c>
      <c r="E13" s="69" t="s">
        <v>2164</v>
      </c>
      <c r="F13" s="69" t="s">
        <v>2165</v>
      </c>
    </row>
    <row r="16" spans="1:10">
      <c r="A16" s="62" t="s">
        <v>2166</v>
      </c>
      <c r="B16" s="62" t="s">
        <v>2167</v>
      </c>
      <c r="C16" s="62" t="s">
        <v>977</v>
      </c>
    </row>
    <row r="17" spans="1:3">
      <c r="A17" s="56" t="s">
        <v>1020</v>
      </c>
      <c r="B17" s="56">
        <v>20</v>
      </c>
      <c r="C17" s="56" t="s">
        <v>2146</v>
      </c>
    </row>
    <row r="18" spans="1:3">
      <c r="A18" s="56" t="s">
        <v>1021</v>
      </c>
      <c r="B18" s="56">
        <v>12</v>
      </c>
      <c r="C18" s="56" t="s">
        <v>2146</v>
      </c>
    </row>
    <row r="19" spans="1:3">
      <c r="A19" s="56" t="s">
        <v>1592</v>
      </c>
      <c r="B19" s="56">
        <v>12</v>
      </c>
      <c r="C19" s="56" t="s">
        <v>2146</v>
      </c>
    </row>
    <row r="20" spans="1:3">
      <c r="A20" s="56" t="s">
        <v>2043</v>
      </c>
      <c r="B20" s="56">
        <v>5</v>
      </c>
      <c r="C20" s="56" t="s">
        <v>2146</v>
      </c>
    </row>
    <row r="21" spans="1:3">
      <c r="A21" s="56" t="s">
        <v>1017</v>
      </c>
      <c r="B21" s="56">
        <v>4</v>
      </c>
      <c r="C21" s="56" t="s">
        <v>2146</v>
      </c>
    </row>
    <row r="22" spans="1:3">
      <c r="A22" s="56" t="s">
        <v>1026</v>
      </c>
      <c r="B22" s="56">
        <v>4</v>
      </c>
      <c r="C22" s="56" t="s">
        <v>2146</v>
      </c>
    </row>
    <row r="23" spans="1:3">
      <c r="A23" s="56" t="s">
        <v>1595</v>
      </c>
      <c r="B23" s="56">
        <v>4</v>
      </c>
      <c r="C23" s="56" t="s">
        <v>2146</v>
      </c>
    </row>
    <row r="24" spans="1:3">
      <c r="A24" s="56" t="s">
        <v>1016</v>
      </c>
      <c r="B24" s="56">
        <v>432</v>
      </c>
      <c r="C24" s="56" t="s">
        <v>2146</v>
      </c>
    </row>
    <row r="25" spans="1:3">
      <c r="A25" s="56" t="s">
        <v>1591</v>
      </c>
      <c r="B25" s="56">
        <v>384</v>
      </c>
      <c r="C25" s="56" t="s">
        <v>2146</v>
      </c>
    </row>
    <row r="26" spans="1:3">
      <c r="A26" s="56" t="s">
        <v>1025</v>
      </c>
      <c r="B26" s="56">
        <v>12</v>
      </c>
      <c r="C26" s="56" t="s">
        <v>2146</v>
      </c>
    </row>
    <row r="27" spans="1:3">
      <c r="A27" s="56" t="s">
        <v>1023</v>
      </c>
      <c r="B27" s="56">
        <v>48</v>
      </c>
      <c r="C27" s="56" t="s">
        <v>2146</v>
      </c>
    </row>
    <row r="28" spans="1:3">
      <c r="A28" s="56" t="s">
        <v>1593</v>
      </c>
      <c r="B28" s="56">
        <v>48</v>
      </c>
      <c r="C28" s="56" t="s">
        <v>2146</v>
      </c>
    </row>
    <row r="29" spans="1:3">
      <c r="A29" s="56" t="s">
        <v>1022</v>
      </c>
      <c r="B29" s="56">
        <v>433</v>
      </c>
      <c r="C29" s="56" t="s">
        <v>2146</v>
      </c>
    </row>
    <row r="30" spans="1:3">
      <c r="A30" s="56" t="s">
        <v>1024</v>
      </c>
      <c r="B30" s="56">
        <v>12</v>
      </c>
      <c r="C30" s="56" t="s">
        <v>2146</v>
      </c>
    </row>
    <row r="31" spans="1:3">
      <c r="A31" s="56" t="s">
        <v>1594</v>
      </c>
      <c r="B31" s="56">
        <v>12</v>
      </c>
      <c r="C31" s="56" t="s">
        <v>2146</v>
      </c>
    </row>
    <row r="32" spans="1:3">
      <c r="A32" s="58" t="s">
        <v>2168</v>
      </c>
      <c r="B32" s="58">
        <v>22</v>
      </c>
      <c r="C32" s="58" t="s">
        <v>2146</v>
      </c>
    </row>
  </sheetData>
  <mergeCells count="3">
    <mergeCell ref="A1:F1"/>
    <mergeCell ref="A2:F2"/>
    <mergeCell ref="H4:J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D5882-78C9-4F58-BAAD-D633AAE17AAB}">
  <dimension ref="A1:A148"/>
  <sheetViews>
    <sheetView workbookViewId="0">
      <selection sqref="A1:A148"/>
    </sheetView>
  </sheetViews>
  <sheetFormatPr defaultRowHeight="14.5"/>
  <sheetData>
    <row r="1" spans="1:1">
      <c r="A1" s="29" t="s">
        <v>819</v>
      </c>
    </row>
    <row r="4" spans="1:1">
      <c r="A4" s="49" t="s">
        <v>820</v>
      </c>
    </row>
    <row r="5" spans="1:1">
      <c r="A5" s="29" t="s">
        <v>880</v>
      </c>
    </row>
    <row r="6" spans="1:1">
      <c r="A6" s="16"/>
    </row>
    <row r="7" spans="1:1" ht="15">
      <c r="A7" s="50" t="s">
        <v>881</v>
      </c>
    </row>
    <row r="8" spans="1:1" ht="15">
      <c r="A8" s="50" t="s">
        <v>882</v>
      </c>
    </row>
    <row r="9" spans="1:1" ht="15">
      <c r="A9" s="50" t="s">
        <v>883</v>
      </c>
    </row>
    <row r="10" spans="1:1" ht="15">
      <c r="A10" s="50" t="s">
        <v>884</v>
      </c>
    </row>
    <row r="11" spans="1:1" ht="15">
      <c r="A11" s="50" t="s">
        <v>885</v>
      </c>
    </row>
    <row r="15" spans="1:1">
      <c r="A15" s="49" t="s">
        <v>821</v>
      </c>
    </row>
    <row r="16" spans="1:1">
      <c r="A16" s="29" t="s">
        <v>822</v>
      </c>
    </row>
    <row r="18" spans="1:1">
      <c r="A18" s="41" t="s">
        <v>642</v>
      </c>
    </row>
    <row r="19" spans="1:1">
      <c r="A19" s="41" t="s">
        <v>823</v>
      </c>
    </row>
    <row r="20" spans="1:1">
      <c r="A20" s="41" t="s">
        <v>642</v>
      </c>
    </row>
    <row r="21" spans="1:1">
      <c r="A21" s="18"/>
    </row>
    <row r="22" spans="1:1">
      <c r="A22" s="41" t="s">
        <v>824</v>
      </c>
    </row>
    <row r="23" spans="1:1">
      <c r="A23" s="41" t="s">
        <v>825</v>
      </c>
    </row>
    <row r="24" spans="1:1">
      <c r="A24" s="41" t="s">
        <v>34</v>
      </c>
    </row>
    <row r="25" spans="1:1">
      <c r="A25" s="41" t="s">
        <v>826</v>
      </c>
    </row>
    <row r="26" spans="1:1">
      <c r="A26" s="41" t="s">
        <v>827</v>
      </c>
    </row>
    <row r="27" spans="1:1">
      <c r="A27" s="41" t="s">
        <v>274</v>
      </c>
    </row>
    <row r="28" spans="1:1">
      <c r="A28" s="41" t="s">
        <v>38</v>
      </c>
    </row>
    <row r="29" spans="1:1">
      <c r="A29" s="18"/>
    </row>
    <row r="30" spans="1:1">
      <c r="A30" s="41" t="s">
        <v>828</v>
      </c>
    </row>
    <row r="31" spans="1:1">
      <c r="A31" s="41" t="s">
        <v>829</v>
      </c>
    </row>
    <row r="32" spans="1:1">
      <c r="A32" s="41" t="s">
        <v>34</v>
      </c>
    </row>
    <row r="33" spans="1:1">
      <c r="A33" s="41" t="s">
        <v>826</v>
      </c>
    </row>
    <row r="34" spans="1:1">
      <c r="A34" s="41" t="s">
        <v>830</v>
      </c>
    </row>
    <row r="35" spans="1:1">
      <c r="A35" s="41" t="s">
        <v>274</v>
      </c>
    </row>
    <row r="36" spans="1:1">
      <c r="A36" s="41" t="s">
        <v>38</v>
      </c>
    </row>
    <row r="37" spans="1:1">
      <c r="A37" s="18"/>
    </row>
    <row r="38" spans="1:1">
      <c r="A38" s="41" t="s">
        <v>831</v>
      </c>
    </row>
    <row r="39" spans="1:1">
      <c r="A39" s="41" t="s">
        <v>832</v>
      </c>
    </row>
    <row r="40" spans="1:1">
      <c r="A40" s="18"/>
    </row>
    <row r="41" spans="1:1">
      <c r="A41" s="18"/>
    </row>
    <row r="42" spans="1:1">
      <c r="A42" s="41" t="s">
        <v>642</v>
      </c>
    </row>
    <row r="43" spans="1:1">
      <c r="A43" s="41" t="s">
        <v>833</v>
      </c>
    </row>
    <row r="44" spans="1:1">
      <c r="A44" s="41" t="s">
        <v>642</v>
      </c>
    </row>
    <row r="45" spans="1:1">
      <c r="A45" s="18"/>
    </row>
    <row r="46" spans="1:1">
      <c r="A46" s="41" t="s">
        <v>834</v>
      </c>
    </row>
    <row r="47" spans="1:1">
      <c r="A47" s="41" t="s">
        <v>835</v>
      </c>
    </row>
    <row r="48" spans="1:1">
      <c r="A48" s="41" t="s">
        <v>34</v>
      </c>
    </row>
    <row r="49" spans="1:1">
      <c r="A49" s="41" t="s">
        <v>836</v>
      </c>
    </row>
    <row r="50" spans="1:1">
      <c r="A50" s="41" t="s">
        <v>837</v>
      </c>
    </row>
    <row r="51" spans="1:1">
      <c r="A51" s="41" t="s">
        <v>38</v>
      </c>
    </row>
    <row r="52" spans="1:1">
      <c r="A52" s="18"/>
    </row>
    <row r="53" spans="1:1">
      <c r="A53" s="41" t="s">
        <v>838</v>
      </c>
    </row>
    <row r="54" spans="1:1">
      <c r="A54" s="41" t="s">
        <v>839</v>
      </c>
    </row>
    <row r="55" spans="1:1">
      <c r="A55" s="41" t="s">
        <v>34</v>
      </c>
    </row>
    <row r="56" spans="1:1">
      <c r="A56" s="41" t="s">
        <v>840</v>
      </c>
    </row>
    <row r="57" spans="1:1">
      <c r="A57" s="41" t="s">
        <v>841</v>
      </c>
    </row>
    <row r="58" spans="1:1">
      <c r="A58" s="41" t="s">
        <v>38</v>
      </c>
    </row>
    <row r="59" spans="1:1">
      <c r="A59" s="18"/>
    </row>
    <row r="60" spans="1:1">
      <c r="A60" s="18"/>
    </row>
    <row r="61" spans="1:1">
      <c r="A61" s="41" t="s">
        <v>642</v>
      </c>
    </row>
    <row r="62" spans="1:1">
      <c r="A62" s="41" t="s">
        <v>842</v>
      </c>
    </row>
    <row r="63" spans="1:1">
      <c r="A63" s="41" t="s">
        <v>642</v>
      </c>
    </row>
    <row r="64" spans="1:1">
      <c r="A64" s="18"/>
    </row>
    <row r="65" spans="1:1">
      <c r="A65" s="41" t="s">
        <v>843</v>
      </c>
    </row>
    <row r="66" spans="1:1">
      <c r="A66" s="41" t="s">
        <v>844</v>
      </c>
    </row>
    <row r="67" spans="1:1">
      <c r="A67" s="18"/>
    </row>
    <row r="68" spans="1:1">
      <c r="A68" s="41" t="s">
        <v>845</v>
      </c>
    </row>
    <row r="69" spans="1:1">
      <c r="A69" s="41" t="s">
        <v>846</v>
      </c>
    </row>
    <row r="70" spans="1:1">
      <c r="A70" s="41" t="s">
        <v>847</v>
      </c>
    </row>
    <row r="71" spans="1:1">
      <c r="A71" s="18"/>
    </row>
    <row r="72" spans="1:1">
      <c r="A72" s="41" t="s">
        <v>848</v>
      </c>
    </row>
    <row r="73" spans="1:1">
      <c r="A73" s="41" t="s">
        <v>849</v>
      </c>
    </row>
    <row r="74" spans="1:1">
      <c r="A74" s="41" t="s">
        <v>850</v>
      </c>
    </row>
    <row r="75" spans="1:1">
      <c r="A75" s="41" t="s">
        <v>851</v>
      </c>
    </row>
    <row r="76" spans="1:1">
      <c r="A76" s="18"/>
    </row>
    <row r="77" spans="1:1">
      <c r="A77" s="18"/>
    </row>
    <row r="78" spans="1:1">
      <c r="A78" s="41" t="s">
        <v>642</v>
      </c>
    </row>
    <row r="79" spans="1:1">
      <c r="A79" s="41" t="s">
        <v>852</v>
      </c>
    </row>
    <row r="80" spans="1:1">
      <c r="A80" s="41" t="s">
        <v>642</v>
      </c>
    </row>
    <row r="81" spans="1:1">
      <c r="A81" s="18"/>
    </row>
    <row r="82" spans="1:1">
      <c r="A82" s="41" t="s">
        <v>853</v>
      </c>
    </row>
    <row r="83" spans="1:1">
      <c r="A83" s="41" t="s">
        <v>854</v>
      </c>
    </row>
    <row r="84" spans="1:1">
      <c r="A84" s="18"/>
    </row>
    <row r="85" spans="1:1">
      <c r="A85" s="41" t="s">
        <v>855</v>
      </c>
    </row>
    <row r="86" spans="1:1">
      <c r="A86" s="41" t="s">
        <v>856</v>
      </c>
    </row>
    <row r="87" spans="1:1">
      <c r="A87" s="18"/>
    </row>
    <row r="88" spans="1:1">
      <c r="A88" s="18"/>
    </row>
    <row r="89" spans="1:1">
      <c r="A89" s="41" t="s">
        <v>642</v>
      </c>
    </row>
    <row r="90" spans="1:1">
      <c r="A90" s="41" t="s">
        <v>695</v>
      </c>
    </row>
    <row r="91" spans="1:1">
      <c r="A91" s="41" t="s">
        <v>642</v>
      </c>
    </row>
    <row r="92" spans="1:1">
      <c r="A92" s="18"/>
    </row>
    <row r="93" spans="1:1">
      <c r="A93" s="41" t="s">
        <v>857</v>
      </c>
    </row>
    <row r="94" spans="1:1">
      <c r="A94" s="41" t="s">
        <v>858</v>
      </c>
    </row>
    <row r="95" spans="1:1">
      <c r="A95" s="41" t="s">
        <v>859</v>
      </c>
    </row>
    <row r="96" spans="1:1">
      <c r="A96" s="41" t="s">
        <v>860</v>
      </c>
    </row>
    <row r="97" spans="1:1">
      <c r="A97" s="41" t="s">
        <v>57</v>
      </c>
    </row>
    <row r="98" spans="1:1">
      <c r="A98" s="41" t="s">
        <v>289</v>
      </c>
    </row>
    <row r="99" spans="1:1">
      <c r="A99" s="41" t="s">
        <v>290</v>
      </c>
    </row>
    <row r="100" spans="1:1">
      <c r="A100" s="41" t="s">
        <v>861</v>
      </c>
    </row>
    <row r="101" spans="1:1">
      <c r="A101" s="41" t="s">
        <v>862</v>
      </c>
    </row>
    <row r="102" spans="1:1">
      <c r="A102" s="41" t="s">
        <v>863</v>
      </c>
    </row>
    <row r="103" spans="1:1">
      <c r="A103" s="41" t="s">
        <v>38</v>
      </c>
    </row>
    <row r="104" spans="1:1">
      <c r="A104" s="18"/>
    </row>
    <row r="105" spans="1:1">
      <c r="A105" s="41" t="s">
        <v>864</v>
      </c>
    </row>
    <row r="106" spans="1:1">
      <c r="A106" s="41" t="s">
        <v>865</v>
      </c>
    </row>
    <row r="107" spans="1:1">
      <c r="A107" s="41" t="s">
        <v>866</v>
      </c>
    </row>
    <row r="108" spans="1:1">
      <c r="A108" s="18"/>
    </row>
    <row r="109" spans="1:1">
      <c r="A109" s="41" t="s">
        <v>867</v>
      </c>
    </row>
    <row r="110" spans="1:1">
      <c r="A110" s="41" t="s">
        <v>868</v>
      </c>
    </row>
    <row r="111" spans="1:1">
      <c r="A111" s="41" t="s">
        <v>869</v>
      </c>
    </row>
    <row r="115" spans="1:1">
      <c r="A115" s="49" t="s">
        <v>870</v>
      </c>
    </row>
    <row r="116" spans="1:1">
      <c r="A116" s="29" t="s">
        <v>871</v>
      </c>
    </row>
    <row r="118" spans="1:1">
      <c r="A118" s="41" t="s">
        <v>872</v>
      </c>
    </row>
    <row r="119" spans="1:1">
      <c r="A119" s="41" t="s">
        <v>12</v>
      </c>
    </row>
    <row r="120" spans="1:1">
      <c r="A120" s="41" t="s">
        <v>13</v>
      </c>
    </row>
    <row r="121" spans="1:1">
      <c r="A121" s="41" t="s">
        <v>873</v>
      </c>
    </row>
    <row r="122" spans="1:1">
      <c r="A122" s="41" t="s">
        <v>12</v>
      </c>
    </row>
    <row r="123" spans="1:1">
      <c r="A123" s="41" t="s">
        <v>13</v>
      </c>
    </row>
    <row r="124" spans="1:1">
      <c r="A124" s="41" t="s">
        <v>874</v>
      </c>
    </row>
    <row r="125" spans="1:1">
      <c r="A125" s="41" t="s">
        <v>12</v>
      </c>
    </row>
    <row r="126" spans="1:1">
      <c r="A126" s="41" t="s">
        <v>13</v>
      </c>
    </row>
    <row r="127" spans="1:1">
      <c r="A127" s="41" t="s">
        <v>875</v>
      </c>
    </row>
    <row r="129" spans="1:1">
      <c r="A129" s="49" t="s">
        <v>876</v>
      </c>
    </row>
    <row r="130" spans="1:1">
      <c r="A130" s="16"/>
    </row>
    <row r="131" spans="1:1">
      <c r="A131" s="39" t="s">
        <v>886</v>
      </c>
    </row>
    <row r="132" spans="1:1">
      <c r="A132" s="39" t="s">
        <v>887</v>
      </c>
    </row>
    <row r="133" spans="1:1">
      <c r="A133" s="39" t="s">
        <v>888</v>
      </c>
    </row>
    <row r="135" spans="1:1">
      <c r="A135" s="49" t="s">
        <v>877</v>
      </c>
    </row>
    <row r="136" spans="1:1">
      <c r="A136" s="16"/>
    </row>
    <row r="137" spans="1:1">
      <c r="A137" s="39" t="s">
        <v>889</v>
      </c>
    </row>
    <row r="138" spans="1:1">
      <c r="A138" s="39" t="s">
        <v>890</v>
      </c>
    </row>
    <row r="140" spans="1:1">
      <c r="A140" s="49" t="s">
        <v>878</v>
      </c>
    </row>
    <row r="141" spans="1:1">
      <c r="A141" s="16"/>
    </row>
    <row r="142" spans="1:1">
      <c r="A142" s="39" t="s">
        <v>891</v>
      </c>
    </row>
    <row r="143" spans="1:1">
      <c r="A143" s="39" t="s">
        <v>892</v>
      </c>
    </row>
    <row r="145" spans="1:1">
      <c r="A145" s="49" t="s">
        <v>879</v>
      </c>
    </row>
    <row r="146" spans="1:1">
      <c r="A146" s="16"/>
    </row>
    <row r="147" spans="1:1">
      <c r="A147" s="39" t="s">
        <v>893</v>
      </c>
    </row>
    <row r="148" spans="1:1">
      <c r="A148" s="39" t="s">
        <v>894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B92BF-3460-48E4-99EF-59227FD81B37}">
  <dimension ref="A1:F246"/>
  <sheetViews>
    <sheetView workbookViewId="0">
      <selection sqref="A1:F246"/>
    </sheetView>
  </sheetViews>
  <sheetFormatPr defaultRowHeight="14.5"/>
  <sheetData>
    <row r="1" spans="1:6">
      <c r="A1" s="12">
        <v>5</v>
      </c>
    </row>
    <row r="2" spans="1:6">
      <c r="A2" t="s">
        <v>591</v>
      </c>
    </row>
    <row r="5" spans="1:6">
      <c r="A5" t="s">
        <v>592</v>
      </c>
    </row>
    <row r="6" spans="1:6">
      <c r="A6" t="s">
        <v>593</v>
      </c>
    </row>
    <row r="7" spans="1:6" ht="101.5">
      <c r="A7" s="13" t="s">
        <v>594</v>
      </c>
      <c r="B7" s="13" t="s">
        <v>595</v>
      </c>
      <c r="C7" s="13" t="s">
        <v>596</v>
      </c>
      <c r="D7" s="13" t="s">
        <v>597</v>
      </c>
      <c r="E7" s="13" t="s">
        <v>598</v>
      </c>
      <c r="F7" s="13" t="s">
        <v>599</v>
      </c>
    </row>
    <row r="8" spans="1:6" ht="174">
      <c r="A8" s="15" t="s">
        <v>600</v>
      </c>
      <c r="B8" s="15" t="s">
        <v>601</v>
      </c>
      <c r="C8" s="14" t="s">
        <v>602</v>
      </c>
      <c r="D8" s="15" t="s">
        <v>603</v>
      </c>
      <c r="E8" s="14" t="s">
        <v>604</v>
      </c>
      <c r="F8" s="14" t="s">
        <v>605</v>
      </c>
    </row>
    <row r="9" spans="1:6" ht="130.5">
      <c r="A9" s="15" t="s">
        <v>606</v>
      </c>
      <c r="B9" s="15" t="s">
        <v>588</v>
      </c>
      <c r="C9" s="14" t="s">
        <v>607</v>
      </c>
      <c r="D9" s="15" t="s">
        <v>608</v>
      </c>
      <c r="E9" s="14" t="s">
        <v>609</v>
      </c>
      <c r="F9" s="14" t="s">
        <v>610</v>
      </c>
    </row>
    <row r="10" spans="1:6" ht="145">
      <c r="A10" s="15" t="s">
        <v>611</v>
      </c>
      <c r="B10" s="15" t="s">
        <v>589</v>
      </c>
      <c r="C10" s="14" t="s">
        <v>612</v>
      </c>
      <c r="D10" s="15" t="s">
        <v>613</v>
      </c>
      <c r="E10" s="14" t="s">
        <v>614</v>
      </c>
      <c r="F10" s="14" t="s">
        <v>615</v>
      </c>
    </row>
    <row r="11" spans="1:6" ht="188.5">
      <c r="A11" s="15" t="s">
        <v>616</v>
      </c>
      <c r="B11" s="15" t="s">
        <v>590</v>
      </c>
      <c r="C11" s="14" t="s">
        <v>617</v>
      </c>
      <c r="D11" s="15" t="s">
        <v>618</v>
      </c>
      <c r="E11" s="14" t="s">
        <v>619</v>
      </c>
      <c r="F11" s="14" t="s">
        <v>620</v>
      </c>
    </row>
    <row r="12" spans="1:6" ht="101.5">
      <c r="A12" s="15" t="s">
        <v>621</v>
      </c>
      <c r="B12" s="15" t="s">
        <v>622</v>
      </c>
      <c r="C12" s="15" t="s">
        <v>623</v>
      </c>
      <c r="D12" s="15" t="s">
        <v>624</v>
      </c>
      <c r="E12" s="15" t="s">
        <v>625</v>
      </c>
      <c r="F12" s="15" t="s">
        <v>626</v>
      </c>
    </row>
    <row r="15" spans="1:6">
      <c r="A15" t="s">
        <v>627</v>
      </c>
    </row>
    <row r="16" spans="1:6">
      <c r="A16" t="s">
        <v>628</v>
      </c>
    </row>
    <row r="17" spans="1:1">
      <c r="A17" s="16"/>
    </row>
    <row r="18" spans="1:1">
      <c r="A18" s="17" t="s">
        <v>629</v>
      </c>
    </row>
    <row r="19" spans="1:1">
      <c r="A19" s="44" t="s">
        <v>630</v>
      </c>
    </row>
    <row r="20" spans="1:1">
      <c r="A20" s="44" t="s">
        <v>631</v>
      </c>
    </row>
    <row r="21" spans="1:1">
      <c r="A21" s="17" t="s">
        <v>632</v>
      </c>
    </row>
    <row r="22" spans="1:1">
      <c r="A22" s="44" t="s">
        <v>633</v>
      </c>
    </row>
    <row r="23" spans="1:1">
      <c r="A23" s="44" t="s">
        <v>634</v>
      </c>
    </row>
    <row r="24" spans="1:1">
      <c r="A24" s="17" t="s">
        <v>635</v>
      </c>
    </row>
    <row r="25" spans="1:1">
      <c r="A25" s="44" t="s">
        <v>636</v>
      </c>
    </row>
    <row r="26" spans="1:1">
      <c r="A26" s="44" t="s">
        <v>637</v>
      </c>
    </row>
    <row r="27" spans="1:1">
      <c r="A27" s="17" t="s">
        <v>638</v>
      </c>
    </row>
    <row r="28" spans="1:1">
      <c r="A28" s="44" t="s">
        <v>639</v>
      </c>
    </row>
    <row r="32" spans="1:1">
      <c r="A32" t="s">
        <v>640</v>
      </c>
    </row>
    <row r="33" spans="1:1">
      <c r="A33" t="s">
        <v>641</v>
      </c>
    </row>
    <row r="35" spans="1:1">
      <c r="A35" s="19" t="s">
        <v>642</v>
      </c>
    </row>
    <row r="36" spans="1:1">
      <c r="A36" s="19" t="s">
        <v>643</v>
      </c>
    </row>
    <row r="37" spans="1:1">
      <c r="A37" s="19" t="s">
        <v>642</v>
      </c>
    </row>
    <row r="38" spans="1:1">
      <c r="A38" s="18"/>
    </row>
    <row r="39" spans="1:1">
      <c r="A39" s="19" t="s">
        <v>644</v>
      </c>
    </row>
    <row r="40" spans="1:1">
      <c r="A40" s="19" t="s">
        <v>645</v>
      </c>
    </row>
    <row r="41" spans="1:1">
      <c r="A41" s="19" t="s">
        <v>34</v>
      </c>
    </row>
    <row r="42" spans="1:1">
      <c r="A42" s="19" t="s">
        <v>273</v>
      </c>
    </row>
    <row r="43" spans="1:1">
      <c r="A43" s="19" t="s">
        <v>646</v>
      </c>
    </row>
    <row r="44" spans="1:1">
      <c r="A44" s="19" t="s">
        <v>38</v>
      </c>
    </row>
    <row r="45" spans="1:1">
      <c r="A45" s="18"/>
    </row>
    <row r="46" spans="1:1">
      <c r="A46" s="19" t="s">
        <v>647</v>
      </c>
    </row>
    <row r="47" spans="1:1">
      <c r="A47" s="19" t="s">
        <v>648</v>
      </c>
    </row>
    <row r="48" spans="1:1">
      <c r="A48" s="19" t="s">
        <v>34</v>
      </c>
    </row>
    <row r="49" spans="1:1">
      <c r="A49" s="19" t="s">
        <v>577</v>
      </c>
    </row>
    <row r="50" spans="1:1">
      <c r="A50" s="19" t="s">
        <v>578</v>
      </c>
    </row>
    <row r="51" spans="1:1">
      <c r="A51" s="19" t="s">
        <v>38</v>
      </c>
    </row>
    <row r="52" spans="1:1">
      <c r="A52" s="18"/>
    </row>
    <row r="53" spans="1:1">
      <c r="A53" s="19" t="s">
        <v>649</v>
      </c>
    </row>
    <row r="54" spans="1:1">
      <c r="A54" s="19" t="s">
        <v>650</v>
      </c>
    </row>
    <row r="55" spans="1:1">
      <c r="A55" s="19" t="s">
        <v>34</v>
      </c>
    </row>
    <row r="56" spans="1:1">
      <c r="A56" s="19" t="s">
        <v>273</v>
      </c>
    </row>
    <row r="57" spans="1:1">
      <c r="A57" s="19" t="s">
        <v>579</v>
      </c>
    </row>
    <row r="58" spans="1:1">
      <c r="A58" s="19" t="s">
        <v>38</v>
      </c>
    </row>
    <row r="59" spans="1:1">
      <c r="A59" s="18"/>
    </row>
    <row r="60" spans="1:1">
      <c r="A60" s="19" t="s">
        <v>651</v>
      </c>
    </row>
    <row r="61" spans="1:1">
      <c r="A61" s="19" t="s">
        <v>652</v>
      </c>
    </row>
    <row r="62" spans="1:1">
      <c r="A62" s="18"/>
    </row>
    <row r="63" spans="1:1">
      <c r="A63" s="19" t="s">
        <v>653</v>
      </c>
    </row>
    <row r="64" spans="1:1">
      <c r="A64" s="19" t="s">
        <v>654</v>
      </c>
    </row>
    <row r="65" spans="1:1">
      <c r="A65" s="19" t="s">
        <v>655</v>
      </c>
    </row>
    <row r="66" spans="1:1">
      <c r="A66" s="18"/>
    </row>
    <row r="67" spans="1:1">
      <c r="A67" s="18"/>
    </row>
    <row r="68" spans="1:1">
      <c r="A68" s="19" t="s">
        <v>642</v>
      </c>
    </row>
    <row r="69" spans="1:1">
      <c r="A69" s="19" t="s">
        <v>656</v>
      </c>
    </row>
    <row r="70" spans="1:1">
      <c r="A70" s="19" t="s">
        <v>642</v>
      </c>
    </row>
    <row r="71" spans="1:1">
      <c r="A71" s="18"/>
    </row>
    <row r="72" spans="1:1">
      <c r="A72" s="19" t="s">
        <v>657</v>
      </c>
    </row>
    <row r="73" spans="1:1">
      <c r="A73" s="19" t="s">
        <v>658</v>
      </c>
    </row>
    <row r="74" spans="1:1">
      <c r="A74" s="19" t="s">
        <v>34</v>
      </c>
    </row>
    <row r="75" spans="1:1">
      <c r="A75" s="19" t="s">
        <v>577</v>
      </c>
    </row>
    <row r="76" spans="1:1">
      <c r="A76" s="19" t="s">
        <v>580</v>
      </c>
    </row>
    <row r="77" spans="1:1">
      <c r="A77" s="19" t="s">
        <v>38</v>
      </c>
    </row>
    <row r="78" spans="1:1">
      <c r="A78" s="18"/>
    </row>
    <row r="79" spans="1:1">
      <c r="A79" s="19" t="s">
        <v>659</v>
      </c>
    </row>
    <row r="80" spans="1:1">
      <c r="A80" s="19" t="s">
        <v>660</v>
      </c>
    </row>
    <row r="81" spans="1:1">
      <c r="A81" s="18"/>
    </row>
    <row r="82" spans="1:1">
      <c r="A82" s="19" t="s">
        <v>661</v>
      </c>
    </row>
    <row r="83" spans="1:1">
      <c r="A83" s="19" t="s">
        <v>662</v>
      </c>
    </row>
    <row r="84" spans="1:1">
      <c r="A84" s="18"/>
    </row>
    <row r="85" spans="1:1">
      <c r="A85" s="19" t="s">
        <v>663</v>
      </c>
    </row>
    <row r="86" spans="1:1">
      <c r="A86" s="19" t="s">
        <v>664</v>
      </c>
    </row>
    <row r="87" spans="1:1">
      <c r="A87" s="19" t="s">
        <v>665</v>
      </c>
    </row>
    <row r="88" spans="1:1">
      <c r="A88" s="18"/>
    </row>
    <row r="89" spans="1:1">
      <c r="A89" s="18"/>
    </row>
    <row r="90" spans="1:1">
      <c r="A90" s="19" t="s">
        <v>642</v>
      </c>
    </row>
    <row r="91" spans="1:1">
      <c r="A91" s="19" t="s">
        <v>666</v>
      </c>
    </row>
    <row r="92" spans="1:1">
      <c r="A92" s="19" t="s">
        <v>642</v>
      </c>
    </row>
    <row r="93" spans="1:1">
      <c r="A93" s="18"/>
    </row>
    <row r="94" spans="1:1">
      <c r="A94" s="19" t="s">
        <v>667</v>
      </c>
    </row>
    <row r="95" spans="1:1">
      <c r="A95" s="19" t="s">
        <v>668</v>
      </c>
    </row>
    <row r="96" spans="1:1">
      <c r="A96" s="19" t="s">
        <v>34</v>
      </c>
    </row>
    <row r="97" spans="1:1">
      <c r="A97" s="19" t="s">
        <v>669</v>
      </c>
    </row>
    <row r="98" spans="1:1">
      <c r="A98" s="19" t="s">
        <v>581</v>
      </c>
    </row>
    <row r="99" spans="1:1">
      <c r="A99" s="19" t="s">
        <v>38</v>
      </c>
    </row>
    <row r="100" spans="1:1">
      <c r="A100" s="18"/>
    </row>
    <row r="101" spans="1:1">
      <c r="A101" s="19" t="s">
        <v>670</v>
      </c>
    </row>
    <row r="102" spans="1:1">
      <c r="A102" s="19" t="s">
        <v>671</v>
      </c>
    </row>
    <row r="103" spans="1:1">
      <c r="A103" s="19" t="s">
        <v>34</v>
      </c>
    </row>
    <row r="104" spans="1:1">
      <c r="A104" s="19" t="s">
        <v>672</v>
      </c>
    </row>
    <row r="105" spans="1:1">
      <c r="A105" s="19" t="s">
        <v>581</v>
      </c>
    </row>
    <row r="106" spans="1:1">
      <c r="A106" s="19" t="s">
        <v>38</v>
      </c>
    </row>
    <row r="107" spans="1:1">
      <c r="A107" s="18"/>
    </row>
    <row r="108" spans="1:1">
      <c r="A108" s="19" t="s">
        <v>673</v>
      </c>
    </row>
    <row r="109" spans="1:1">
      <c r="A109" s="19" t="s">
        <v>674</v>
      </c>
    </row>
    <row r="110" spans="1:1">
      <c r="A110" s="19" t="s">
        <v>34</v>
      </c>
    </row>
    <row r="111" spans="1:1">
      <c r="A111" s="19" t="s">
        <v>675</v>
      </c>
    </row>
    <row r="112" spans="1:1">
      <c r="A112" s="19" t="s">
        <v>581</v>
      </c>
    </row>
    <row r="113" spans="1:1">
      <c r="A113" s="19" t="s">
        <v>38</v>
      </c>
    </row>
    <row r="114" spans="1:1">
      <c r="A114" s="18"/>
    </row>
    <row r="115" spans="1:1">
      <c r="A115" s="19" t="s">
        <v>676</v>
      </c>
    </row>
    <row r="116" spans="1:1">
      <c r="A116" s="19" t="s">
        <v>677</v>
      </c>
    </row>
    <row r="117" spans="1:1">
      <c r="A117" s="19" t="s">
        <v>34</v>
      </c>
    </row>
    <row r="118" spans="1:1">
      <c r="A118" s="19" t="s">
        <v>678</v>
      </c>
    </row>
    <row r="119" spans="1:1">
      <c r="A119" s="19" t="s">
        <v>581</v>
      </c>
    </row>
    <row r="120" spans="1:1">
      <c r="A120" s="19" t="s">
        <v>38</v>
      </c>
    </row>
    <row r="121" spans="1:1">
      <c r="A121" s="18"/>
    </row>
    <row r="122" spans="1:1">
      <c r="A122" s="19" t="s">
        <v>679</v>
      </c>
    </row>
    <row r="123" spans="1:1">
      <c r="A123" s="19" t="s">
        <v>680</v>
      </c>
    </row>
    <row r="124" spans="1:1">
      <c r="A124" s="19" t="s">
        <v>681</v>
      </c>
    </row>
    <row r="125" spans="1:1">
      <c r="A125" s="19" t="s">
        <v>682</v>
      </c>
    </row>
    <row r="126" spans="1:1">
      <c r="A126" s="18"/>
    </row>
    <row r="127" spans="1:1">
      <c r="A127" s="19" t="s">
        <v>683</v>
      </c>
    </row>
    <row r="128" spans="1:1">
      <c r="A128" s="19" t="s">
        <v>684</v>
      </c>
    </row>
    <row r="129" spans="1:1">
      <c r="A129" s="19" t="s">
        <v>582</v>
      </c>
    </row>
    <row r="130" spans="1:1">
      <c r="A130" s="19" t="s">
        <v>685</v>
      </c>
    </row>
    <row r="131" spans="1:1">
      <c r="A131" s="19" t="s">
        <v>43</v>
      </c>
    </row>
    <row r="132" spans="1:1">
      <c r="A132" s="18"/>
    </row>
    <row r="133" spans="1:1">
      <c r="A133" s="18"/>
    </row>
    <row r="134" spans="1:1">
      <c r="A134" s="19" t="s">
        <v>642</v>
      </c>
    </row>
    <row r="135" spans="1:1">
      <c r="A135" s="19" t="s">
        <v>686</v>
      </c>
    </row>
    <row r="136" spans="1:1">
      <c r="A136" s="19" t="s">
        <v>642</v>
      </c>
    </row>
    <row r="137" spans="1:1">
      <c r="A137" s="18"/>
    </row>
    <row r="138" spans="1:1">
      <c r="A138" s="19" t="s">
        <v>687</v>
      </c>
    </row>
    <row r="139" spans="1:1">
      <c r="A139" s="19" t="s">
        <v>688</v>
      </c>
    </row>
    <row r="140" spans="1:1">
      <c r="A140" s="18"/>
    </row>
    <row r="141" spans="1:1">
      <c r="A141" s="19" t="s">
        <v>689</v>
      </c>
    </row>
    <row r="142" spans="1:1">
      <c r="A142" s="19" t="s">
        <v>690</v>
      </c>
    </row>
    <row r="143" spans="1:1">
      <c r="A143" s="18"/>
    </row>
    <row r="144" spans="1:1">
      <c r="A144" s="19" t="s">
        <v>691</v>
      </c>
    </row>
    <row r="145" spans="1:1">
      <c r="A145" s="19" t="s">
        <v>583</v>
      </c>
    </row>
    <row r="146" spans="1:1">
      <c r="A146" s="19" t="s">
        <v>692</v>
      </c>
    </row>
    <row r="147" spans="1:1">
      <c r="A147" s="18"/>
    </row>
    <row r="148" spans="1:1">
      <c r="A148" s="19" t="s">
        <v>693</v>
      </c>
    </row>
    <row r="149" spans="1:1">
      <c r="A149" s="19" t="s">
        <v>694</v>
      </c>
    </row>
    <row r="150" spans="1:1">
      <c r="A150" s="18"/>
    </row>
    <row r="151" spans="1:1">
      <c r="A151" s="18"/>
    </row>
    <row r="152" spans="1:1">
      <c r="A152" s="19" t="s">
        <v>642</v>
      </c>
    </row>
    <row r="153" spans="1:1">
      <c r="A153" s="19" t="s">
        <v>695</v>
      </c>
    </row>
    <row r="154" spans="1:1">
      <c r="A154" s="19" t="s">
        <v>642</v>
      </c>
    </row>
    <row r="155" spans="1:1">
      <c r="A155" s="18"/>
    </row>
    <row r="156" spans="1:1">
      <c r="A156" s="19" t="s">
        <v>696</v>
      </c>
    </row>
    <row r="157" spans="1:1">
      <c r="A157" s="19" t="s">
        <v>697</v>
      </c>
    </row>
    <row r="158" spans="1:1">
      <c r="A158" s="19" t="s">
        <v>698</v>
      </c>
    </row>
    <row r="159" spans="1:1">
      <c r="A159" s="19" t="s">
        <v>699</v>
      </c>
    </row>
    <row r="160" spans="1:1">
      <c r="A160" s="19" t="s">
        <v>57</v>
      </c>
    </row>
    <row r="161" spans="1:1">
      <c r="A161" s="19" t="s">
        <v>289</v>
      </c>
    </row>
    <row r="162" spans="1:1">
      <c r="A162" s="19" t="s">
        <v>290</v>
      </c>
    </row>
    <row r="163" spans="1:1">
      <c r="A163" s="19" t="s">
        <v>700</v>
      </c>
    </row>
    <row r="164" spans="1:1">
      <c r="A164" s="19" t="s">
        <v>701</v>
      </c>
    </row>
    <row r="165" spans="1:1">
      <c r="A165" s="19" t="s">
        <v>702</v>
      </c>
    </row>
    <row r="166" spans="1:1">
      <c r="A166" s="19" t="s">
        <v>38</v>
      </c>
    </row>
    <row r="167" spans="1:1">
      <c r="A167" s="18"/>
    </row>
    <row r="168" spans="1:1">
      <c r="A168" s="19" t="s">
        <v>703</v>
      </c>
    </row>
    <row r="169" spans="1:1">
      <c r="A169" s="19" t="s">
        <v>704</v>
      </c>
    </row>
    <row r="170" spans="1:1">
      <c r="A170" s="19" t="s">
        <v>698</v>
      </c>
    </row>
    <row r="171" spans="1:1">
      <c r="A171" s="19" t="s">
        <v>699</v>
      </c>
    </row>
    <row r="172" spans="1:1">
      <c r="A172" s="19" t="s">
        <v>57</v>
      </c>
    </row>
    <row r="173" spans="1:1">
      <c r="A173" s="19" t="s">
        <v>584</v>
      </c>
    </row>
    <row r="174" spans="1:1">
      <c r="A174" s="19" t="s">
        <v>585</v>
      </c>
    </row>
    <row r="175" spans="1:1">
      <c r="A175" s="19" t="s">
        <v>705</v>
      </c>
    </row>
    <row r="176" spans="1:1">
      <c r="A176" s="19" t="s">
        <v>586</v>
      </c>
    </row>
    <row r="177" spans="1:1">
      <c r="A177" s="19" t="s">
        <v>706</v>
      </c>
    </row>
    <row r="178" spans="1:1">
      <c r="A178" s="19" t="s">
        <v>707</v>
      </c>
    </row>
    <row r="179" spans="1:1">
      <c r="A179" s="19" t="s">
        <v>708</v>
      </c>
    </row>
    <row r="180" spans="1:1">
      <c r="A180" s="19" t="s">
        <v>587</v>
      </c>
    </row>
    <row r="181" spans="1:1">
      <c r="A181" s="19" t="s">
        <v>38</v>
      </c>
    </row>
    <row r="182" spans="1:1">
      <c r="A182" s="18"/>
    </row>
    <row r="183" spans="1:1">
      <c r="A183" s="19" t="s">
        <v>709</v>
      </c>
    </row>
    <row r="184" spans="1:1">
      <c r="A184" s="19" t="s">
        <v>710</v>
      </c>
    </row>
    <row r="185" spans="1:1">
      <c r="A185" s="19" t="s">
        <v>698</v>
      </c>
    </row>
    <row r="186" spans="1:1">
      <c r="A186" s="19" t="s">
        <v>699</v>
      </c>
    </row>
    <row r="187" spans="1:1">
      <c r="A187" s="19" t="s">
        <v>57</v>
      </c>
    </row>
    <row r="188" spans="1:1">
      <c r="A188" s="19" t="s">
        <v>584</v>
      </c>
    </row>
    <row r="189" spans="1:1">
      <c r="A189" s="19" t="s">
        <v>585</v>
      </c>
    </row>
    <row r="190" spans="1:1">
      <c r="A190" s="19" t="s">
        <v>711</v>
      </c>
    </row>
    <row r="191" spans="1:1">
      <c r="A191" s="19" t="s">
        <v>586</v>
      </c>
    </row>
    <row r="192" spans="1:1">
      <c r="A192" s="19" t="s">
        <v>706</v>
      </c>
    </row>
    <row r="193" spans="1:1">
      <c r="A193" s="19" t="s">
        <v>712</v>
      </c>
    </row>
    <row r="194" spans="1:1">
      <c r="A194" s="19" t="s">
        <v>713</v>
      </c>
    </row>
    <row r="195" spans="1:1">
      <c r="A195" s="19" t="s">
        <v>587</v>
      </c>
    </row>
    <row r="196" spans="1:1">
      <c r="A196" s="19" t="s">
        <v>38</v>
      </c>
    </row>
    <row r="200" spans="1:1">
      <c r="A200" t="s">
        <v>714</v>
      </c>
    </row>
    <row r="201" spans="1:1">
      <c r="A201" t="s">
        <v>715</v>
      </c>
    </row>
    <row r="203" spans="1:1">
      <c r="A203" s="19" t="s">
        <v>26</v>
      </c>
    </row>
    <row r="204" spans="1:1">
      <c r="A204" s="19" t="s">
        <v>716</v>
      </c>
    </row>
    <row r="205" spans="1:1">
      <c r="A205" s="19" t="s">
        <v>26</v>
      </c>
    </row>
    <row r="206" spans="1:1">
      <c r="A206" s="18"/>
    </row>
    <row r="207" spans="1:1">
      <c r="A207" s="19" t="s">
        <v>717</v>
      </c>
    </row>
    <row r="208" spans="1:1">
      <c r="A208" s="19" t="s">
        <v>522</v>
      </c>
    </row>
    <row r="209" spans="1:1">
      <c r="A209" s="19" t="s">
        <v>523</v>
      </c>
    </row>
    <row r="210" spans="1:1">
      <c r="A210" s="19" t="s">
        <v>524</v>
      </c>
    </row>
    <row r="211" spans="1:1">
      <c r="A211" s="19" t="s">
        <v>523</v>
      </c>
    </row>
    <row r="212" spans="1:1">
      <c r="A212" s="19" t="s">
        <v>525</v>
      </c>
    </row>
    <row r="213" spans="1:1">
      <c r="A213" s="19" t="s">
        <v>526</v>
      </c>
    </row>
    <row r="214" spans="1:1">
      <c r="A214" s="19" t="s">
        <v>527</v>
      </c>
    </row>
    <row r="215" spans="1:1">
      <c r="A215" s="19" t="s">
        <v>528</v>
      </c>
    </row>
    <row r="216" spans="1:1">
      <c r="A216" s="19" t="s">
        <v>718</v>
      </c>
    </row>
    <row r="217" spans="1:1">
      <c r="A217" s="19" t="s">
        <v>719</v>
      </c>
    </row>
    <row r="218" spans="1:1">
      <c r="A218" s="19" t="s">
        <v>530</v>
      </c>
    </row>
    <row r="219" spans="1:1">
      <c r="A219" s="19" t="s">
        <v>720</v>
      </c>
    </row>
    <row r="220" spans="1:1">
      <c r="A220" s="19" t="s">
        <v>528</v>
      </c>
    </row>
    <row r="221" spans="1:1">
      <c r="A221" s="19" t="s">
        <v>526</v>
      </c>
    </row>
    <row r="222" spans="1:1">
      <c r="A222" s="19" t="s">
        <v>527</v>
      </c>
    </row>
    <row r="223" spans="1:1">
      <c r="A223" s="19" t="s">
        <v>528</v>
      </c>
    </row>
    <row r="224" spans="1:1">
      <c r="A224" s="19" t="s">
        <v>721</v>
      </c>
    </row>
    <row r="225" spans="1:1">
      <c r="A225" s="19" t="s">
        <v>722</v>
      </c>
    </row>
    <row r="226" spans="1:1">
      <c r="A226" s="19" t="s">
        <v>528</v>
      </c>
    </row>
    <row r="230" spans="1:1">
      <c r="A230" t="s">
        <v>723</v>
      </c>
    </row>
    <row r="231" spans="1:1">
      <c r="A231" t="s">
        <v>724</v>
      </c>
    </row>
    <row r="232" spans="1:1">
      <c r="A232" s="16"/>
    </row>
    <row r="233" spans="1:1">
      <c r="A233" s="17" t="s">
        <v>725</v>
      </c>
    </row>
    <row r="234" spans="1:1">
      <c r="A234" s="17" t="s">
        <v>726</v>
      </c>
    </row>
    <row r="235" spans="1:1">
      <c r="A235" s="17" t="s">
        <v>727</v>
      </c>
    </row>
    <row r="236" spans="1:1">
      <c r="A236" s="17" t="s">
        <v>728</v>
      </c>
    </row>
    <row r="237" spans="1:1">
      <c r="A237" s="17" t="s">
        <v>729</v>
      </c>
    </row>
    <row r="238" spans="1:1">
      <c r="A238" s="17" t="s">
        <v>730</v>
      </c>
    </row>
    <row r="239" spans="1:1">
      <c r="A239" s="17" t="s">
        <v>731</v>
      </c>
    </row>
    <row r="240" spans="1:1">
      <c r="A240" s="17" t="s">
        <v>732</v>
      </c>
    </row>
    <row r="241" spans="1:1">
      <c r="A241" s="17" t="s">
        <v>733</v>
      </c>
    </row>
    <row r="242" spans="1:1">
      <c r="A242" s="17" t="s">
        <v>734</v>
      </c>
    </row>
    <row r="243" spans="1:1">
      <c r="A243" s="17" t="s">
        <v>735</v>
      </c>
    </row>
    <row r="244" spans="1:1">
      <c r="A244" s="17" t="s">
        <v>736</v>
      </c>
    </row>
    <row r="246" spans="1:1">
      <c r="A246" t="s">
        <v>737</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96DEE-BDB3-462A-9C03-2B1FA729829C}">
  <dimension ref="A1:E86"/>
  <sheetViews>
    <sheetView topLeftCell="A41" workbookViewId="0">
      <selection sqref="A1:E86"/>
    </sheetView>
  </sheetViews>
  <sheetFormatPr defaultRowHeight="14.5"/>
  <sheetData>
    <row r="1" spans="1:1">
      <c r="A1" t="s">
        <v>738</v>
      </c>
    </row>
    <row r="4" spans="1:1">
      <c r="A4" t="s">
        <v>739</v>
      </c>
    </row>
    <row r="5" spans="1:1">
      <c r="A5" s="16"/>
    </row>
    <row r="6" spans="1:1">
      <c r="A6" s="17" t="s">
        <v>740</v>
      </c>
    </row>
    <row r="7" spans="1:1">
      <c r="A7" s="17" t="s">
        <v>741</v>
      </c>
    </row>
    <row r="11" spans="1:1">
      <c r="A11" t="s">
        <v>742</v>
      </c>
    </row>
    <row r="12" spans="1:1">
      <c r="A12" s="16"/>
    </row>
    <row r="13" spans="1:1">
      <c r="A13" s="17" t="s">
        <v>743</v>
      </c>
    </row>
    <row r="14" spans="1:1">
      <c r="A14" s="17" t="s">
        <v>744</v>
      </c>
    </row>
    <row r="15" spans="1:1">
      <c r="A15" s="17" t="s">
        <v>745</v>
      </c>
    </row>
    <row r="19" spans="1:1">
      <c r="A19" t="s">
        <v>746</v>
      </c>
    </row>
    <row r="20" spans="1:1">
      <c r="A20" s="16"/>
    </row>
    <row r="21" spans="1:1">
      <c r="A21" s="17" t="s">
        <v>747</v>
      </c>
    </row>
    <row r="22" spans="1:1">
      <c r="A22" s="17" t="s">
        <v>748</v>
      </c>
    </row>
    <row r="23" spans="1:1">
      <c r="A23" s="17" t="s">
        <v>749</v>
      </c>
    </row>
    <row r="27" spans="1:1">
      <c r="A27" t="s">
        <v>750</v>
      </c>
    </row>
    <row r="28" spans="1:1">
      <c r="A28" t="s">
        <v>751</v>
      </c>
    </row>
    <row r="29" spans="1:1">
      <c r="A29" t="s">
        <v>752</v>
      </c>
    </row>
    <row r="30" spans="1:1">
      <c r="A30" t="s">
        <v>460</v>
      </c>
    </row>
    <row r="31" spans="1:1">
      <c r="A31" t="s">
        <v>461</v>
      </c>
    </row>
    <row r="32" spans="1:1">
      <c r="A32" t="s">
        <v>462</v>
      </c>
    </row>
    <row r="33" spans="1:5">
      <c r="A33" t="s">
        <v>463</v>
      </c>
    </row>
    <row r="35" spans="1:5">
      <c r="A35" t="s">
        <v>753</v>
      </c>
    </row>
    <row r="37" spans="1:5">
      <c r="A37" t="s">
        <v>465</v>
      </c>
    </row>
    <row r="38" spans="1:5">
      <c r="A38" t="s">
        <v>466</v>
      </c>
    </row>
    <row r="39" spans="1:5">
      <c r="A39" t="s">
        <v>754</v>
      </c>
    </row>
    <row r="42" spans="1:5">
      <c r="A42" t="s">
        <v>755</v>
      </c>
    </row>
    <row r="43" spans="1:5">
      <c r="A43" t="s">
        <v>756</v>
      </c>
    </row>
    <row r="44" spans="1:5" ht="72.5">
      <c r="A44" s="13" t="s">
        <v>757</v>
      </c>
      <c r="B44" s="13" t="s">
        <v>758</v>
      </c>
      <c r="C44" s="13" t="s">
        <v>759</v>
      </c>
      <c r="D44" s="13" t="s">
        <v>760</v>
      </c>
      <c r="E44" s="13" t="s">
        <v>761</v>
      </c>
    </row>
    <row r="45" spans="1:5" ht="101.5">
      <c r="A45" s="15" t="s">
        <v>762</v>
      </c>
      <c r="B45" s="15" t="s">
        <v>763</v>
      </c>
      <c r="C45" s="14" t="s">
        <v>764</v>
      </c>
      <c r="D45" s="15" t="s">
        <v>765</v>
      </c>
      <c r="E45" s="14" t="s">
        <v>766</v>
      </c>
    </row>
    <row r="46" spans="1:5" ht="232">
      <c r="A46" s="15" t="s">
        <v>767</v>
      </c>
      <c r="B46" s="15" t="s">
        <v>768</v>
      </c>
      <c r="C46" s="14" t="s">
        <v>769</v>
      </c>
      <c r="D46" s="15" t="s">
        <v>770</v>
      </c>
      <c r="E46" s="15" t="s">
        <v>771</v>
      </c>
    </row>
    <row r="47" spans="1:5" ht="145">
      <c r="A47" s="15" t="s">
        <v>772</v>
      </c>
      <c r="B47" s="15" t="s">
        <v>773</v>
      </c>
      <c r="C47" s="14" t="s">
        <v>774</v>
      </c>
      <c r="D47" s="15" t="s">
        <v>775</v>
      </c>
      <c r="E47" s="14" t="s">
        <v>776</v>
      </c>
    </row>
    <row r="48" spans="1:5" ht="130.5">
      <c r="A48" s="15" t="s">
        <v>777</v>
      </c>
      <c r="B48" s="15" t="s">
        <v>773</v>
      </c>
      <c r="C48" s="14" t="s">
        <v>774</v>
      </c>
      <c r="D48" s="15" t="s">
        <v>775</v>
      </c>
      <c r="E48" s="14" t="s">
        <v>778</v>
      </c>
    </row>
    <row r="49" spans="1:5" ht="145">
      <c r="A49" s="15" t="s">
        <v>779</v>
      </c>
      <c r="B49" s="15" t="s">
        <v>780</v>
      </c>
      <c r="C49" s="14" t="s">
        <v>781</v>
      </c>
      <c r="D49" s="15" t="s">
        <v>782</v>
      </c>
      <c r="E49" s="14" t="s">
        <v>783</v>
      </c>
    </row>
    <row r="50" spans="1:5" ht="174">
      <c r="A50" s="15" t="s">
        <v>784</v>
      </c>
      <c r="B50" s="48">
        <v>18201</v>
      </c>
      <c r="C50" s="14" t="s">
        <v>785</v>
      </c>
      <c r="D50" s="15" t="s">
        <v>786</v>
      </c>
      <c r="E50" s="15" t="s">
        <v>787</v>
      </c>
    </row>
    <row r="51" spans="1:5" ht="203">
      <c r="A51" s="15" t="s">
        <v>788</v>
      </c>
      <c r="B51" s="48">
        <v>11601</v>
      </c>
      <c r="C51" s="14" t="s">
        <v>789</v>
      </c>
      <c r="D51" s="15" t="s">
        <v>790</v>
      </c>
      <c r="E51" s="15" t="s">
        <v>791</v>
      </c>
    </row>
    <row r="52" spans="1:5" ht="72.5">
      <c r="A52" s="15" t="s">
        <v>792</v>
      </c>
      <c r="B52" s="15" t="s">
        <v>793</v>
      </c>
      <c r="C52" s="15" t="s">
        <v>794</v>
      </c>
      <c r="D52" s="15" t="s">
        <v>795</v>
      </c>
      <c r="E52" s="15" t="s">
        <v>796</v>
      </c>
    </row>
    <row r="55" spans="1:5">
      <c r="A55" t="s">
        <v>797</v>
      </c>
    </row>
    <row r="56" spans="1:5">
      <c r="A56" t="s">
        <v>798</v>
      </c>
    </row>
    <row r="57" spans="1:5">
      <c r="A57" t="s">
        <v>799</v>
      </c>
    </row>
    <row r="58" spans="1:5">
      <c r="A58" t="s">
        <v>800</v>
      </c>
    </row>
    <row r="59" spans="1:5">
      <c r="A59" t="s">
        <v>801</v>
      </c>
    </row>
    <row r="60" spans="1:5">
      <c r="A60" s="47" t="s">
        <v>802</v>
      </c>
    </row>
    <row r="63" spans="1:5">
      <c r="A63" t="s">
        <v>803</v>
      </c>
    </row>
    <row r="64" spans="1:5">
      <c r="A64" t="s">
        <v>804</v>
      </c>
    </row>
    <row r="65" spans="1:1">
      <c r="A65" s="16"/>
    </row>
    <row r="66" spans="1:1">
      <c r="A66" s="17" t="s">
        <v>805</v>
      </c>
    </row>
    <row r="67" spans="1:1">
      <c r="A67" s="17" t="s">
        <v>806</v>
      </c>
    </row>
    <row r="68" spans="1:1">
      <c r="A68" s="17" t="s">
        <v>807</v>
      </c>
    </row>
    <row r="70" spans="1:1">
      <c r="A70" t="s">
        <v>808</v>
      </c>
    </row>
    <row r="73" spans="1:1">
      <c r="A73" t="s">
        <v>809</v>
      </c>
    </row>
    <row r="74" spans="1:1">
      <c r="A74" t="s">
        <v>810</v>
      </c>
    </row>
    <row r="75" spans="1:1">
      <c r="A75" t="s">
        <v>811</v>
      </c>
    </row>
    <row r="76" spans="1:1">
      <c r="A76" s="16"/>
    </row>
    <row r="77" spans="1:1">
      <c r="A77" s="17" t="s">
        <v>812</v>
      </c>
    </row>
    <row r="78" spans="1:1">
      <c r="A78" s="17" t="s">
        <v>813</v>
      </c>
    </row>
    <row r="79" spans="1:1">
      <c r="A79" s="17" t="s">
        <v>814</v>
      </c>
    </row>
    <row r="81" spans="1:1">
      <c r="A81" t="s">
        <v>815</v>
      </c>
    </row>
    <row r="84" spans="1:1">
      <c r="A84" t="s">
        <v>816</v>
      </c>
    </row>
    <row r="85" spans="1:1">
      <c r="A85" t="s">
        <v>817</v>
      </c>
    </row>
    <row r="86" spans="1:1">
      <c r="A86" t="s">
        <v>818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9DAB4-5299-408D-9916-6A4250304F80}">
  <dimension ref="A1:C126"/>
  <sheetViews>
    <sheetView workbookViewId="0">
      <selection activeCell="F3" sqref="F3"/>
    </sheetView>
  </sheetViews>
  <sheetFormatPr defaultRowHeight="14.5"/>
  <cols>
    <col min="2" max="2" width="28.453125" customWidth="1"/>
    <col min="3" max="3" width="24.81640625" customWidth="1"/>
  </cols>
  <sheetData>
    <row r="1" spans="1:3">
      <c r="A1" s="1" t="s">
        <v>0</v>
      </c>
      <c r="B1" s="2"/>
      <c r="C1" s="2"/>
    </row>
    <row r="2" spans="1:3">
      <c r="A2" s="2"/>
      <c r="B2" s="2"/>
      <c r="C2" s="2"/>
    </row>
    <row r="3" spans="1:3">
      <c r="A3" s="2"/>
      <c r="B3" s="2"/>
      <c r="C3" s="2"/>
    </row>
    <row r="4" spans="1:3">
      <c r="A4" s="1" t="s">
        <v>1</v>
      </c>
      <c r="B4" s="2"/>
      <c r="C4" s="2"/>
    </row>
    <row r="5" spans="1:3">
      <c r="A5" s="3" t="s">
        <v>75</v>
      </c>
      <c r="B5" s="2"/>
      <c r="C5" s="2"/>
    </row>
    <row r="6" spans="1:3">
      <c r="A6" s="3" t="s">
        <v>76</v>
      </c>
      <c r="B6" s="2"/>
      <c r="C6" s="2"/>
    </row>
    <row r="7" spans="1:3">
      <c r="A7" s="2"/>
      <c r="B7" s="2"/>
      <c r="C7" s="2"/>
    </row>
    <row r="8" spans="1:3">
      <c r="A8" s="4" t="s">
        <v>2</v>
      </c>
      <c r="B8" s="2"/>
      <c r="C8" s="2"/>
    </row>
    <row r="9" spans="1:3">
      <c r="A9" s="4" t="s">
        <v>3</v>
      </c>
      <c r="B9" s="2"/>
      <c r="C9" s="2"/>
    </row>
    <row r="10" spans="1:3">
      <c r="A10" s="4" t="s">
        <v>2</v>
      </c>
      <c r="B10" s="2"/>
      <c r="C10" s="2"/>
    </row>
    <row r="11" spans="1:3">
      <c r="A11" s="4" t="s">
        <v>4</v>
      </c>
      <c r="B11" s="2"/>
      <c r="C11" s="2"/>
    </row>
    <row r="12" spans="1:3">
      <c r="A12" s="4" t="s">
        <v>5</v>
      </c>
      <c r="B12" s="2"/>
      <c r="C12" s="2"/>
    </row>
    <row r="13" spans="1:3">
      <c r="A13" s="4" t="s">
        <v>6</v>
      </c>
      <c r="B13" s="2"/>
      <c r="C13" s="2"/>
    </row>
    <row r="14" spans="1:3">
      <c r="A14" s="4" t="s">
        <v>5</v>
      </c>
      <c r="B14" s="2"/>
      <c r="C14" s="2"/>
    </row>
    <row r="15" spans="1:3">
      <c r="A15" s="4" t="s">
        <v>7</v>
      </c>
      <c r="B15" s="2"/>
      <c r="C15" s="2"/>
    </row>
    <row r="16" spans="1:3">
      <c r="A16" s="4" t="s">
        <v>5</v>
      </c>
      <c r="B16" s="2"/>
      <c r="C16" s="2"/>
    </row>
    <row r="17" spans="1:3">
      <c r="A17" s="4" t="s">
        <v>8</v>
      </c>
      <c r="B17" s="2"/>
      <c r="C17" s="2"/>
    </row>
    <row r="18" spans="1:3">
      <c r="A18" s="4" t="s">
        <v>2</v>
      </c>
      <c r="B18" s="2"/>
      <c r="C18" s="2"/>
    </row>
    <row r="19" spans="1:3">
      <c r="A19" s="2"/>
      <c r="B19" s="2"/>
      <c r="C19" s="2"/>
    </row>
    <row r="20" spans="1:3">
      <c r="A20" s="2"/>
      <c r="B20" s="2"/>
      <c r="C20" s="2"/>
    </row>
    <row r="21" spans="1:3">
      <c r="A21" s="2"/>
      <c r="B21" s="2"/>
      <c r="C21" s="2"/>
    </row>
    <row r="22" spans="1:3">
      <c r="A22" s="1" t="s">
        <v>9</v>
      </c>
      <c r="B22" s="2"/>
      <c r="C22" s="2"/>
    </row>
    <row r="23" spans="1:3">
      <c r="A23" s="3" t="s">
        <v>77</v>
      </c>
      <c r="B23" s="2"/>
      <c r="C23" s="2"/>
    </row>
    <row r="24" spans="1:3">
      <c r="A24" s="5"/>
      <c r="B24" s="2"/>
      <c r="C24" s="2"/>
    </row>
    <row r="25" spans="1:3">
      <c r="A25" s="6" t="s">
        <v>78</v>
      </c>
      <c r="B25" s="2"/>
      <c r="C25" s="2"/>
    </row>
    <row r="26" spans="1:3">
      <c r="A26" s="6" t="s">
        <v>79</v>
      </c>
      <c r="B26" s="2"/>
      <c r="C26" s="2"/>
    </row>
    <row r="27" spans="1:3">
      <c r="A27" s="6" t="s">
        <v>80</v>
      </c>
      <c r="B27" s="2"/>
      <c r="C27" s="2"/>
    </row>
    <row r="28" spans="1:3">
      <c r="A28" s="6" t="s">
        <v>81</v>
      </c>
      <c r="B28" s="2"/>
      <c r="C28" s="2"/>
    </row>
    <row r="29" spans="1:3">
      <c r="A29" s="2"/>
      <c r="B29" s="2"/>
      <c r="C29" s="2"/>
    </row>
    <row r="30" spans="1:3">
      <c r="A30" s="2"/>
      <c r="B30" s="2"/>
      <c r="C30" s="2"/>
    </row>
    <row r="31" spans="1:3">
      <c r="A31" s="2"/>
      <c r="B31" s="2"/>
      <c r="C31" s="2"/>
    </row>
    <row r="32" spans="1:3">
      <c r="A32" s="1" t="s">
        <v>10</v>
      </c>
      <c r="B32" s="2"/>
      <c r="C32" s="2"/>
    </row>
    <row r="33" spans="1:3">
      <c r="A33" s="2"/>
      <c r="B33" s="2"/>
      <c r="C33" s="2"/>
    </row>
    <row r="34" spans="1:3">
      <c r="A34" s="4" t="s">
        <v>11</v>
      </c>
      <c r="B34" s="2"/>
      <c r="C34" s="2"/>
    </row>
    <row r="35" spans="1:3">
      <c r="A35" s="4" t="s">
        <v>12</v>
      </c>
      <c r="B35" s="2"/>
      <c r="C35" s="2"/>
    </row>
    <row r="36" spans="1:3">
      <c r="A36" s="4" t="s">
        <v>13</v>
      </c>
      <c r="B36" s="2"/>
      <c r="C36" s="2"/>
    </row>
    <row r="37" spans="1:3">
      <c r="A37" s="4" t="s">
        <v>14</v>
      </c>
      <c r="B37" s="2"/>
      <c r="C37" s="2"/>
    </row>
    <row r="38" spans="1:3">
      <c r="A38" s="4" t="s">
        <v>12</v>
      </c>
      <c r="B38" s="2"/>
      <c r="C38" s="2"/>
    </row>
    <row r="39" spans="1:3">
      <c r="A39" s="4" t="s">
        <v>13</v>
      </c>
      <c r="B39" s="2"/>
      <c r="C39" s="2"/>
    </row>
    <row r="40" spans="1:3">
      <c r="A40" s="4" t="s">
        <v>15</v>
      </c>
      <c r="B40" s="2"/>
      <c r="C40" s="2"/>
    </row>
    <row r="41" spans="1:3">
      <c r="A41" s="4" t="s">
        <v>12</v>
      </c>
      <c r="B41" s="2"/>
      <c r="C41" s="2"/>
    </row>
    <row r="42" spans="1:3">
      <c r="A42" s="4" t="s">
        <v>13</v>
      </c>
      <c r="B42" s="2"/>
      <c r="C42" s="2"/>
    </row>
    <row r="43" spans="1:3">
      <c r="A43" s="4" t="s">
        <v>16</v>
      </c>
      <c r="B43" s="2"/>
      <c r="C43" s="2"/>
    </row>
    <row r="44" spans="1:3">
      <c r="A44" s="4" t="s">
        <v>12</v>
      </c>
      <c r="B44" s="2"/>
      <c r="C44" s="2"/>
    </row>
    <row r="45" spans="1:3">
      <c r="A45" s="4" t="s">
        <v>13</v>
      </c>
      <c r="B45" s="2"/>
      <c r="C45" s="2"/>
    </row>
    <row r="46" spans="1:3">
      <c r="A46" s="4" t="s">
        <v>17</v>
      </c>
      <c r="B46" s="2"/>
      <c r="C46" s="2"/>
    </row>
    <row r="47" spans="1:3">
      <c r="A47" s="2"/>
      <c r="B47" s="2"/>
      <c r="C47" s="2"/>
    </row>
    <row r="48" spans="1:3">
      <c r="A48" s="1" t="s">
        <v>18</v>
      </c>
      <c r="B48" s="2"/>
      <c r="C48" s="2"/>
    </row>
    <row r="49" spans="1:3">
      <c r="A49" s="5"/>
      <c r="B49" s="2"/>
      <c r="C49" s="2"/>
    </row>
    <row r="50" spans="1:3">
      <c r="A50" s="6" t="s">
        <v>82</v>
      </c>
      <c r="B50" s="2"/>
      <c r="C50" s="2"/>
    </row>
    <row r="51" spans="1:3">
      <c r="A51" s="6" t="s">
        <v>83</v>
      </c>
      <c r="B51" s="2"/>
      <c r="C51" s="2"/>
    </row>
    <row r="52" spans="1:3">
      <c r="A52" s="6" t="s">
        <v>84</v>
      </c>
      <c r="B52" s="2"/>
      <c r="C52" s="2"/>
    </row>
    <row r="53" spans="1:3">
      <c r="A53" s="2"/>
      <c r="B53" s="2"/>
      <c r="C53" s="2"/>
    </row>
    <row r="54" spans="1:3">
      <c r="A54" s="1" t="s">
        <v>19</v>
      </c>
      <c r="B54" s="2"/>
      <c r="C54" s="2"/>
    </row>
    <row r="55" spans="1:3">
      <c r="A55" s="5"/>
      <c r="B55" s="2"/>
      <c r="C55" s="2"/>
    </row>
    <row r="56" spans="1:3">
      <c r="A56" s="6" t="s">
        <v>85</v>
      </c>
      <c r="B56" s="2"/>
      <c r="C56" s="2"/>
    </row>
    <row r="57" spans="1:3">
      <c r="A57" s="6" t="s">
        <v>86</v>
      </c>
      <c r="B57" s="2"/>
      <c r="C57" s="2"/>
    </row>
    <row r="58" spans="1:3">
      <c r="A58" s="2"/>
      <c r="B58" s="2"/>
      <c r="C58" s="2"/>
    </row>
    <row r="59" spans="1:3">
      <c r="A59" s="1" t="s">
        <v>20</v>
      </c>
      <c r="B59" s="2"/>
      <c r="C59" s="2"/>
    </row>
    <row r="60" spans="1:3">
      <c r="A60" s="5"/>
      <c r="B60" s="2"/>
      <c r="C60" s="2"/>
    </row>
    <row r="61" spans="1:3">
      <c r="A61" s="7" t="s">
        <v>21</v>
      </c>
      <c r="B61" s="2"/>
      <c r="C61" s="2"/>
    </row>
    <row r="62" spans="1:3">
      <c r="A62" s="7" t="s">
        <v>22</v>
      </c>
      <c r="B62" s="2"/>
      <c r="C62" s="2"/>
    </row>
    <row r="63" spans="1:3">
      <c r="A63" s="2"/>
      <c r="B63" s="2"/>
      <c r="C63" s="2"/>
    </row>
    <row r="64" spans="1:3">
      <c r="A64" s="1" t="s">
        <v>23</v>
      </c>
      <c r="B64" s="2"/>
      <c r="C64" s="2"/>
    </row>
    <row r="65" spans="1:3">
      <c r="A65" s="3" t="s">
        <v>24</v>
      </c>
      <c r="B65" s="2"/>
      <c r="C65" s="2"/>
    </row>
    <row r="66" spans="1:3">
      <c r="A66" s="5"/>
      <c r="B66" s="2"/>
      <c r="C66" s="2"/>
    </row>
    <row r="67" spans="1:3">
      <c r="A67" s="6" t="s">
        <v>87</v>
      </c>
      <c r="B67" s="2"/>
      <c r="C67" s="2"/>
    </row>
    <row r="68" spans="1:3">
      <c r="A68" s="6" t="s">
        <v>88</v>
      </c>
      <c r="B68" s="2"/>
      <c r="C68" s="2"/>
    </row>
    <row r="69" spans="1:3">
      <c r="A69" s="2"/>
      <c r="B69" s="2"/>
      <c r="C69" s="2"/>
    </row>
    <row r="70" spans="1:3">
      <c r="A70" s="2"/>
      <c r="B70" s="2"/>
      <c r="C70" s="2"/>
    </row>
    <row r="71" spans="1:3">
      <c r="A71" s="2"/>
      <c r="B71" s="2"/>
      <c r="C71" s="2"/>
    </row>
    <row r="72" spans="1:3">
      <c r="A72" s="1" t="s">
        <v>25</v>
      </c>
      <c r="B72" s="2"/>
      <c r="C72" s="2"/>
    </row>
    <row r="73" spans="1:3">
      <c r="A73" s="3" t="s">
        <v>89</v>
      </c>
      <c r="B73" s="2"/>
      <c r="C73" s="2"/>
    </row>
    <row r="74" spans="1:3">
      <c r="A74" s="2"/>
      <c r="B74" s="2"/>
      <c r="C74" s="2"/>
    </row>
    <row r="75" spans="1:3">
      <c r="A75" s="4" t="s">
        <v>26</v>
      </c>
      <c r="B75" s="2"/>
      <c r="C75" s="2"/>
    </row>
    <row r="76" spans="1:3">
      <c r="A76" s="4" t="s">
        <v>27</v>
      </c>
      <c r="B76" s="2"/>
      <c r="C76" s="2"/>
    </row>
    <row r="77" spans="1:3">
      <c r="A77" s="4" t="s">
        <v>26</v>
      </c>
      <c r="B77" s="2"/>
      <c r="C77" s="2"/>
    </row>
    <row r="78" spans="1:3">
      <c r="A78" s="4" t="s">
        <v>28</v>
      </c>
      <c r="B78" s="2"/>
      <c r="C78" s="2"/>
    </row>
    <row r="79" spans="1:3">
      <c r="A79" s="4" t="s">
        <v>29</v>
      </c>
      <c r="B79" s="2"/>
      <c r="C79" s="2"/>
    </row>
    <row r="80" spans="1:3">
      <c r="A80" s="4" t="s">
        <v>30</v>
      </c>
      <c r="B80" s="2"/>
      <c r="C80" s="2"/>
    </row>
    <row r="81" spans="1:3">
      <c r="A81" s="4" t="s">
        <v>26</v>
      </c>
      <c r="B81" s="2"/>
      <c r="C81" s="2"/>
    </row>
    <row r="82" spans="1:3">
      <c r="A82" s="2"/>
      <c r="B82" s="2"/>
      <c r="C82" s="2"/>
    </row>
    <row r="83" spans="1:3">
      <c r="A83" s="1" t="s">
        <v>31</v>
      </c>
      <c r="B83" s="2"/>
      <c r="C83" s="2"/>
    </row>
    <row r="84" spans="1:3">
      <c r="A84" s="2"/>
      <c r="B84" s="2"/>
      <c r="C84" s="2"/>
    </row>
    <row r="85" spans="1:3">
      <c r="A85" s="4" t="s">
        <v>32</v>
      </c>
      <c r="B85" s="2"/>
      <c r="C85" s="2"/>
    </row>
    <row r="86" spans="1:3">
      <c r="A86" s="4" t="s">
        <v>33</v>
      </c>
      <c r="B86" s="2"/>
      <c r="C86" s="2"/>
    </row>
    <row r="87" spans="1:3">
      <c r="A87" s="4" t="s">
        <v>34</v>
      </c>
      <c r="B87" s="2"/>
      <c r="C87" s="2"/>
    </row>
    <row r="88" spans="1:3">
      <c r="A88" s="4" t="s">
        <v>35</v>
      </c>
      <c r="B88" s="2"/>
      <c r="C88" s="2"/>
    </row>
    <row r="89" spans="1:3">
      <c r="A89" s="4" t="s">
        <v>36</v>
      </c>
      <c r="B89" s="2"/>
      <c r="C89" s="2"/>
    </row>
    <row r="90" spans="1:3">
      <c r="A90" s="4" t="s">
        <v>37</v>
      </c>
      <c r="B90" s="2"/>
      <c r="C90" s="2"/>
    </row>
    <row r="91" spans="1:3">
      <c r="A91" s="4" t="s">
        <v>38</v>
      </c>
      <c r="B91" s="2"/>
      <c r="C91" s="2"/>
    </row>
    <row r="92" spans="1:3">
      <c r="A92" s="8"/>
      <c r="B92" s="2"/>
      <c r="C92" s="2"/>
    </row>
    <row r="93" spans="1:3">
      <c r="A93" s="4" t="s">
        <v>39</v>
      </c>
      <c r="B93" s="2"/>
      <c r="C93" s="2"/>
    </row>
    <row r="94" spans="1:3">
      <c r="A94" s="4" t="s">
        <v>40</v>
      </c>
      <c r="B94" s="2"/>
      <c r="C94" s="2"/>
    </row>
    <row r="95" spans="1:3">
      <c r="A95" s="4" t="s">
        <v>41</v>
      </c>
      <c r="B95" s="2"/>
      <c r="C95" s="2"/>
    </row>
    <row r="96" spans="1:3">
      <c r="A96" s="4" t="s">
        <v>42</v>
      </c>
      <c r="B96" s="2"/>
      <c r="C96" s="2"/>
    </row>
    <row r="97" spans="1:3">
      <c r="A97" s="4" t="s">
        <v>43</v>
      </c>
      <c r="B97" s="2"/>
      <c r="C97" s="2"/>
    </row>
    <row r="98" spans="1:3">
      <c r="A98" s="8"/>
      <c r="B98" s="2"/>
      <c r="C98" s="2"/>
    </row>
    <row r="99" spans="1:3">
      <c r="A99" s="4" t="s">
        <v>44</v>
      </c>
      <c r="B99" s="2"/>
      <c r="C99" s="2"/>
    </row>
    <row r="100" spans="1:3">
      <c r="A100" s="4" t="s">
        <v>45</v>
      </c>
      <c r="B100" s="2"/>
      <c r="C100" s="2"/>
    </row>
    <row r="101" spans="1:3">
      <c r="A101" s="4" t="s">
        <v>46</v>
      </c>
      <c r="B101" s="2"/>
      <c r="C101" s="2"/>
    </row>
    <row r="102" spans="1:3">
      <c r="A102" s="4" t="s">
        <v>47</v>
      </c>
      <c r="B102" s="2"/>
      <c r="C102" s="2"/>
    </row>
    <row r="103" spans="1:3">
      <c r="A103" s="4" t="s">
        <v>48</v>
      </c>
      <c r="B103" s="2"/>
      <c r="C103" s="2"/>
    </row>
    <row r="104" spans="1:3">
      <c r="A104" s="8"/>
      <c r="B104" s="2"/>
      <c r="C104" s="2"/>
    </row>
    <row r="105" spans="1:3">
      <c r="A105" s="4" t="s">
        <v>49</v>
      </c>
      <c r="B105" s="2"/>
      <c r="C105" s="2"/>
    </row>
    <row r="106" spans="1:3">
      <c r="A106" s="4" t="s">
        <v>50</v>
      </c>
      <c r="B106" s="2"/>
      <c r="C106" s="2"/>
    </row>
    <row r="107" spans="1:3">
      <c r="A107" s="4" t="s">
        <v>51</v>
      </c>
      <c r="B107" s="2"/>
      <c r="C107" s="2"/>
    </row>
    <row r="108" spans="1:3">
      <c r="A108" s="4" t="s">
        <v>52</v>
      </c>
      <c r="B108" s="2"/>
      <c r="C108" s="2"/>
    </row>
    <row r="109" spans="1:3">
      <c r="A109" s="4" t="s">
        <v>53</v>
      </c>
      <c r="B109" s="2"/>
      <c r="C109" s="2"/>
    </row>
    <row r="110" spans="1:3">
      <c r="A110" s="8"/>
      <c r="B110" s="2"/>
      <c r="C110" s="2"/>
    </row>
    <row r="111" spans="1:3">
      <c r="A111" s="4" t="s">
        <v>54</v>
      </c>
      <c r="B111" s="2"/>
      <c r="C111" s="2"/>
    </row>
    <row r="112" spans="1:3">
      <c r="A112" s="4" t="s">
        <v>55</v>
      </c>
      <c r="B112" s="2"/>
      <c r="C112" s="2"/>
    </row>
    <row r="113" spans="1:3">
      <c r="A113" s="4" t="s">
        <v>56</v>
      </c>
      <c r="B113" s="2"/>
      <c r="C113" s="2"/>
    </row>
    <row r="114" spans="1:3">
      <c r="A114" s="4" t="s">
        <v>57</v>
      </c>
      <c r="B114" s="2"/>
      <c r="C114" s="2"/>
    </row>
    <row r="115" spans="1:3">
      <c r="A115" s="4" t="s">
        <v>58</v>
      </c>
      <c r="B115" s="2"/>
      <c r="C115" s="2"/>
    </row>
    <row r="116" spans="1:3">
      <c r="A116" s="4" t="s">
        <v>59</v>
      </c>
      <c r="B116" s="2"/>
      <c r="C116" s="2"/>
    </row>
    <row r="117" spans="1:3">
      <c r="A117" s="4" t="s">
        <v>38</v>
      </c>
      <c r="B117" s="2"/>
      <c r="C117" s="2"/>
    </row>
    <row r="118" spans="1:3">
      <c r="A118" s="2"/>
      <c r="B118" s="2"/>
      <c r="C118" s="2"/>
    </row>
    <row r="119" spans="1:3">
      <c r="A119" s="2"/>
      <c r="B119" s="2"/>
      <c r="C119" s="2"/>
    </row>
    <row r="120" spans="1:3">
      <c r="A120" s="2"/>
      <c r="B120" s="2"/>
      <c r="C120" s="2"/>
    </row>
    <row r="121" spans="1:3">
      <c r="A121" s="1" t="s">
        <v>60</v>
      </c>
      <c r="B121" s="2"/>
      <c r="C121" s="2"/>
    </row>
    <row r="122" spans="1:3">
      <c r="A122" s="9" t="s">
        <v>61</v>
      </c>
      <c r="B122" s="9" t="s">
        <v>62</v>
      </c>
      <c r="C122" s="9" t="s">
        <v>63</v>
      </c>
    </row>
    <row r="123" spans="1:3" ht="57.5">
      <c r="A123" s="10" t="s">
        <v>64</v>
      </c>
      <c r="B123" s="11" t="s">
        <v>65</v>
      </c>
      <c r="C123" s="11" t="s">
        <v>66</v>
      </c>
    </row>
    <row r="124" spans="1:3" ht="46">
      <c r="A124" s="10" t="s">
        <v>67</v>
      </c>
      <c r="B124" s="11" t="s">
        <v>68</v>
      </c>
      <c r="C124" s="11" t="s">
        <v>69</v>
      </c>
    </row>
    <row r="125" spans="1:3" ht="57.5">
      <c r="A125" s="10" t="s">
        <v>70</v>
      </c>
      <c r="B125" s="11" t="s">
        <v>71</v>
      </c>
      <c r="C125" s="11" t="s">
        <v>72</v>
      </c>
    </row>
    <row r="126" spans="1:3" ht="46">
      <c r="A126" s="10" t="s">
        <v>73</v>
      </c>
      <c r="B126" s="11" t="s">
        <v>74</v>
      </c>
      <c r="C126"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DEBE6-E335-40E9-86AA-9E7B472B3461}">
  <dimension ref="A1:C93"/>
  <sheetViews>
    <sheetView workbookViewId="0">
      <selection activeCell="A2" sqref="A2"/>
    </sheetView>
  </sheetViews>
  <sheetFormatPr defaultRowHeight="14.5"/>
  <cols>
    <col min="1" max="1" width="19" customWidth="1"/>
    <col min="2" max="2" width="27.81640625" customWidth="1"/>
    <col min="3" max="3" width="38.90625" customWidth="1"/>
  </cols>
  <sheetData>
    <row r="1" spans="1:3">
      <c r="A1" s="12" t="s">
        <v>90</v>
      </c>
    </row>
    <row r="2" spans="1:3">
      <c r="A2" t="s">
        <v>91</v>
      </c>
    </row>
    <row r="5" spans="1:3">
      <c r="A5" t="s">
        <v>92</v>
      </c>
    </row>
    <row r="6" spans="1:3">
      <c r="A6" t="s">
        <v>93</v>
      </c>
    </row>
    <row r="7" spans="1:3">
      <c r="A7" s="13" t="s">
        <v>94</v>
      </c>
      <c r="B7" s="13" t="s">
        <v>95</v>
      </c>
      <c r="C7" s="13" t="s">
        <v>96</v>
      </c>
    </row>
    <row r="8" spans="1:3" ht="116">
      <c r="A8" s="15" t="s">
        <v>97</v>
      </c>
      <c r="B8" s="14" t="s">
        <v>98</v>
      </c>
      <c r="C8" s="14" t="s">
        <v>99</v>
      </c>
    </row>
    <row r="9" spans="1:3" ht="43.5">
      <c r="A9" s="15" t="s">
        <v>100</v>
      </c>
      <c r="B9" s="14" t="s">
        <v>98</v>
      </c>
      <c r="C9" s="14" t="s">
        <v>101</v>
      </c>
    </row>
    <row r="10" spans="1:3" ht="72.5">
      <c r="A10" s="15" t="s">
        <v>102</v>
      </c>
      <c r="B10" s="14" t="s">
        <v>98</v>
      </c>
      <c r="C10" s="14" t="s">
        <v>103</v>
      </c>
    </row>
    <row r="11" spans="1:3" ht="72.5">
      <c r="A11" s="15" t="s">
        <v>104</v>
      </c>
      <c r="B11" s="14" t="s">
        <v>98</v>
      </c>
      <c r="C11" s="14" t="s">
        <v>105</v>
      </c>
    </row>
    <row r="12" spans="1:3" ht="58">
      <c r="A12" s="15" t="s">
        <v>106</v>
      </c>
      <c r="B12" s="14" t="s">
        <v>98</v>
      </c>
      <c r="C12" s="14" t="s">
        <v>107</v>
      </c>
    </row>
    <row r="13" spans="1:3" ht="58">
      <c r="A13" s="15" t="s">
        <v>108</v>
      </c>
      <c r="B13" s="14" t="s">
        <v>98</v>
      </c>
      <c r="C13" s="14" t="s">
        <v>109</v>
      </c>
    </row>
    <row r="14" spans="1:3" ht="87">
      <c r="A14" s="15" t="s">
        <v>110</v>
      </c>
      <c r="B14" s="14" t="s">
        <v>111</v>
      </c>
      <c r="C14" s="14" t="s">
        <v>112</v>
      </c>
    </row>
    <row r="15" spans="1:3" ht="43.5">
      <c r="A15" s="15" t="s">
        <v>113</v>
      </c>
      <c r="B15" s="14" t="s">
        <v>111</v>
      </c>
      <c r="C15" s="14" t="s">
        <v>114</v>
      </c>
    </row>
    <row r="16" spans="1:3" ht="43.5">
      <c r="A16" s="15" t="s">
        <v>115</v>
      </c>
      <c r="B16" s="14" t="s">
        <v>111</v>
      </c>
      <c r="C16" s="14" t="s">
        <v>116</v>
      </c>
    </row>
    <row r="17" spans="1:3" ht="43.5">
      <c r="A17" s="15" t="s">
        <v>117</v>
      </c>
      <c r="B17" s="14" t="s">
        <v>111</v>
      </c>
      <c r="C17" s="14" t="s">
        <v>118</v>
      </c>
    </row>
    <row r="18" spans="1:3" ht="43.5">
      <c r="A18" s="15" t="s">
        <v>119</v>
      </c>
      <c r="B18" s="14" t="s">
        <v>120</v>
      </c>
      <c r="C18" s="14" t="s">
        <v>121</v>
      </c>
    </row>
    <row r="21" spans="1:3">
      <c r="A21" t="s">
        <v>122</v>
      </c>
    </row>
    <row r="22" spans="1:3">
      <c r="A22" s="16"/>
    </row>
    <row r="23" spans="1:3">
      <c r="A23" s="17" t="s">
        <v>123</v>
      </c>
    </row>
    <row r="24" spans="1:3">
      <c r="A24" s="17" t="s">
        <v>124</v>
      </c>
    </row>
    <row r="25" spans="1:3">
      <c r="A25" s="17" t="s">
        <v>125</v>
      </c>
    </row>
    <row r="26" spans="1:3">
      <c r="A26" s="17" t="s">
        <v>126</v>
      </c>
    </row>
    <row r="27" spans="1:3">
      <c r="A27" s="17" t="s">
        <v>127</v>
      </c>
    </row>
    <row r="31" spans="1:3">
      <c r="A31" t="s">
        <v>128</v>
      </c>
    </row>
    <row r="32" spans="1:3">
      <c r="A32" t="s">
        <v>129</v>
      </c>
    </row>
    <row r="34" spans="1:1">
      <c r="A34" s="19" t="s">
        <v>26</v>
      </c>
    </row>
    <row r="35" spans="1:1">
      <c r="A35" s="19" t="s">
        <v>130</v>
      </c>
    </row>
    <row r="36" spans="1:1">
      <c r="A36" s="19" t="s">
        <v>26</v>
      </c>
    </row>
    <row r="37" spans="1:1">
      <c r="A37" s="18"/>
    </row>
    <row r="38" spans="1:1">
      <c r="A38" s="19" t="s">
        <v>131</v>
      </c>
    </row>
    <row r="39" spans="1:1">
      <c r="A39" s="19" t="s">
        <v>132</v>
      </c>
    </row>
    <row r="40" spans="1:1">
      <c r="A40" s="19" t="s">
        <v>133</v>
      </c>
    </row>
    <row r="41" spans="1:1">
      <c r="A41" s="19" t="s">
        <v>134</v>
      </c>
    </row>
    <row r="42" spans="1:1">
      <c r="A42" s="19" t="s">
        <v>135</v>
      </c>
    </row>
    <row r="43" spans="1:1">
      <c r="A43" s="19" t="s">
        <v>136</v>
      </c>
    </row>
    <row r="44" spans="1:1">
      <c r="A44" s="19" t="s">
        <v>137</v>
      </c>
    </row>
    <row r="45" spans="1:1">
      <c r="A45" s="19" t="s">
        <v>138</v>
      </c>
    </row>
    <row r="46" spans="1:1">
      <c r="A46" s="19" t="s">
        <v>139</v>
      </c>
    </row>
    <row r="47" spans="1:1">
      <c r="A47" s="19" t="s">
        <v>140</v>
      </c>
    </row>
    <row r="48" spans="1:1">
      <c r="A48" s="19" t="s">
        <v>141</v>
      </c>
    </row>
    <row r="49" spans="1:1">
      <c r="A49" s="19" t="s">
        <v>142</v>
      </c>
    </row>
    <row r="50" spans="1:1">
      <c r="A50" s="19" t="s">
        <v>137</v>
      </c>
    </row>
    <row r="51" spans="1:1">
      <c r="A51" s="19" t="s">
        <v>138</v>
      </c>
    </row>
    <row r="52" spans="1:1">
      <c r="A52" s="19" t="s">
        <v>143</v>
      </c>
    </row>
    <row r="53" spans="1:1">
      <c r="A53" s="19" t="s">
        <v>144</v>
      </c>
    </row>
    <row r="54" spans="1:1">
      <c r="A54" s="19" t="s">
        <v>145</v>
      </c>
    </row>
    <row r="55" spans="1:1">
      <c r="A55" s="19" t="s">
        <v>146</v>
      </c>
    </row>
    <row r="56" spans="1:1">
      <c r="A56" s="19" t="s">
        <v>137</v>
      </c>
    </row>
    <row r="57" spans="1:1">
      <c r="A57" s="19" t="s">
        <v>138</v>
      </c>
    </row>
    <row r="58" spans="1:1">
      <c r="A58" s="19" t="s">
        <v>147</v>
      </c>
    </row>
    <row r="59" spans="1:1">
      <c r="A59" s="19" t="s">
        <v>148</v>
      </c>
    </row>
    <row r="60" spans="1:1">
      <c r="A60" s="19" t="s">
        <v>149</v>
      </c>
    </row>
    <row r="61" spans="1:1">
      <c r="A61" s="19" t="s">
        <v>150</v>
      </c>
    </row>
    <row r="62" spans="1:1">
      <c r="A62" s="19" t="s">
        <v>151</v>
      </c>
    </row>
    <row r="66" spans="1:1">
      <c r="A66" t="s">
        <v>152</v>
      </c>
    </row>
    <row r="67" spans="1:1">
      <c r="A67" t="s">
        <v>153</v>
      </c>
    </row>
    <row r="69" spans="1:1">
      <c r="A69" s="19" t="s">
        <v>26</v>
      </c>
    </row>
    <row r="70" spans="1:1">
      <c r="A70" s="19" t="s">
        <v>154</v>
      </c>
    </row>
    <row r="71" spans="1:1">
      <c r="A71" s="19" t="s">
        <v>26</v>
      </c>
    </row>
    <row r="72" spans="1:1">
      <c r="A72" s="18"/>
    </row>
    <row r="73" spans="1:1">
      <c r="A73" s="19" t="s">
        <v>155</v>
      </c>
    </row>
    <row r="74" spans="1:1">
      <c r="A74" s="19" t="s">
        <v>156</v>
      </c>
    </row>
    <row r="75" spans="1:1">
      <c r="A75" s="19" t="s">
        <v>157</v>
      </c>
    </row>
    <row r="76" spans="1:1">
      <c r="A76" s="19" t="s">
        <v>158</v>
      </c>
    </row>
    <row r="77" spans="1:1">
      <c r="A77" s="19" t="s">
        <v>157</v>
      </c>
    </row>
    <row r="78" spans="1:1">
      <c r="A78" s="19" t="s">
        <v>159</v>
      </c>
    </row>
    <row r="79" spans="1:1">
      <c r="A79" s="19" t="s">
        <v>160</v>
      </c>
    </row>
    <row r="80" spans="1:1">
      <c r="A80" s="19" t="s">
        <v>161</v>
      </c>
    </row>
    <row r="81" spans="1:1">
      <c r="A81" s="19" t="s">
        <v>162</v>
      </c>
    </row>
    <row r="82" spans="1:1">
      <c r="A82" s="19" t="s">
        <v>163</v>
      </c>
    </row>
    <row r="83" spans="1:1">
      <c r="A83" s="19" t="s">
        <v>164</v>
      </c>
    </row>
    <row r="84" spans="1:1">
      <c r="A84" s="19" t="s">
        <v>165</v>
      </c>
    </row>
    <row r="85" spans="1:1">
      <c r="A85" s="19" t="s">
        <v>166</v>
      </c>
    </row>
    <row r="86" spans="1:1">
      <c r="A86" s="19" t="s">
        <v>162</v>
      </c>
    </row>
    <row r="87" spans="1:1">
      <c r="A87" s="19" t="s">
        <v>160</v>
      </c>
    </row>
    <row r="88" spans="1:1">
      <c r="A88" s="19" t="s">
        <v>161</v>
      </c>
    </row>
    <row r="89" spans="1:1">
      <c r="A89" s="19" t="s">
        <v>162</v>
      </c>
    </row>
    <row r="90" spans="1:1">
      <c r="A90" s="19" t="s">
        <v>167</v>
      </c>
    </row>
    <row r="91" spans="1:1">
      <c r="A91" s="19" t="s">
        <v>168</v>
      </c>
    </row>
    <row r="92" spans="1:1">
      <c r="A92" s="19" t="s">
        <v>169</v>
      </c>
    </row>
    <row r="93" spans="1:1">
      <c r="A93" s="19" t="s">
        <v>170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13382-F198-402A-95AD-436A80000417}">
  <dimension ref="A1:F134"/>
  <sheetViews>
    <sheetView topLeftCell="A41" workbookViewId="0">
      <selection activeCell="A136" sqref="A136"/>
    </sheetView>
  </sheetViews>
  <sheetFormatPr defaultRowHeight="14.5"/>
  <cols>
    <col min="1" max="1" width="45.26953125" customWidth="1"/>
    <col min="2" max="2" width="20.6328125" customWidth="1"/>
  </cols>
  <sheetData>
    <row r="1" spans="1:1">
      <c r="A1" s="20" t="s">
        <v>171</v>
      </c>
    </row>
    <row r="4" spans="1:1">
      <c r="A4" s="21" t="s">
        <v>172</v>
      </c>
    </row>
    <row r="5" spans="1:1">
      <c r="A5" s="20" t="s">
        <v>173</v>
      </c>
    </row>
    <row r="6" spans="1:1">
      <c r="A6" s="20" t="s">
        <v>174</v>
      </c>
    </row>
    <row r="7" spans="1:1">
      <c r="A7" s="20" t="s">
        <v>175</v>
      </c>
    </row>
    <row r="9" spans="1:1">
      <c r="A9" s="19" t="s">
        <v>2</v>
      </c>
    </row>
    <row r="10" spans="1:1">
      <c r="A10" s="19" t="s">
        <v>176</v>
      </c>
    </row>
    <row r="11" spans="1:1">
      <c r="A11" s="19" t="s">
        <v>2</v>
      </c>
    </row>
    <row r="12" spans="1:1">
      <c r="A12" s="19" t="s">
        <v>177</v>
      </c>
    </row>
    <row r="13" spans="1:1">
      <c r="A13" s="19" t="s">
        <v>5</v>
      </c>
    </row>
    <row r="14" spans="1:1">
      <c r="A14" s="19" t="s">
        <v>6</v>
      </c>
    </row>
    <row r="15" spans="1:1">
      <c r="A15" s="19" t="s">
        <v>5</v>
      </c>
    </row>
    <row r="16" spans="1:1">
      <c r="A16" s="19" t="s">
        <v>7</v>
      </c>
    </row>
    <row r="17" spans="1:1">
      <c r="A17" s="19" t="s">
        <v>5</v>
      </c>
    </row>
    <row r="18" spans="1:1">
      <c r="A18" s="19" t="s">
        <v>178</v>
      </c>
    </row>
    <row r="19" spans="1:1">
      <c r="A19" s="19" t="s">
        <v>179</v>
      </c>
    </row>
    <row r="20" spans="1:1">
      <c r="A20" s="19" t="s">
        <v>2</v>
      </c>
    </row>
    <row r="24" spans="1:1">
      <c r="A24" s="21" t="s">
        <v>180</v>
      </c>
    </row>
    <row r="25" spans="1:1">
      <c r="A25" s="20" t="s">
        <v>181</v>
      </c>
    </row>
    <row r="26" spans="1:1">
      <c r="A26" s="21" t="s">
        <v>182</v>
      </c>
    </row>
    <row r="27" spans="1:1">
      <c r="A27" s="20" t="s">
        <v>183</v>
      </c>
    </row>
    <row r="28" spans="1:1">
      <c r="A28" s="22"/>
    </row>
    <row r="29" spans="1:1" ht="89.5">
      <c r="A29" s="23" t="s">
        <v>184</v>
      </c>
    </row>
    <row r="30" spans="1:1" ht="123">
      <c r="A30" s="23" t="s">
        <v>185</v>
      </c>
    </row>
    <row r="31" spans="1:1" ht="159">
      <c r="A31" s="23" t="s">
        <v>186</v>
      </c>
    </row>
    <row r="33" spans="1:1">
      <c r="A33" s="21" t="s">
        <v>187</v>
      </c>
    </row>
    <row r="34" spans="1:1">
      <c r="A34" s="20" t="s">
        <v>188</v>
      </c>
    </row>
    <row r="35" spans="1:1">
      <c r="A35" s="22"/>
    </row>
    <row r="36" spans="1:1" ht="158.5">
      <c r="A36" s="23" t="s">
        <v>189</v>
      </c>
    </row>
    <row r="38" spans="1:1">
      <c r="A38" s="21" t="s">
        <v>190</v>
      </c>
    </row>
    <row r="39" spans="1:1">
      <c r="A39" s="20" t="s">
        <v>191</v>
      </c>
    </row>
    <row r="40" spans="1:1">
      <c r="A40" s="22"/>
    </row>
    <row r="41" spans="1:1" ht="178.5">
      <c r="A41" s="23" t="s">
        <v>192</v>
      </c>
    </row>
    <row r="42" spans="1:1" ht="106">
      <c r="A42" s="23" t="s">
        <v>193</v>
      </c>
    </row>
    <row r="44" spans="1:1">
      <c r="A44" s="21" t="s">
        <v>194</v>
      </c>
    </row>
    <row r="45" spans="1:1">
      <c r="A45" s="20" t="s">
        <v>195</v>
      </c>
    </row>
    <row r="48" spans="1:1">
      <c r="A48" s="21" t="s">
        <v>196</v>
      </c>
    </row>
    <row r="49" spans="1:1">
      <c r="A49" s="20" t="s">
        <v>197</v>
      </c>
    </row>
    <row r="51" spans="1:1">
      <c r="A51" s="19" t="s">
        <v>198</v>
      </c>
    </row>
    <row r="52" spans="1:1">
      <c r="A52" s="19" t="s">
        <v>12</v>
      </c>
    </row>
    <row r="53" spans="1:1">
      <c r="A53" s="19" t="s">
        <v>13</v>
      </c>
    </row>
    <row r="54" spans="1:1">
      <c r="A54" s="19" t="s">
        <v>199</v>
      </c>
    </row>
    <row r="55" spans="1:1">
      <c r="A55" s="19" t="s">
        <v>12</v>
      </c>
    </row>
    <row r="56" spans="1:1">
      <c r="A56" s="19" t="s">
        <v>13</v>
      </c>
    </row>
    <row r="57" spans="1:1">
      <c r="A57" s="19" t="s">
        <v>200</v>
      </c>
    </row>
    <row r="58" spans="1:1">
      <c r="A58" s="19" t="s">
        <v>12</v>
      </c>
    </row>
    <row r="59" spans="1:1">
      <c r="A59" s="19" t="s">
        <v>13</v>
      </c>
    </row>
    <row r="60" spans="1:1">
      <c r="A60" s="19" t="s">
        <v>201</v>
      </c>
    </row>
    <row r="61" spans="1:1">
      <c r="A61" s="22"/>
    </row>
    <row r="62" spans="1:1" ht="36">
      <c r="A62" s="23" t="s">
        <v>202</v>
      </c>
    </row>
    <row r="63" spans="1:1" ht="52.5">
      <c r="A63" s="24" t="s">
        <v>203</v>
      </c>
    </row>
    <row r="64" spans="1:1" ht="88.5">
      <c r="A64" s="24" t="s">
        <v>204</v>
      </c>
    </row>
    <row r="65" spans="1:6" ht="36">
      <c r="A65" s="23" t="s">
        <v>205</v>
      </c>
    </row>
    <row r="66" spans="1:6" ht="53">
      <c r="A66" s="24" t="s">
        <v>206</v>
      </c>
    </row>
    <row r="67" spans="1:6" ht="123">
      <c r="A67" s="24" t="s">
        <v>207</v>
      </c>
    </row>
    <row r="68" spans="1:6" ht="53">
      <c r="A68" s="24" t="s">
        <v>208</v>
      </c>
    </row>
    <row r="69" spans="1:6" ht="36">
      <c r="A69" s="23" t="s">
        <v>209</v>
      </c>
    </row>
    <row r="70" spans="1:6" ht="35">
      <c r="A70" s="24" t="s">
        <v>210</v>
      </c>
    </row>
    <row r="71" spans="1:6" ht="106">
      <c r="A71" s="24" t="s">
        <v>211</v>
      </c>
    </row>
    <row r="75" spans="1:6">
      <c r="A75" s="21" t="s">
        <v>212</v>
      </c>
    </row>
    <row r="76" spans="1:6">
      <c r="A76" s="20" t="s">
        <v>213</v>
      </c>
    </row>
    <row r="77" spans="1:6" ht="70">
      <c r="A77" s="25" t="s">
        <v>214</v>
      </c>
      <c r="B77" s="25" t="s">
        <v>215</v>
      </c>
      <c r="C77" s="25" t="s">
        <v>216</v>
      </c>
      <c r="D77" s="25" t="s">
        <v>217</v>
      </c>
      <c r="E77" s="25" t="s">
        <v>218</v>
      </c>
      <c r="F77" s="25" t="s">
        <v>219</v>
      </c>
    </row>
    <row r="78" spans="1:6" ht="84">
      <c r="A78" s="26" t="s">
        <v>220</v>
      </c>
      <c r="B78" s="27" t="s">
        <v>221</v>
      </c>
      <c r="C78" s="27">
        <v>246.8</v>
      </c>
      <c r="D78" s="27" t="s">
        <v>222</v>
      </c>
      <c r="E78" s="26" t="s">
        <v>223</v>
      </c>
      <c r="F78" s="27" t="s">
        <v>224</v>
      </c>
    </row>
    <row r="79" spans="1:6" ht="98">
      <c r="A79" s="26" t="s">
        <v>225</v>
      </c>
      <c r="B79" s="27" t="s">
        <v>226</v>
      </c>
      <c r="C79" s="27">
        <v>0</v>
      </c>
      <c r="D79" s="27" t="s">
        <v>227</v>
      </c>
      <c r="E79" s="26">
        <v>1.8</v>
      </c>
      <c r="F79" s="27" t="s">
        <v>228</v>
      </c>
    </row>
    <row r="80" spans="1:6" ht="98">
      <c r="A80" s="26" t="s">
        <v>229</v>
      </c>
      <c r="B80" s="27" t="s">
        <v>230</v>
      </c>
      <c r="C80" s="27">
        <v>18.2</v>
      </c>
      <c r="D80" s="27" t="s">
        <v>231</v>
      </c>
      <c r="E80" s="26" t="s">
        <v>232</v>
      </c>
      <c r="F80" s="27" t="s">
        <v>233</v>
      </c>
    </row>
    <row r="81" spans="1:6" ht="98">
      <c r="A81" s="26" t="s">
        <v>234</v>
      </c>
      <c r="B81" s="27" t="s">
        <v>235</v>
      </c>
      <c r="C81" s="27">
        <v>11.6</v>
      </c>
      <c r="D81" s="27" t="s">
        <v>236</v>
      </c>
      <c r="E81" s="26" t="s">
        <v>237</v>
      </c>
      <c r="F81" s="27" t="s">
        <v>238</v>
      </c>
    </row>
    <row r="82" spans="1:6" ht="84">
      <c r="A82" s="26" t="s">
        <v>239</v>
      </c>
      <c r="B82" s="26" t="s">
        <v>240</v>
      </c>
      <c r="C82" s="26">
        <v>276.60000000000002</v>
      </c>
      <c r="D82" s="26" t="s">
        <v>241</v>
      </c>
      <c r="E82" s="26" t="s">
        <v>242</v>
      </c>
      <c r="F82" s="26" t="s">
        <v>243</v>
      </c>
    </row>
    <row r="83" spans="1:6" ht="112">
      <c r="A83" s="27" t="s">
        <v>244</v>
      </c>
      <c r="B83" s="27" t="s">
        <v>245</v>
      </c>
      <c r="C83" s="27">
        <v>179.4</v>
      </c>
      <c r="D83" s="27" t="s">
        <v>246</v>
      </c>
      <c r="E83" s="26" t="s">
        <v>247</v>
      </c>
      <c r="F83" s="27" t="s">
        <v>248</v>
      </c>
    </row>
    <row r="84" spans="1:6" ht="84">
      <c r="A84" s="27" t="s">
        <v>249</v>
      </c>
      <c r="B84" s="27" t="s">
        <v>250</v>
      </c>
      <c r="C84" s="27">
        <v>64.599999999999994</v>
      </c>
      <c r="D84" s="27" t="s">
        <v>251</v>
      </c>
      <c r="E84" s="26" t="s">
        <v>252</v>
      </c>
      <c r="F84" s="27" t="s">
        <v>253</v>
      </c>
    </row>
    <row r="85" spans="1:6" ht="70">
      <c r="A85" s="27" t="s">
        <v>254</v>
      </c>
      <c r="B85" s="27" t="s">
        <v>255</v>
      </c>
      <c r="C85" s="27">
        <v>30.4</v>
      </c>
      <c r="D85" s="27" t="s">
        <v>256</v>
      </c>
      <c r="E85" s="26" t="s">
        <v>257</v>
      </c>
      <c r="F85" s="27" t="s">
        <v>258</v>
      </c>
    </row>
    <row r="86" spans="1:6" ht="84">
      <c r="A86" s="26" t="s">
        <v>259</v>
      </c>
      <c r="B86" s="26" t="s">
        <v>260</v>
      </c>
      <c r="C86" s="26">
        <v>274.39999999999998</v>
      </c>
      <c r="D86" s="26" t="s">
        <v>261</v>
      </c>
      <c r="E86" s="26" t="s">
        <v>262</v>
      </c>
      <c r="F86" s="26" t="s">
        <v>263</v>
      </c>
    </row>
    <row r="87" spans="1:6" ht="126">
      <c r="A87" s="26" t="s">
        <v>264</v>
      </c>
      <c r="B87" s="26" t="s">
        <v>265</v>
      </c>
      <c r="C87" s="26">
        <v>2.2000000000000002</v>
      </c>
      <c r="D87" s="26" t="s">
        <v>266</v>
      </c>
      <c r="E87" s="26" t="s">
        <v>267</v>
      </c>
      <c r="F87" s="26" t="s">
        <v>268</v>
      </c>
    </row>
    <row r="90" spans="1:6">
      <c r="A90" s="21" t="s">
        <v>269</v>
      </c>
    </row>
    <row r="91" spans="1:6">
      <c r="A91" s="20" t="s">
        <v>270</v>
      </c>
    </row>
    <row r="93" spans="1:6">
      <c r="A93" s="19" t="s">
        <v>271</v>
      </c>
    </row>
    <row r="94" spans="1:6">
      <c r="A94" s="19" t="s">
        <v>272</v>
      </c>
    </row>
    <row r="95" spans="1:6">
      <c r="A95" s="19" t="s">
        <v>34</v>
      </c>
    </row>
    <row r="96" spans="1:6">
      <c r="A96" s="19" t="s">
        <v>273</v>
      </c>
    </row>
    <row r="97" spans="1:1">
      <c r="A97" s="19" t="s">
        <v>36</v>
      </c>
    </row>
    <row r="98" spans="1:1">
      <c r="A98" s="19" t="s">
        <v>274</v>
      </c>
    </row>
    <row r="99" spans="1:1">
      <c r="A99" s="19" t="s">
        <v>38</v>
      </c>
    </row>
    <row r="100" spans="1:1">
      <c r="A100" s="18"/>
    </row>
    <row r="101" spans="1:1">
      <c r="A101" s="19" t="s">
        <v>275</v>
      </c>
    </row>
    <row r="102" spans="1:1">
      <c r="A102" s="19" t="s">
        <v>276</v>
      </c>
    </row>
    <row r="103" spans="1:1">
      <c r="A103" s="19" t="s">
        <v>277</v>
      </c>
    </row>
    <row r="104" spans="1:1">
      <c r="A104" s="19" t="s">
        <v>278</v>
      </c>
    </row>
    <row r="105" spans="1:1">
      <c r="A105" s="19" t="s">
        <v>279</v>
      </c>
    </row>
    <row r="106" spans="1:1">
      <c r="A106" s="18"/>
    </row>
    <row r="107" spans="1:1">
      <c r="A107" s="19" t="s">
        <v>280</v>
      </c>
    </row>
    <row r="108" spans="1:1">
      <c r="A108" s="19" t="s">
        <v>281</v>
      </c>
    </row>
    <row r="109" spans="1:1">
      <c r="A109" s="19" t="s">
        <v>282</v>
      </c>
    </row>
    <row r="110" spans="1:1">
      <c r="A110" s="19" t="s">
        <v>283</v>
      </c>
    </row>
    <row r="111" spans="1:1">
      <c r="A111" s="19" t="s">
        <v>284</v>
      </c>
    </row>
    <row r="112" spans="1:1">
      <c r="A112" s="18"/>
    </row>
    <row r="113" spans="1:1">
      <c r="A113" s="19" t="s">
        <v>285</v>
      </c>
    </row>
    <row r="114" spans="1:1">
      <c r="A114" s="19" t="s">
        <v>286</v>
      </c>
    </row>
    <row r="115" spans="1:1">
      <c r="A115" s="19" t="s">
        <v>287</v>
      </c>
    </row>
    <row r="116" spans="1:1">
      <c r="A116" s="19" t="s">
        <v>288</v>
      </c>
    </row>
    <row r="117" spans="1:1">
      <c r="A117" s="19" t="s">
        <v>57</v>
      </c>
    </row>
    <row r="118" spans="1:1">
      <c r="A118" s="19" t="s">
        <v>289</v>
      </c>
    </row>
    <row r="119" spans="1:1">
      <c r="A119" s="19" t="s">
        <v>290</v>
      </c>
    </row>
    <row r="120" spans="1:1">
      <c r="A120" s="19" t="s">
        <v>291</v>
      </c>
    </row>
    <row r="121" spans="1:1">
      <c r="A121" s="19" t="s">
        <v>292</v>
      </c>
    </row>
    <row r="122" spans="1:1">
      <c r="A122" s="19" t="s">
        <v>293</v>
      </c>
    </row>
    <row r="123" spans="1:1">
      <c r="A123" s="19" t="s">
        <v>38</v>
      </c>
    </row>
    <row r="127" spans="1:1">
      <c r="A127" s="21" t="s">
        <v>294</v>
      </c>
    </row>
    <row r="128" spans="1:1">
      <c r="A128" s="20" t="s">
        <v>295</v>
      </c>
    </row>
    <row r="129" spans="1:1">
      <c r="A129" s="22"/>
    </row>
    <row r="130" spans="1:1" ht="88.5">
      <c r="A130" s="28" t="s">
        <v>296</v>
      </c>
    </row>
    <row r="131" spans="1:1" ht="70.5">
      <c r="A131" s="28" t="s">
        <v>297</v>
      </c>
    </row>
    <row r="132" spans="1:1" ht="105.5">
      <c r="A132" s="28" t="s">
        <v>298</v>
      </c>
    </row>
    <row r="133" spans="1:1" ht="88.5">
      <c r="A133" s="28" t="s">
        <v>299</v>
      </c>
    </row>
    <row r="134" spans="1:1" ht="88">
      <c r="A134" s="28" t="s">
        <v>300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ED2B4-6E93-4385-A46A-6AC6A6DAF6F5}">
  <dimension ref="A1:B78"/>
  <sheetViews>
    <sheetView workbookViewId="0">
      <selection activeCell="A11" sqref="A11"/>
    </sheetView>
  </sheetViews>
  <sheetFormatPr defaultRowHeight="14.5"/>
  <cols>
    <col min="1" max="1" width="34.08984375" customWidth="1"/>
  </cols>
  <sheetData>
    <row r="1" spans="1:2">
      <c r="A1" s="29" t="s">
        <v>301</v>
      </c>
    </row>
    <row r="2" spans="1:2">
      <c r="A2" s="30" t="s">
        <v>302</v>
      </c>
    </row>
    <row r="5" spans="1:2">
      <c r="A5" s="29" t="s">
        <v>303</v>
      </c>
    </row>
    <row r="6" spans="1:2">
      <c r="A6" s="29" t="s">
        <v>304</v>
      </c>
    </row>
    <row r="7" spans="1:2">
      <c r="A7" s="29" t="s">
        <v>305</v>
      </c>
    </row>
    <row r="8" spans="1:2" ht="42">
      <c r="A8" s="31" t="s">
        <v>306</v>
      </c>
      <c r="B8" s="31" t="s">
        <v>307</v>
      </c>
    </row>
    <row r="9" spans="1:2">
      <c r="A9" s="32" t="s">
        <v>308</v>
      </c>
      <c r="B9" s="32" t="s">
        <v>309</v>
      </c>
    </row>
    <row r="10" spans="1:2">
      <c r="A10" s="32" t="s">
        <v>310</v>
      </c>
      <c r="B10" s="32" t="s">
        <v>311</v>
      </c>
    </row>
    <row r="11" spans="1:2">
      <c r="A11" s="32" t="s">
        <v>312</v>
      </c>
      <c r="B11" s="32" t="s">
        <v>313</v>
      </c>
    </row>
    <row r="12" spans="1:2">
      <c r="A12" s="33" t="s">
        <v>314</v>
      </c>
    </row>
    <row r="13" spans="1:2">
      <c r="A13" s="22"/>
    </row>
    <row r="14" spans="1:2" ht="105">
      <c r="A14" s="34" t="s">
        <v>315</v>
      </c>
    </row>
    <row r="15" spans="1:2" ht="105">
      <c r="A15" s="34" t="s">
        <v>316</v>
      </c>
    </row>
    <row r="16" spans="1:2" ht="105">
      <c r="A16" s="34" t="s">
        <v>317</v>
      </c>
    </row>
    <row r="17" spans="1:1" ht="87.5">
      <c r="A17" s="34" t="s">
        <v>318</v>
      </c>
    </row>
    <row r="19" spans="1:1">
      <c r="A19" s="29" t="s">
        <v>319</v>
      </c>
    </row>
    <row r="20" spans="1:1">
      <c r="A20" s="29" t="s">
        <v>320</v>
      </c>
    </row>
    <row r="21" spans="1:1">
      <c r="A21" s="29" t="s">
        <v>321</v>
      </c>
    </row>
    <row r="22" spans="1:1">
      <c r="A22" s="33" t="s">
        <v>322</v>
      </c>
    </row>
    <row r="23" spans="1:1">
      <c r="A23" s="22"/>
    </row>
    <row r="24" spans="1:1" ht="246">
      <c r="A24" s="35" t="s">
        <v>323</v>
      </c>
    </row>
    <row r="25" spans="1:1" ht="246">
      <c r="A25" s="35" t="s">
        <v>324</v>
      </c>
    </row>
    <row r="26" spans="1:1" ht="158.5">
      <c r="A26" s="35" t="s">
        <v>325</v>
      </c>
    </row>
    <row r="28" spans="1:1">
      <c r="A28" s="30" t="s">
        <v>326</v>
      </c>
    </row>
    <row r="29" spans="1:1">
      <c r="A29" s="29" t="s">
        <v>327</v>
      </c>
    </row>
    <row r="30" spans="1:1">
      <c r="A30" s="29" t="s">
        <v>328</v>
      </c>
    </row>
    <row r="31" spans="1:1">
      <c r="A31" s="29" t="s">
        <v>329</v>
      </c>
    </row>
    <row r="32" spans="1:1">
      <c r="A32" s="33" t="s">
        <v>330</v>
      </c>
    </row>
    <row r="33" spans="1:1">
      <c r="A33" s="29" t="s">
        <v>331</v>
      </c>
    </row>
    <row r="34" spans="1:1">
      <c r="A34" s="22"/>
    </row>
    <row r="35" spans="1:1" ht="228">
      <c r="A35" s="35" t="s">
        <v>332</v>
      </c>
    </row>
    <row r="37" spans="1:1">
      <c r="A37" s="29" t="s">
        <v>333</v>
      </c>
    </row>
    <row r="38" spans="1:1">
      <c r="A38" s="29" t="s">
        <v>334</v>
      </c>
    </row>
    <row r="39" spans="1:1">
      <c r="A39" s="33" t="s">
        <v>335</v>
      </c>
    </row>
    <row r="40" spans="1:1">
      <c r="A40" s="22"/>
    </row>
    <row r="41" spans="1:1" ht="53">
      <c r="A41" s="35" t="s">
        <v>336</v>
      </c>
    </row>
    <row r="42" spans="1:1" ht="88">
      <c r="A42" s="35" t="s">
        <v>337</v>
      </c>
    </row>
    <row r="43" spans="1:1" ht="141.5">
      <c r="A43" s="35" t="s">
        <v>338</v>
      </c>
    </row>
    <row r="45" spans="1:1">
      <c r="A45" s="33" t="s">
        <v>339</v>
      </c>
    </row>
    <row r="46" spans="1:1">
      <c r="A46" s="29" t="s">
        <v>340</v>
      </c>
    </row>
    <row r="47" spans="1:1">
      <c r="A47" s="22"/>
    </row>
    <row r="48" spans="1:1" ht="88">
      <c r="A48" s="35" t="s">
        <v>341</v>
      </c>
    </row>
    <row r="49" spans="1:1" ht="70.5">
      <c r="A49" s="35" t="s">
        <v>342</v>
      </c>
    </row>
    <row r="50" spans="1:1" ht="175.5">
      <c r="A50" s="35" t="s">
        <v>343</v>
      </c>
    </row>
    <row r="52" spans="1:1">
      <c r="A52" s="29" t="s">
        <v>344</v>
      </c>
    </row>
    <row r="53" spans="1:1">
      <c r="A53" s="29" t="s">
        <v>345</v>
      </c>
    </row>
    <row r="54" spans="1:1">
      <c r="A54" s="33" t="s">
        <v>346</v>
      </c>
    </row>
    <row r="55" spans="1:1">
      <c r="A55" s="22"/>
    </row>
    <row r="56" spans="1:1" ht="229">
      <c r="A56" s="35" t="s">
        <v>347</v>
      </c>
    </row>
    <row r="57" spans="1:1" ht="123">
      <c r="A57" s="35" t="s">
        <v>348</v>
      </c>
    </row>
    <row r="58" spans="1:1" ht="36">
      <c r="A58" s="35" t="s">
        <v>349</v>
      </c>
    </row>
    <row r="59" spans="1:1" ht="70.5">
      <c r="A59" s="36" t="s">
        <v>350</v>
      </c>
    </row>
    <row r="60" spans="1:1" ht="247">
      <c r="A60" s="36" t="s">
        <v>351</v>
      </c>
    </row>
    <row r="62" spans="1:1">
      <c r="A62" s="29" t="s">
        <v>352</v>
      </c>
    </row>
    <row r="63" spans="1:1">
      <c r="A63" s="29" t="s">
        <v>353</v>
      </c>
    </row>
    <row r="64" spans="1:1">
      <c r="A64" s="33" t="s">
        <v>354</v>
      </c>
    </row>
    <row r="65" spans="1:1">
      <c r="A65" s="22"/>
    </row>
    <row r="66" spans="1:1" ht="335.5">
      <c r="A66" s="35" t="s">
        <v>355</v>
      </c>
    </row>
    <row r="67" spans="1:1" ht="71">
      <c r="A67" s="35" t="s">
        <v>356</v>
      </c>
    </row>
    <row r="68" spans="1:1" ht="35.5">
      <c r="A68" s="36" t="s">
        <v>357</v>
      </c>
    </row>
    <row r="69" spans="1:1" ht="53">
      <c r="A69" s="36" t="s">
        <v>358</v>
      </c>
    </row>
    <row r="70" spans="1:1" ht="70.5">
      <c r="A70" s="36" t="s">
        <v>359</v>
      </c>
    </row>
    <row r="72" spans="1:1">
      <c r="A72" s="33" t="s">
        <v>360</v>
      </c>
    </row>
    <row r="73" spans="1:1">
      <c r="A73" s="22"/>
    </row>
    <row r="74" spans="1:1" ht="70.5">
      <c r="A74" s="35" t="s">
        <v>361</v>
      </c>
    </row>
    <row r="75" spans="1:1" ht="105.5">
      <c r="A75" s="35" t="s">
        <v>362</v>
      </c>
    </row>
    <row r="76" spans="1:1" ht="88">
      <c r="A76" s="35" t="s">
        <v>363</v>
      </c>
    </row>
    <row r="78" spans="1:1">
      <c r="A78" s="30" t="s">
        <v>364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66B8A-5B51-4D95-9849-0FFF39597F49}">
  <dimension ref="A1:C75"/>
  <sheetViews>
    <sheetView workbookViewId="0">
      <selection sqref="A1:C75"/>
    </sheetView>
  </sheetViews>
  <sheetFormatPr defaultRowHeight="14.5"/>
  <cols>
    <col min="1" max="1" width="21.1796875" customWidth="1"/>
    <col min="2" max="2" width="15.1796875" customWidth="1"/>
    <col min="3" max="3" width="17.6328125" customWidth="1"/>
  </cols>
  <sheetData>
    <row r="1" spans="1:1">
      <c r="A1" s="29" t="s">
        <v>365</v>
      </c>
    </row>
    <row r="4" spans="1:1">
      <c r="A4" s="33" t="s">
        <v>366</v>
      </c>
    </row>
    <row r="5" spans="1:1">
      <c r="A5" s="33" t="s">
        <v>367</v>
      </c>
    </row>
    <row r="6" spans="1:1">
      <c r="A6" s="16"/>
    </row>
    <row r="7" spans="1:1">
      <c r="A7" s="39" t="s">
        <v>400</v>
      </c>
    </row>
    <row r="8" spans="1:1">
      <c r="A8" s="39" t="s">
        <v>401</v>
      </c>
    </row>
    <row r="9" spans="1:1">
      <c r="A9" s="39" t="s">
        <v>402</v>
      </c>
    </row>
    <row r="11" spans="1:1">
      <c r="A11" s="33" t="s">
        <v>368</v>
      </c>
    </row>
    <row r="12" spans="1:1">
      <c r="A12" s="16"/>
    </row>
    <row r="13" spans="1:1">
      <c r="A13" s="39" t="s">
        <v>403</v>
      </c>
    </row>
    <row r="14" spans="1:1">
      <c r="A14" s="40" t="s">
        <v>404</v>
      </c>
    </row>
    <row r="15" spans="1:1">
      <c r="A15" s="40" t="s">
        <v>405</v>
      </c>
    </row>
    <row r="16" spans="1:1">
      <c r="A16" s="39" t="s">
        <v>406</v>
      </c>
    </row>
    <row r="17" spans="1:1">
      <c r="A17" s="39" t="s">
        <v>407</v>
      </c>
    </row>
    <row r="19" spans="1:1">
      <c r="A19" s="33" t="s">
        <v>369</v>
      </c>
    </row>
    <row r="20" spans="1:1">
      <c r="A20" s="16"/>
    </row>
    <row r="21" spans="1:1">
      <c r="A21" s="39" t="s">
        <v>408</v>
      </c>
    </row>
    <row r="22" spans="1:1">
      <c r="A22" s="39" t="s">
        <v>409</v>
      </c>
    </row>
    <row r="24" spans="1:1">
      <c r="A24" s="33" t="s">
        <v>370</v>
      </c>
    </row>
    <row r="25" spans="1:1">
      <c r="A25" s="16"/>
    </row>
    <row r="26" spans="1:1">
      <c r="A26" s="39" t="s">
        <v>410</v>
      </c>
    </row>
    <row r="27" spans="1:1">
      <c r="A27" s="39" t="s">
        <v>411</v>
      </c>
    </row>
    <row r="29" spans="1:1">
      <c r="A29" s="33" t="s">
        <v>371</v>
      </c>
    </row>
    <row r="30" spans="1:1">
      <c r="A30" s="16"/>
    </row>
    <row r="31" spans="1:1">
      <c r="A31" s="39" t="s">
        <v>412</v>
      </c>
    </row>
    <row r="32" spans="1:1">
      <c r="A32" s="39" t="s">
        <v>413</v>
      </c>
    </row>
    <row r="33" spans="1:1">
      <c r="A33" s="39" t="s">
        <v>414</v>
      </c>
    </row>
    <row r="37" spans="1:1">
      <c r="A37" s="33" t="s">
        <v>372</v>
      </c>
    </row>
    <row r="38" spans="1:1">
      <c r="A38" s="29" t="s">
        <v>373</v>
      </c>
    </row>
    <row r="40" spans="1:1">
      <c r="A40" s="41" t="s">
        <v>374</v>
      </c>
    </row>
    <row r="41" spans="1:1">
      <c r="A41" s="41" t="s">
        <v>375</v>
      </c>
    </row>
    <row r="42" spans="1:1">
      <c r="A42" s="41" t="s">
        <v>376</v>
      </c>
    </row>
    <row r="43" spans="1:1">
      <c r="A43" s="41" t="s">
        <v>377</v>
      </c>
    </row>
    <row r="44" spans="1:1">
      <c r="A44" s="41" t="s">
        <v>375</v>
      </c>
    </row>
    <row r="45" spans="1:1">
      <c r="A45" s="41" t="s">
        <v>376</v>
      </c>
    </row>
    <row r="46" spans="1:1">
      <c r="A46" s="41" t="s">
        <v>378</v>
      </c>
    </row>
    <row r="47" spans="1:1">
      <c r="A47" s="41" t="s">
        <v>375</v>
      </c>
    </row>
    <row r="48" spans="1:1">
      <c r="A48" s="41" t="s">
        <v>376</v>
      </c>
    </row>
    <row r="49" spans="1:1">
      <c r="A49" s="41" t="s">
        <v>379</v>
      </c>
    </row>
    <row r="51" spans="1:1">
      <c r="A51" s="33" t="s">
        <v>380</v>
      </c>
    </row>
    <row r="52" spans="1:1">
      <c r="A52" s="16"/>
    </row>
    <row r="53" spans="1:1">
      <c r="A53" s="39" t="s">
        <v>381</v>
      </c>
    </row>
    <row r="54" spans="1:1">
      <c r="A54" s="42" t="s">
        <v>382</v>
      </c>
    </row>
    <row r="55" spans="1:1">
      <c r="A55" s="42" t="s">
        <v>415</v>
      </c>
    </row>
    <row r="56" spans="1:1">
      <c r="A56" s="43" t="s">
        <v>416</v>
      </c>
    </row>
    <row r="57" spans="1:1">
      <c r="A57" s="39" t="s">
        <v>383</v>
      </c>
    </row>
    <row r="58" spans="1:1">
      <c r="A58" s="42" t="s">
        <v>417</v>
      </c>
    </row>
    <row r="59" spans="1:1">
      <c r="A59" s="42" t="s">
        <v>418</v>
      </c>
    </row>
    <row r="60" spans="1:1">
      <c r="A60" s="42" t="s">
        <v>419</v>
      </c>
    </row>
    <row r="61" spans="1:1">
      <c r="A61" s="39" t="s">
        <v>420</v>
      </c>
    </row>
    <row r="62" spans="1:1">
      <c r="A62" s="42" t="s">
        <v>421</v>
      </c>
    </row>
    <row r="63" spans="1:1">
      <c r="A63" s="42" t="s">
        <v>422</v>
      </c>
    </row>
    <row r="64" spans="1:1">
      <c r="A64" s="39" t="s">
        <v>384</v>
      </c>
    </row>
    <row r="65" spans="1:3">
      <c r="A65" s="42" t="s">
        <v>423</v>
      </c>
    </row>
    <row r="66" spans="1:3">
      <c r="A66" s="42" t="s">
        <v>424</v>
      </c>
    </row>
    <row r="70" spans="1:3">
      <c r="A70" s="33" t="s">
        <v>385</v>
      </c>
    </row>
    <row r="71" spans="1:3" ht="28">
      <c r="A71" s="31" t="s">
        <v>61</v>
      </c>
      <c r="B71" s="31" t="s">
        <v>386</v>
      </c>
      <c r="C71" s="31" t="s">
        <v>387</v>
      </c>
    </row>
    <row r="72" spans="1:3" ht="84">
      <c r="A72" s="32" t="s">
        <v>388</v>
      </c>
      <c r="B72" s="38" t="s">
        <v>389</v>
      </c>
      <c r="C72" s="38" t="s">
        <v>390</v>
      </c>
    </row>
    <row r="73" spans="1:3" ht="84">
      <c r="A73" s="32" t="s">
        <v>391</v>
      </c>
      <c r="B73" s="38" t="s">
        <v>392</v>
      </c>
      <c r="C73" s="38" t="s">
        <v>393</v>
      </c>
    </row>
    <row r="74" spans="1:3" ht="84.5">
      <c r="A74" s="32" t="s">
        <v>394</v>
      </c>
      <c r="B74" s="38" t="s">
        <v>395</v>
      </c>
      <c r="C74" s="38" t="s">
        <v>396</v>
      </c>
    </row>
    <row r="75" spans="1:3" ht="84">
      <c r="A75" s="32" t="s">
        <v>397</v>
      </c>
      <c r="B75" s="38" t="s">
        <v>398</v>
      </c>
      <c r="C75" s="38" t="s">
        <v>399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45B68-C86C-4FD2-8A17-5F8F0A6C7BC7}">
  <dimension ref="A1:C160"/>
  <sheetViews>
    <sheetView workbookViewId="0">
      <selection activeCell="F15" sqref="F15"/>
    </sheetView>
  </sheetViews>
  <sheetFormatPr defaultRowHeight="14.5"/>
  <sheetData>
    <row r="1" spans="1:1">
      <c r="A1" t="s">
        <v>425</v>
      </c>
    </row>
    <row r="4" spans="1:1">
      <c r="A4" t="s">
        <v>366</v>
      </c>
    </row>
    <row r="5" spans="1:1">
      <c r="A5" t="s">
        <v>367</v>
      </c>
    </row>
    <row r="6" spans="1:1">
      <c r="A6" s="16"/>
    </row>
    <row r="7" spans="1:1">
      <c r="A7" s="17" t="s">
        <v>426</v>
      </c>
    </row>
    <row r="8" spans="1:1">
      <c r="A8" s="17" t="s">
        <v>427</v>
      </c>
    </row>
    <row r="9" spans="1:1">
      <c r="A9" s="17" t="s">
        <v>428</v>
      </c>
    </row>
    <row r="11" spans="1:1">
      <c r="A11" t="s">
        <v>368</v>
      </c>
    </row>
    <row r="12" spans="1:1">
      <c r="A12" s="16"/>
    </row>
    <row r="13" spans="1:1">
      <c r="A13" s="17" t="s">
        <v>429</v>
      </c>
    </row>
    <row r="14" spans="1:1">
      <c r="A14" s="44" t="s">
        <v>430</v>
      </c>
    </row>
    <row r="15" spans="1:1">
      <c r="A15" s="44" t="s">
        <v>431</v>
      </c>
    </row>
    <row r="16" spans="1:1">
      <c r="A16" s="17" t="s">
        <v>432</v>
      </c>
    </row>
    <row r="17" spans="1:1">
      <c r="A17" s="17" t="s">
        <v>433</v>
      </c>
    </row>
    <row r="19" spans="1:1">
      <c r="A19" t="s">
        <v>369</v>
      </c>
    </row>
    <row r="20" spans="1:1">
      <c r="A20" s="16"/>
    </row>
    <row r="21" spans="1:1">
      <c r="A21" s="17" t="s">
        <v>434</v>
      </c>
    </row>
    <row r="22" spans="1:1">
      <c r="A22" s="17" t="s">
        <v>435</v>
      </c>
    </row>
    <row r="24" spans="1:1">
      <c r="A24" t="s">
        <v>370</v>
      </c>
    </row>
    <row r="25" spans="1:1">
      <c r="A25" s="16"/>
    </row>
    <row r="26" spans="1:1">
      <c r="A26" s="17" t="s">
        <v>436</v>
      </c>
    </row>
    <row r="27" spans="1:1">
      <c r="A27" s="17" t="s">
        <v>437</v>
      </c>
    </row>
    <row r="29" spans="1:1">
      <c r="A29" t="s">
        <v>371</v>
      </c>
    </row>
    <row r="30" spans="1:1">
      <c r="A30" s="16"/>
    </row>
    <row r="31" spans="1:1">
      <c r="A31" s="17" t="s">
        <v>438</v>
      </c>
    </row>
    <row r="32" spans="1:1">
      <c r="A32" s="17" t="s">
        <v>439</v>
      </c>
    </row>
    <row r="33" spans="1:1">
      <c r="A33" s="17" t="s">
        <v>440</v>
      </c>
    </row>
    <row r="37" spans="1:1">
      <c r="A37" t="s">
        <v>372</v>
      </c>
    </row>
    <row r="38" spans="1:1">
      <c r="A38" t="s">
        <v>441</v>
      </c>
    </row>
    <row r="40" spans="1:1">
      <c r="A40" s="19" t="s">
        <v>374</v>
      </c>
    </row>
    <row r="41" spans="1:1">
      <c r="A41" s="19" t="s">
        <v>375</v>
      </c>
    </row>
    <row r="42" spans="1:1">
      <c r="A42" s="19" t="s">
        <v>376</v>
      </c>
    </row>
    <row r="43" spans="1:1">
      <c r="A43" s="19" t="s">
        <v>377</v>
      </c>
    </row>
    <row r="44" spans="1:1">
      <c r="A44" s="19" t="s">
        <v>375</v>
      </c>
    </row>
    <row r="45" spans="1:1">
      <c r="A45" s="19" t="s">
        <v>376</v>
      </c>
    </row>
    <row r="46" spans="1:1">
      <c r="A46" s="19" t="s">
        <v>378</v>
      </c>
    </row>
    <row r="47" spans="1:1">
      <c r="A47" s="19" t="s">
        <v>375</v>
      </c>
    </row>
    <row r="48" spans="1:1">
      <c r="A48" s="19" t="s">
        <v>376</v>
      </c>
    </row>
    <row r="49" spans="1:1">
      <c r="A49" s="19" t="s">
        <v>379</v>
      </c>
    </row>
    <row r="51" spans="1:1">
      <c r="A51" t="s">
        <v>380</v>
      </c>
    </row>
    <row r="52" spans="1:1">
      <c r="A52" s="16"/>
    </row>
    <row r="53" spans="1:1">
      <c r="A53" s="17" t="s">
        <v>442</v>
      </c>
    </row>
    <row r="54" spans="1:1">
      <c r="A54" s="37" t="s">
        <v>443</v>
      </c>
    </row>
    <row r="55" spans="1:1">
      <c r="A55" s="37" t="s">
        <v>444</v>
      </c>
    </row>
    <row r="56" spans="1:1">
      <c r="A56" s="45" t="s">
        <v>445</v>
      </c>
    </row>
    <row r="57" spans="1:1">
      <c r="A57" s="17" t="s">
        <v>446</v>
      </c>
    </row>
    <row r="58" spans="1:1">
      <c r="A58" s="37" t="s">
        <v>447</v>
      </c>
    </row>
    <row r="59" spans="1:1">
      <c r="A59" s="37" t="s">
        <v>448</v>
      </c>
    </row>
    <row r="60" spans="1:1">
      <c r="A60" s="37" t="s">
        <v>449</v>
      </c>
    </row>
    <row r="61" spans="1:1">
      <c r="A61" s="17" t="s">
        <v>450</v>
      </c>
    </row>
    <row r="62" spans="1:1">
      <c r="A62" s="37" t="s">
        <v>451</v>
      </c>
    </row>
    <row r="63" spans="1:1">
      <c r="A63" s="37" t="s">
        <v>452</v>
      </c>
    </row>
    <row r="64" spans="1:1">
      <c r="A64" s="17" t="s">
        <v>453</v>
      </c>
    </row>
    <row r="65" spans="1:3">
      <c r="A65" s="37" t="s">
        <v>454</v>
      </c>
    </row>
    <row r="66" spans="1:3">
      <c r="A66" s="37" t="s">
        <v>455</v>
      </c>
    </row>
    <row r="70" spans="1:3">
      <c r="A70" t="s">
        <v>385</v>
      </c>
    </row>
    <row r="71" spans="1:3" ht="58">
      <c r="A71" s="13" t="s">
        <v>61</v>
      </c>
      <c r="B71" s="13" t="s">
        <v>386</v>
      </c>
      <c r="C71" s="13" t="s">
        <v>387</v>
      </c>
    </row>
    <row r="72" spans="1:3" ht="145">
      <c r="A72" s="15" t="s">
        <v>388</v>
      </c>
      <c r="B72" s="14" t="s">
        <v>389</v>
      </c>
      <c r="C72" s="14" t="s">
        <v>456</v>
      </c>
    </row>
    <row r="73" spans="1:3" ht="159.5">
      <c r="A73" s="15" t="s">
        <v>391</v>
      </c>
      <c r="B73" s="14" t="s">
        <v>392</v>
      </c>
      <c r="C73" s="14" t="s">
        <v>457</v>
      </c>
    </row>
    <row r="74" spans="1:3" ht="203">
      <c r="A74" s="15" t="s">
        <v>394</v>
      </c>
      <c r="B74" s="14" t="s">
        <v>395</v>
      </c>
      <c r="C74" s="14" t="s">
        <v>458</v>
      </c>
    </row>
    <row r="75" spans="1:3" ht="174">
      <c r="A75" s="15" t="s">
        <v>397</v>
      </c>
      <c r="B75" s="14" t="s">
        <v>398</v>
      </c>
      <c r="C75" s="14" t="s">
        <v>459</v>
      </c>
    </row>
    <row r="76" spans="1:3">
      <c r="A76" t="s">
        <v>460</v>
      </c>
    </row>
    <row r="77" spans="1:3">
      <c r="A77" t="s">
        <v>461</v>
      </c>
    </row>
    <row r="78" spans="1:3">
      <c r="A78" t="s">
        <v>462</v>
      </c>
    </row>
    <row r="79" spans="1:3">
      <c r="A79" t="s">
        <v>463</v>
      </c>
    </row>
    <row r="81" spans="1:1">
      <c r="A81" t="s">
        <v>464</v>
      </c>
    </row>
    <row r="83" spans="1:1">
      <c r="A83" t="s">
        <v>465</v>
      </c>
    </row>
    <row r="84" spans="1:1">
      <c r="A84" t="s">
        <v>466</v>
      </c>
    </row>
    <row r="85" spans="1:1">
      <c r="A85" s="12" t="s">
        <v>467</v>
      </c>
    </row>
    <row r="88" spans="1:1">
      <c r="A88" t="s">
        <v>468</v>
      </c>
    </row>
    <row r="89" spans="1:1">
      <c r="A89" s="16"/>
    </row>
    <row r="90" spans="1:1">
      <c r="A90" s="17" t="s">
        <v>469</v>
      </c>
    </row>
    <row r="91" spans="1:1">
      <c r="A91" s="37" t="s">
        <v>470</v>
      </c>
    </row>
    <row r="92" spans="1:1">
      <c r="A92" s="37" t="s">
        <v>471</v>
      </c>
    </row>
    <row r="93" spans="1:1">
      <c r="A93" s="17" t="s">
        <v>472</v>
      </c>
    </row>
    <row r="94" spans="1:1">
      <c r="A94" s="37" t="s">
        <v>473</v>
      </c>
    </row>
    <row r="95" spans="1:1">
      <c r="A95" s="46" t="s">
        <v>474</v>
      </c>
    </row>
    <row r="96" spans="1:1">
      <c r="A96" s="46" t="s">
        <v>475</v>
      </c>
    </row>
    <row r="97" spans="1:1">
      <c r="A97" s="46" t="s">
        <v>476</v>
      </c>
    </row>
    <row r="101" spans="1:1">
      <c r="A101" t="s">
        <v>477</v>
      </c>
    </row>
    <row r="102" spans="1:1">
      <c r="A102" s="16"/>
    </row>
    <row r="103" spans="1:1">
      <c r="A103" s="17" t="s">
        <v>478</v>
      </c>
    </row>
    <row r="104" spans="1:1">
      <c r="A104" s="17" t="s">
        <v>479</v>
      </c>
    </row>
    <row r="105" spans="1:1">
      <c r="A105" s="17" t="s">
        <v>480</v>
      </c>
    </row>
    <row r="106" spans="1:1">
      <c r="A106" s="17" t="s">
        <v>481</v>
      </c>
    </row>
    <row r="110" spans="1:1">
      <c r="A110" t="s">
        <v>482</v>
      </c>
    </row>
    <row r="111" spans="1:1">
      <c r="A111" s="16"/>
    </row>
    <row r="112" spans="1:1">
      <c r="A112" s="17" t="s">
        <v>483</v>
      </c>
    </row>
    <row r="113" spans="1:1">
      <c r="A113" s="17" t="s">
        <v>484</v>
      </c>
    </row>
    <row r="117" spans="1:1">
      <c r="A117" t="s">
        <v>485</v>
      </c>
    </row>
    <row r="118" spans="1:1">
      <c r="A118" t="s">
        <v>460</v>
      </c>
    </row>
    <row r="119" spans="1:1">
      <c r="A119" t="s">
        <v>461</v>
      </c>
    </row>
    <row r="120" spans="1:1">
      <c r="A120" t="s">
        <v>462</v>
      </c>
    </row>
    <row r="121" spans="1:1">
      <c r="A121" t="s">
        <v>463</v>
      </c>
    </row>
    <row r="123" spans="1:1">
      <c r="A123" t="s">
        <v>486</v>
      </c>
    </row>
    <row r="125" spans="1:1">
      <c r="A125" t="s">
        <v>465</v>
      </c>
    </row>
    <row r="126" spans="1:1">
      <c r="A126" t="s">
        <v>466</v>
      </c>
    </row>
    <row r="127" spans="1:1">
      <c r="A127" t="s">
        <v>487</v>
      </c>
    </row>
    <row r="130" spans="1:1">
      <c r="A130" t="s">
        <v>488</v>
      </c>
    </row>
    <row r="131" spans="1:1">
      <c r="A131" s="16"/>
    </row>
    <row r="132" spans="1:1">
      <c r="A132" s="17" t="s">
        <v>489</v>
      </c>
    </row>
    <row r="133" spans="1:1">
      <c r="A133" s="17" t="s">
        <v>490</v>
      </c>
    </row>
    <row r="134" spans="1:1">
      <c r="A134" s="17" t="s">
        <v>491</v>
      </c>
    </row>
    <row r="138" spans="1:1">
      <c r="A138" t="s">
        <v>492</v>
      </c>
    </row>
    <row r="139" spans="1:1">
      <c r="A139" t="s">
        <v>493</v>
      </c>
    </row>
    <row r="140" spans="1:1">
      <c r="A140" s="12" t="s">
        <v>494</v>
      </c>
    </row>
    <row r="141" spans="1:1">
      <c r="A141" t="s">
        <v>495</v>
      </c>
    </row>
    <row r="142" spans="1:1">
      <c r="A142" t="s">
        <v>496</v>
      </c>
    </row>
    <row r="143" spans="1:1">
      <c r="A143" s="16"/>
    </row>
    <row r="144" spans="1:1">
      <c r="A144" s="17" t="s">
        <v>497</v>
      </c>
    </row>
    <row r="148" spans="1:1">
      <c r="A148" s="12" t="s">
        <v>498</v>
      </c>
    </row>
    <row r="149" spans="1:1">
      <c r="A149" t="s">
        <v>499</v>
      </c>
    </row>
    <row r="150" spans="1:1">
      <c r="A150" t="s">
        <v>500</v>
      </c>
    </row>
    <row r="151" spans="1:1">
      <c r="A151" s="16"/>
    </row>
    <row r="152" spans="1:1">
      <c r="A152" s="17" t="s">
        <v>501</v>
      </c>
    </row>
    <row r="156" spans="1:1">
      <c r="A156" t="s">
        <v>502</v>
      </c>
    </row>
    <row r="157" spans="1:1">
      <c r="A157" s="16"/>
    </row>
    <row r="158" spans="1:1">
      <c r="A158" s="17" t="s">
        <v>503</v>
      </c>
    </row>
    <row r="159" spans="1:1">
      <c r="A159" s="17" t="s">
        <v>504</v>
      </c>
    </row>
    <row r="160" spans="1:1">
      <c r="A160" s="17" t="s">
        <v>505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EE38B-3702-46D3-9947-A53946A143EF}">
  <dimension ref="A1:R91"/>
  <sheetViews>
    <sheetView workbookViewId="0">
      <selection activeCell="D8" sqref="D8"/>
    </sheetView>
  </sheetViews>
  <sheetFormatPr defaultRowHeight="14.5"/>
  <sheetData>
    <row r="1" spans="1:18">
      <c r="A1" t="s">
        <v>506</v>
      </c>
    </row>
    <row r="2" spans="1:18">
      <c r="A2" t="s">
        <v>507</v>
      </c>
    </row>
    <row r="3" spans="1:18">
      <c r="A3" s="16"/>
    </row>
    <row r="4" spans="1:18">
      <c r="A4" s="17" t="s">
        <v>508</v>
      </c>
    </row>
    <row r="5" spans="1:18">
      <c r="A5" s="17" t="s">
        <v>509</v>
      </c>
    </row>
    <row r="6" spans="1:18">
      <c r="A6" s="17" t="s">
        <v>510</v>
      </c>
    </row>
    <row r="7" spans="1:18">
      <c r="A7" s="17" t="s">
        <v>511</v>
      </c>
    </row>
    <row r="8" spans="1:18">
      <c r="A8" s="17" t="s">
        <v>512</v>
      </c>
    </row>
    <row r="9" spans="1:18">
      <c r="A9" s="17" t="s">
        <v>513</v>
      </c>
    </row>
    <row r="10" spans="1:18">
      <c r="A10" s="17" t="s">
        <v>514</v>
      </c>
      <c r="R10" s="29" t="s">
        <v>572</v>
      </c>
    </row>
    <row r="11" spans="1:18">
      <c r="A11" s="17" t="s">
        <v>515</v>
      </c>
      <c r="R11" s="16"/>
    </row>
    <row r="12" spans="1:18">
      <c r="A12" s="17" t="s">
        <v>516</v>
      </c>
      <c r="R12" s="39" t="s">
        <v>574</v>
      </c>
    </row>
    <row r="13" spans="1:18">
      <c r="R13" s="39" t="s">
        <v>575</v>
      </c>
    </row>
    <row r="14" spans="1:18">
      <c r="R14" s="39" t="s">
        <v>576</v>
      </c>
    </row>
    <row r="16" spans="1:18">
      <c r="A16" t="s">
        <v>517</v>
      </c>
      <c r="R16" s="29" t="s">
        <v>573</v>
      </c>
    </row>
    <row r="17" spans="1:1">
      <c r="A17" t="s">
        <v>518</v>
      </c>
    </row>
    <row r="18" spans="1:1">
      <c r="A18" t="s">
        <v>519</v>
      </c>
    </row>
    <row r="20" spans="1:1">
      <c r="A20" s="19" t="s">
        <v>26</v>
      </c>
    </row>
    <row r="21" spans="1:1">
      <c r="A21" s="19" t="s">
        <v>520</v>
      </c>
    </row>
    <row r="22" spans="1:1">
      <c r="A22" s="19" t="s">
        <v>26</v>
      </c>
    </row>
    <row r="23" spans="1:1">
      <c r="A23" s="18"/>
    </row>
    <row r="24" spans="1:1">
      <c r="A24" s="19" t="s">
        <v>521</v>
      </c>
    </row>
    <row r="25" spans="1:1">
      <c r="A25" s="19" t="s">
        <v>522</v>
      </c>
    </row>
    <row r="26" spans="1:1">
      <c r="A26" s="19" t="s">
        <v>523</v>
      </c>
    </row>
    <row r="27" spans="1:1">
      <c r="A27" s="19" t="s">
        <v>524</v>
      </c>
    </row>
    <row r="28" spans="1:1">
      <c r="A28" s="19" t="s">
        <v>523</v>
      </c>
    </row>
    <row r="29" spans="1:1">
      <c r="A29" s="19" t="s">
        <v>525</v>
      </c>
    </row>
    <row r="30" spans="1:1">
      <c r="A30" s="19" t="s">
        <v>526</v>
      </c>
    </row>
    <row r="31" spans="1:1">
      <c r="A31" s="19" t="s">
        <v>527</v>
      </c>
    </row>
    <row r="32" spans="1:1">
      <c r="A32" s="19" t="s">
        <v>528</v>
      </c>
    </row>
    <row r="33" spans="1:1">
      <c r="A33" s="19" t="s">
        <v>529</v>
      </c>
    </row>
    <row r="34" spans="1:1">
      <c r="A34" s="19" t="s">
        <v>530</v>
      </c>
    </row>
    <row r="35" spans="1:1">
      <c r="A35" s="19" t="s">
        <v>531</v>
      </c>
    </row>
    <row r="36" spans="1:1">
      <c r="A36" s="19" t="s">
        <v>532</v>
      </c>
    </row>
    <row r="37" spans="1:1">
      <c r="A37" s="19" t="s">
        <v>528</v>
      </c>
    </row>
    <row r="38" spans="1:1">
      <c r="A38" s="19" t="s">
        <v>533</v>
      </c>
    </row>
    <row r="39" spans="1:1">
      <c r="A39" s="19" t="s">
        <v>534</v>
      </c>
    </row>
    <row r="40" spans="1:1">
      <c r="A40" s="19" t="s">
        <v>535</v>
      </c>
    </row>
    <row r="41" spans="1:1">
      <c r="A41" s="19" t="s">
        <v>536</v>
      </c>
    </row>
    <row r="42" spans="1:1">
      <c r="A42" s="19" t="s">
        <v>537</v>
      </c>
    </row>
    <row r="43" spans="1:1">
      <c r="A43" s="19" t="s">
        <v>535</v>
      </c>
    </row>
    <row r="47" spans="1:1">
      <c r="A47" t="s">
        <v>538</v>
      </c>
    </row>
    <row r="48" spans="1:1">
      <c r="A48" t="s">
        <v>539</v>
      </c>
    </row>
    <row r="49" spans="1:1">
      <c r="A49" t="s">
        <v>540</v>
      </c>
    </row>
    <row r="50" spans="1:1">
      <c r="A50" s="16"/>
    </row>
    <row r="51" spans="1:1">
      <c r="A51" s="17" t="s">
        <v>541</v>
      </c>
    </row>
    <row r="52" spans="1:1">
      <c r="A52" s="17" t="s">
        <v>542</v>
      </c>
    </row>
    <row r="53" spans="1:1">
      <c r="A53" s="17" t="s">
        <v>543</v>
      </c>
    </row>
    <row r="54" spans="1:1">
      <c r="A54" s="45" t="s">
        <v>544</v>
      </c>
    </row>
    <row r="55" spans="1:1">
      <c r="A55" s="45" t="s">
        <v>545</v>
      </c>
    </row>
    <row r="56" spans="1:1">
      <c r="A56" s="17" t="s">
        <v>546</v>
      </c>
    </row>
    <row r="57" spans="1:1">
      <c r="A57" s="17" t="s">
        <v>547</v>
      </c>
    </row>
    <row r="59" spans="1:1">
      <c r="A59" t="s">
        <v>548</v>
      </c>
    </row>
    <row r="60" spans="1:1">
      <c r="A60" s="16"/>
    </row>
    <row r="61" spans="1:1">
      <c r="A61" s="17" t="s">
        <v>549</v>
      </c>
    </row>
    <row r="62" spans="1:1">
      <c r="A62" s="17" t="s">
        <v>550</v>
      </c>
    </row>
    <row r="63" spans="1:1">
      <c r="A63" s="17" t="s">
        <v>551</v>
      </c>
    </row>
    <row r="64" spans="1:1">
      <c r="A64" s="17" t="s">
        <v>552</v>
      </c>
    </row>
    <row r="65" spans="1:1">
      <c r="A65" s="17" t="s">
        <v>553</v>
      </c>
    </row>
    <row r="67" spans="1:1">
      <c r="A67" t="s">
        <v>554</v>
      </c>
    </row>
    <row r="68" spans="1:1">
      <c r="A68" s="16"/>
    </row>
    <row r="69" spans="1:1">
      <c r="A69" s="17" t="s">
        <v>555</v>
      </c>
    </row>
    <row r="70" spans="1:1">
      <c r="A70" s="17" t="s">
        <v>556</v>
      </c>
    </row>
    <row r="71" spans="1:1">
      <c r="A71" s="17" t="s">
        <v>557</v>
      </c>
    </row>
    <row r="72" spans="1:1">
      <c r="A72" s="17" t="s">
        <v>558</v>
      </c>
    </row>
    <row r="73" spans="1:1">
      <c r="A73" s="17" t="s">
        <v>559</v>
      </c>
    </row>
    <row r="75" spans="1:1">
      <c r="A75" t="s">
        <v>560</v>
      </c>
    </row>
    <row r="76" spans="1:1">
      <c r="A76" s="16"/>
    </row>
    <row r="77" spans="1:1">
      <c r="A77" s="17" t="s">
        <v>561</v>
      </c>
    </row>
    <row r="78" spans="1:1">
      <c r="A78" s="17" t="s">
        <v>562</v>
      </c>
    </row>
    <row r="79" spans="1:1">
      <c r="A79" s="17" t="s">
        <v>563</v>
      </c>
    </row>
    <row r="81" spans="1:1">
      <c r="A81" t="s">
        <v>564</v>
      </c>
    </row>
    <row r="82" spans="1:1">
      <c r="A82" s="16"/>
    </row>
    <row r="83" spans="1:1">
      <c r="A83" s="17" t="s">
        <v>565</v>
      </c>
    </row>
    <row r="84" spans="1:1">
      <c r="A84" s="17" t="s">
        <v>566</v>
      </c>
    </row>
    <row r="85" spans="1:1">
      <c r="A85" s="17" t="s">
        <v>567</v>
      </c>
    </row>
    <row r="86" spans="1:1">
      <c r="A86" s="17" t="s">
        <v>568</v>
      </c>
    </row>
    <row r="88" spans="1:1">
      <c r="A88" t="s">
        <v>569</v>
      </c>
    </row>
    <row r="89" spans="1:1">
      <c r="A89" s="16"/>
    </row>
    <row r="90" spans="1:1">
      <c r="A90" s="17" t="s">
        <v>570</v>
      </c>
    </row>
    <row r="91" spans="1:1">
      <c r="A91" s="17" t="s">
        <v>571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69D2-CFFE-4879-9842-6A8A6C05C908}">
  <dimension ref="A1:E21"/>
  <sheetViews>
    <sheetView workbookViewId="0">
      <selection sqref="A1:A148"/>
    </sheetView>
  </sheetViews>
  <sheetFormatPr defaultRowHeight="14.5"/>
  <cols>
    <col min="1" max="1" width="8.26953125" bestFit="1" customWidth="1"/>
    <col min="2" max="2" width="39.6328125" bestFit="1" customWidth="1"/>
    <col min="3" max="3" width="19.36328125" bestFit="1" customWidth="1"/>
    <col min="4" max="4" width="12.08984375" bestFit="1" customWidth="1"/>
    <col min="5" max="5" width="21.54296875" bestFit="1" customWidth="1"/>
  </cols>
  <sheetData>
    <row r="1" spans="1:5">
      <c r="A1" t="s">
        <v>895</v>
      </c>
      <c r="B1" t="s">
        <v>896</v>
      </c>
      <c r="C1" t="s">
        <v>897</v>
      </c>
      <c r="D1" t="s">
        <v>898</v>
      </c>
      <c r="E1" t="s">
        <v>899</v>
      </c>
    </row>
    <row r="2" spans="1:5">
      <c r="A2">
        <v>3900</v>
      </c>
      <c r="B2" t="s">
        <v>900</v>
      </c>
      <c r="C2" t="s">
        <v>901</v>
      </c>
      <c r="D2" t="s">
        <v>902</v>
      </c>
      <c r="E2" t="s">
        <v>903</v>
      </c>
    </row>
    <row r="3" spans="1:5">
      <c r="A3">
        <v>3400</v>
      </c>
      <c r="B3" t="s">
        <v>904</v>
      </c>
      <c r="C3" t="s">
        <v>901</v>
      </c>
      <c r="D3" t="s">
        <v>902</v>
      </c>
      <c r="E3" t="s">
        <v>905</v>
      </c>
    </row>
    <row r="4" spans="1:5">
      <c r="A4">
        <v>3420</v>
      </c>
      <c r="B4" t="s">
        <v>906</v>
      </c>
      <c r="C4" t="s">
        <v>901</v>
      </c>
      <c r="D4" t="s">
        <v>902</v>
      </c>
      <c r="E4" t="s">
        <v>905</v>
      </c>
    </row>
    <row r="5" spans="1:5">
      <c r="A5">
        <v>3600</v>
      </c>
      <c r="B5" t="s">
        <v>907</v>
      </c>
      <c r="C5" t="s">
        <v>901</v>
      </c>
      <c r="D5" t="s">
        <v>902</v>
      </c>
      <c r="E5" t="s">
        <v>908</v>
      </c>
    </row>
    <row r="6" spans="1:5">
      <c r="A6">
        <v>5000</v>
      </c>
      <c r="B6" t="s">
        <v>909</v>
      </c>
      <c r="C6" t="s">
        <v>910</v>
      </c>
      <c r="D6" t="s">
        <v>911</v>
      </c>
      <c r="E6" t="s">
        <v>912</v>
      </c>
    </row>
    <row r="7" spans="1:5">
      <c r="A7">
        <v>5050</v>
      </c>
      <c r="B7" t="s">
        <v>913</v>
      </c>
      <c r="C7" t="s">
        <v>910</v>
      </c>
      <c r="D7" t="s">
        <v>911</v>
      </c>
      <c r="E7" t="s">
        <v>912</v>
      </c>
    </row>
    <row r="8" spans="1:5">
      <c r="A8">
        <v>5100</v>
      </c>
      <c r="B8" t="s">
        <v>914</v>
      </c>
      <c r="C8" t="s">
        <v>910</v>
      </c>
      <c r="D8" t="s">
        <v>911</v>
      </c>
      <c r="E8" t="s">
        <v>912</v>
      </c>
    </row>
    <row r="9" spans="1:5">
      <c r="A9">
        <v>5080</v>
      </c>
      <c r="B9" t="s">
        <v>915</v>
      </c>
      <c r="C9" t="s">
        <v>910</v>
      </c>
      <c r="D9" t="s">
        <v>911</v>
      </c>
      <c r="E9" t="s">
        <v>912</v>
      </c>
    </row>
    <row r="10" spans="1:5">
      <c r="A10">
        <v>5400</v>
      </c>
      <c r="B10" t="s">
        <v>916</v>
      </c>
      <c r="C10" t="s">
        <v>910</v>
      </c>
      <c r="D10" t="s">
        <v>911</v>
      </c>
      <c r="E10" t="s">
        <v>912</v>
      </c>
    </row>
    <row r="11" spans="1:5">
      <c r="A11">
        <v>5420</v>
      </c>
      <c r="B11" t="s">
        <v>917</v>
      </c>
      <c r="C11" t="s">
        <v>910</v>
      </c>
      <c r="D11" t="s">
        <v>911</v>
      </c>
      <c r="E11" t="s">
        <v>912</v>
      </c>
    </row>
    <row r="12" spans="1:5">
      <c r="A12">
        <v>5800</v>
      </c>
      <c r="B12" t="s">
        <v>918</v>
      </c>
      <c r="C12" t="s">
        <v>910</v>
      </c>
      <c r="D12" t="s">
        <v>911</v>
      </c>
      <c r="E12" t="s">
        <v>912</v>
      </c>
    </row>
    <row r="13" spans="1:5">
      <c r="A13">
        <v>6300</v>
      </c>
      <c r="B13" t="s">
        <v>919</v>
      </c>
      <c r="C13" t="s">
        <v>920</v>
      </c>
      <c r="D13" t="s">
        <v>911</v>
      </c>
      <c r="E13" t="s">
        <v>921</v>
      </c>
    </row>
    <row r="14" spans="1:5">
      <c r="A14">
        <v>6550</v>
      </c>
      <c r="B14" t="s">
        <v>922</v>
      </c>
      <c r="C14" t="s">
        <v>920</v>
      </c>
      <c r="D14" t="s">
        <v>911</v>
      </c>
      <c r="E14" t="s">
        <v>921</v>
      </c>
    </row>
    <row r="15" spans="1:5">
      <c r="A15">
        <v>6700</v>
      </c>
      <c r="B15" t="s">
        <v>923</v>
      </c>
      <c r="C15" t="s">
        <v>920</v>
      </c>
      <c r="D15" t="s">
        <v>911</v>
      </c>
      <c r="E15" t="s">
        <v>921</v>
      </c>
    </row>
    <row r="16" spans="1:5">
      <c r="A16">
        <v>7130</v>
      </c>
      <c r="B16" t="s">
        <v>924</v>
      </c>
      <c r="C16" t="s">
        <v>920</v>
      </c>
      <c r="D16" t="s">
        <v>911</v>
      </c>
      <c r="E16" t="s">
        <v>921</v>
      </c>
    </row>
    <row r="17" spans="1:5">
      <c r="A17">
        <v>7790</v>
      </c>
      <c r="B17" t="s">
        <v>925</v>
      </c>
      <c r="C17" t="s">
        <v>920</v>
      </c>
      <c r="D17" t="s">
        <v>911</v>
      </c>
      <c r="E17" t="s">
        <v>921</v>
      </c>
    </row>
    <row r="18" spans="1:5">
      <c r="A18">
        <v>3670</v>
      </c>
      <c r="B18" t="s">
        <v>1586</v>
      </c>
      <c r="C18" t="s">
        <v>901</v>
      </c>
      <c r="D18" t="s">
        <v>902</v>
      </c>
      <c r="E18" t="s">
        <v>908</v>
      </c>
    </row>
    <row r="19" spans="1:5">
      <c r="A19">
        <v>3630</v>
      </c>
      <c r="B19" t="s">
        <v>1587</v>
      </c>
      <c r="C19" t="s">
        <v>901</v>
      </c>
      <c r="D19" t="s">
        <v>902</v>
      </c>
      <c r="E19" t="s">
        <v>908</v>
      </c>
    </row>
    <row r="20" spans="1:5">
      <c r="A20">
        <v>6420</v>
      </c>
      <c r="B20" t="s">
        <v>1588</v>
      </c>
      <c r="C20" t="s">
        <v>920</v>
      </c>
      <c r="D20" t="s">
        <v>911</v>
      </c>
      <c r="E20" t="s">
        <v>921</v>
      </c>
    </row>
    <row r="21" spans="1:5">
      <c r="A21">
        <v>1250</v>
      </c>
      <c r="B21" t="s">
        <v>1589</v>
      </c>
      <c r="C21" t="s">
        <v>920</v>
      </c>
      <c r="D21" t="s">
        <v>911</v>
      </c>
      <c r="E21" t="s">
        <v>921</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C6B0-FC61-47E3-8F39-0B6130772D7D}">
  <dimension ref="A1:I13"/>
  <sheetViews>
    <sheetView workbookViewId="0">
      <selection sqref="A1:A148"/>
    </sheetView>
  </sheetViews>
  <sheetFormatPr defaultRowHeight="14.5"/>
  <cols>
    <col min="1" max="1" width="13.36328125" bestFit="1" customWidth="1"/>
    <col min="2" max="2" width="6" bestFit="1" customWidth="1"/>
    <col min="3" max="3" width="17.54296875" bestFit="1" customWidth="1"/>
    <col min="4" max="4" width="14.26953125" bestFit="1" customWidth="1"/>
    <col min="5" max="5" width="18" bestFit="1" customWidth="1"/>
    <col min="6" max="6" width="9.08984375" bestFit="1" customWidth="1"/>
    <col min="7" max="7" width="13.7265625" bestFit="1" customWidth="1"/>
    <col min="8" max="8" width="20.54296875" bestFit="1" customWidth="1"/>
    <col min="9" max="9" width="12.81640625" customWidth="1"/>
  </cols>
  <sheetData>
    <row r="1" spans="1:9">
      <c r="A1" t="s">
        <v>926</v>
      </c>
      <c r="B1" t="s">
        <v>927</v>
      </c>
      <c r="C1" t="s">
        <v>928</v>
      </c>
      <c r="D1" t="s">
        <v>929</v>
      </c>
      <c r="E1" t="s">
        <v>930</v>
      </c>
      <c r="F1" t="s">
        <v>931</v>
      </c>
      <c r="G1" t="s">
        <v>932</v>
      </c>
      <c r="H1" t="s">
        <v>933</v>
      </c>
      <c r="I1" t="s">
        <v>963</v>
      </c>
    </row>
    <row r="2" spans="1:9">
      <c r="A2">
        <v>202601</v>
      </c>
      <c r="B2">
        <v>2026</v>
      </c>
      <c r="C2">
        <v>1</v>
      </c>
      <c r="D2" t="s">
        <v>934</v>
      </c>
      <c r="E2" t="s">
        <v>935</v>
      </c>
      <c r="F2" t="s">
        <v>936</v>
      </c>
      <c r="G2" t="b">
        <v>1</v>
      </c>
      <c r="H2" t="s">
        <v>937</v>
      </c>
      <c r="I2" s="51">
        <v>46053</v>
      </c>
    </row>
    <row r="3" spans="1:9">
      <c r="A3">
        <v>202602</v>
      </c>
      <c r="B3">
        <v>2026</v>
      </c>
      <c r="C3">
        <v>2</v>
      </c>
      <c r="D3" t="s">
        <v>938</v>
      </c>
      <c r="E3" t="s">
        <v>939</v>
      </c>
      <c r="F3" t="s">
        <v>936</v>
      </c>
      <c r="G3" t="b">
        <v>1</v>
      </c>
      <c r="H3" t="s">
        <v>937</v>
      </c>
      <c r="I3" s="51">
        <v>46081</v>
      </c>
    </row>
    <row r="4" spans="1:9">
      <c r="A4">
        <v>202603</v>
      </c>
      <c r="B4">
        <v>2026</v>
      </c>
      <c r="C4">
        <v>3</v>
      </c>
      <c r="D4" t="s">
        <v>940</v>
      </c>
      <c r="E4" t="s">
        <v>941</v>
      </c>
      <c r="F4" t="s">
        <v>936</v>
      </c>
      <c r="G4" t="b">
        <v>1</v>
      </c>
      <c r="H4" t="s">
        <v>937</v>
      </c>
      <c r="I4" s="51">
        <v>46112</v>
      </c>
    </row>
    <row r="5" spans="1:9">
      <c r="A5">
        <v>202604</v>
      </c>
      <c r="B5">
        <v>2026</v>
      </c>
      <c r="C5">
        <v>4</v>
      </c>
      <c r="D5" t="s">
        <v>942</v>
      </c>
      <c r="E5" t="s">
        <v>943</v>
      </c>
      <c r="F5" t="s">
        <v>944</v>
      </c>
      <c r="G5" t="b">
        <v>1</v>
      </c>
      <c r="H5" t="s">
        <v>937</v>
      </c>
      <c r="I5" s="51">
        <v>46142</v>
      </c>
    </row>
    <row r="6" spans="1:9">
      <c r="A6">
        <v>202605</v>
      </c>
      <c r="B6">
        <v>2026</v>
      </c>
      <c r="C6">
        <v>5</v>
      </c>
      <c r="D6" t="s">
        <v>945</v>
      </c>
      <c r="E6" t="s">
        <v>945</v>
      </c>
      <c r="F6" t="s">
        <v>944</v>
      </c>
      <c r="G6" t="b">
        <v>1</v>
      </c>
      <c r="H6" t="s">
        <v>937</v>
      </c>
      <c r="I6" s="51">
        <v>46173</v>
      </c>
    </row>
    <row r="7" spans="1:9">
      <c r="A7">
        <v>202606</v>
      </c>
      <c r="B7">
        <v>2026</v>
      </c>
      <c r="C7">
        <v>6</v>
      </c>
      <c r="D7" t="s">
        <v>946</v>
      </c>
      <c r="E7" t="s">
        <v>947</v>
      </c>
      <c r="F7" t="s">
        <v>944</v>
      </c>
      <c r="G7" t="b">
        <v>1</v>
      </c>
      <c r="H7" t="s">
        <v>937</v>
      </c>
      <c r="I7" s="51">
        <v>46203</v>
      </c>
    </row>
    <row r="8" spans="1:9">
      <c r="A8">
        <v>202607</v>
      </c>
      <c r="B8">
        <v>2026</v>
      </c>
      <c r="C8">
        <v>7</v>
      </c>
      <c r="D8" t="s">
        <v>948</v>
      </c>
      <c r="E8" t="s">
        <v>949</v>
      </c>
      <c r="F8" t="s">
        <v>950</v>
      </c>
      <c r="G8" t="b">
        <v>1</v>
      </c>
      <c r="H8" t="s">
        <v>937</v>
      </c>
      <c r="I8" s="51">
        <v>46234</v>
      </c>
    </row>
    <row r="9" spans="1:9">
      <c r="A9">
        <v>202608</v>
      </c>
      <c r="B9">
        <v>2026</v>
      </c>
      <c r="C9">
        <v>8</v>
      </c>
      <c r="D9" t="s">
        <v>951</v>
      </c>
      <c r="E9" t="s">
        <v>952</v>
      </c>
      <c r="F9" t="s">
        <v>950</v>
      </c>
      <c r="G9" t="b">
        <v>1</v>
      </c>
      <c r="H9" t="s">
        <v>937</v>
      </c>
      <c r="I9" s="51">
        <v>46265</v>
      </c>
    </row>
    <row r="10" spans="1:9">
      <c r="A10">
        <v>202609</v>
      </c>
      <c r="B10">
        <v>2026</v>
      </c>
      <c r="C10">
        <v>9</v>
      </c>
      <c r="D10" t="s">
        <v>953</v>
      </c>
      <c r="E10" t="s">
        <v>954</v>
      </c>
      <c r="F10" t="s">
        <v>950</v>
      </c>
      <c r="G10" t="b">
        <v>1</v>
      </c>
      <c r="H10" t="s">
        <v>937</v>
      </c>
      <c r="I10" s="51">
        <v>46295</v>
      </c>
    </row>
    <row r="11" spans="1:9">
      <c r="A11">
        <v>202610</v>
      </c>
      <c r="B11">
        <v>2026</v>
      </c>
      <c r="C11">
        <v>10</v>
      </c>
      <c r="D11" t="s">
        <v>955</v>
      </c>
      <c r="E11" t="s">
        <v>956</v>
      </c>
      <c r="F11" t="s">
        <v>957</v>
      </c>
      <c r="G11" t="b">
        <v>0</v>
      </c>
      <c r="H11" t="s">
        <v>958</v>
      </c>
      <c r="I11" s="51">
        <v>46326</v>
      </c>
    </row>
    <row r="12" spans="1:9">
      <c r="A12">
        <v>202611</v>
      </c>
      <c r="B12">
        <v>2026</v>
      </c>
      <c r="C12">
        <v>11</v>
      </c>
      <c r="D12" t="s">
        <v>959</v>
      </c>
      <c r="E12" t="s">
        <v>960</v>
      </c>
      <c r="F12" t="s">
        <v>957</v>
      </c>
      <c r="G12" t="b">
        <v>0</v>
      </c>
      <c r="H12" t="s">
        <v>958</v>
      </c>
      <c r="I12" s="51">
        <v>46356</v>
      </c>
    </row>
    <row r="13" spans="1:9">
      <c r="A13">
        <v>202612</v>
      </c>
      <c r="B13">
        <v>2026</v>
      </c>
      <c r="C13">
        <v>12</v>
      </c>
      <c r="D13" t="s">
        <v>961</v>
      </c>
      <c r="E13" t="s">
        <v>962</v>
      </c>
      <c r="F13" t="s">
        <v>957</v>
      </c>
      <c r="G13" t="b">
        <v>0</v>
      </c>
      <c r="H13" t="s">
        <v>958</v>
      </c>
      <c r="I13" s="51">
        <v>46387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6749E-C3F6-48B8-9FAD-36F0975EDC59}">
  <dimension ref="A1:I13"/>
  <sheetViews>
    <sheetView workbookViewId="0">
      <selection sqref="A1:A148"/>
    </sheetView>
  </sheetViews>
  <sheetFormatPr defaultRowHeight="14.5"/>
  <cols>
    <col min="1" max="1" width="13.36328125" bestFit="1" customWidth="1"/>
    <col min="2" max="2" width="10.08984375" bestFit="1" customWidth="1"/>
    <col min="3" max="3" width="6" bestFit="1" customWidth="1"/>
    <col min="4" max="4" width="17.54296875" bestFit="1" customWidth="1"/>
    <col min="5" max="5" width="14.26953125" bestFit="1" customWidth="1"/>
    <col min="6" max="6" width="18" bestFit="1" customWidth="1"/>
    <col min="7" max="7" width="9.08984375" bestFit="1" customWidth="1"/>
    <col min="8" max="8" width="13.7265625" bestFit="1" customWidth="1"/>
    <col min="9" max="9" width="13.08984375" bestFit="1" customWidth="1"/>
  </cols>
  <sheetData>
    <row r="1" spans="1:9">
      <c r="A1" t="s">
        <v>926</v>
      </c>
      <c r="B1" t="s">
        <v>963</v>
      </c>
      <c r="C1" t="s">
        <v>927</v>
      </c>
      <c r="D1" t="s">
        <v>928</v>
      </c>
      <c r="E1" t="s">
        <v>929</v>
      </c>
      <c r="F1" t="s">
        <v>930</v>
      </c>
      <c r="G1" t="s">
        <v>931</v>
      </c>
      <c r="H1" t="s">
        <v>932</v>
      </c>
      <c r="I1" t="s">
        <v>964</v>
      </c>
    </row>
    <row r="2" spans="1:9">
      <c r="A2">
        <v>20270131</v>
      </c>
      <c r="B2" s="51">
        <v>46418</v>
      </c>
      <c r="C2">
        <v>2027</v>
      </c>
      <c r="D2">
        <v>1</v>
      </c>
      <c r="E2" t="s">
        <v>965</v>
      </c>
      <c r="F2" t="s">
        <v>935</v>
      </c>
      <c r="G2" t="s">
        <v>936</v>
      </c>
      <c r="H2" t="b">
        <v>0</v>
      </c>
      <c r="I2">
        <v>2027</v>
      </c>
    </row>
    <row r="3" spans="1:9">
      <c r="A3">
        <v>20270228</v>
      </c>
      <c r="B3" s="51">
        <v>46446</v>
      </c>
      <c r="C3">
        <v>2027</v>
      </c>
      <c r="D3">
        <v>2</v>
      </c>
      <c r="E3" t="s">
        <v>966</v>
      </c>
      <c r="F3" t="s">
        <v>939</v>
      </c>
      <c r="G3" t="s">
        <v>936</v>
      </c>
      <c r="H3" t="b">
        <v>0</v>
      </c>
      <c r="I3">
        <v>2027</v>
      </c>
    </row>
    <row r="4" spans="1:9">
      <c r="A4">
        <v>20270331</v>
      </c>
      <c r="B4" s="51">
        <v>46477</v>
      </c>
      <c r="C4">
        <v>2027</v>
      </c>
      <c r="D4">
        <v>3</v>
      </c>
      <c r="E4" t="s">
        <v>967</v>
      </c>
      <c r="F4" t="s">
        <v>941</v>
      </c>
      <c r="G4" t="s">
        <v>936</v>
      </c>
      <c r="H4" t="b">
        <v>0</v>
      </c>
      <c r="I4">
        <v>2027</v>
      </c>
    </row>
    <row r="5" spans="1:9">
      <c r="A5">
        <v>20270430</v>
      </c>
      <c r="B5" s="51">
        <v>46507</v>
      </c>
      <c r="C5">
        <v>2027</v>
      </c>
      <c r="D5">
        <v>4</v>
      </c>
      <c r="E5" t="s">
        <v>942</v>
      </c>
      <c r="F5" t="s">
        <v>943</v>
      </c>
      <c r="G5" t="s">
        <v>944</v>
      </c>
      <c r="H5" t="b">
        <v>0</v>
      </c>
      <c r="I5">
        <v>2027</v>
      </c>
    </row>
    <row r="6" spans="1:9">
      <c r="A6">
        <v>20270531</v>
      </c>
      <c r="B6" s="51">
        <v>46538</v>
      </c>
      <c r="C6">
        <v>2027</v>
      </c>
      <c r="D6">
        <v>5</v>
      </c>
      <c r="E6" t="s">
        <v>968</v>
      </c>
      <c r="F6" t="s">
        <v>968</v>
      </c>
      <c r="G6" t="s">
        <v>944</v>
      </c>
      <c r="H6" t="b">
        <v>0</v>
      </c>
      <c r="I6">
        <v>2027</v>
      </c>
    </row>
    <row r="7" spans="1:9">
      <c r="A7">
        <v>20270630</v>
      </c>
      <c r="B7" s="51">
        <v>46568</v>
      </c>
      <c r="C7">
        <v>2027</v>
      </c>
      <c r="D7">
        <v>6</v>
      </c>
      <c r="E7" t="s">
        <v>969</v>
      </c>
      <c r="F7" t="s">
        <v>947</v>
      </c>
      <c r="G7" t="s">
        <v>944</v>
      </c>
      <c r="H7" t="b">
        <v>0</v>
      </c>
      <c r="I7">
        <v>2027</v>
      </c>
    </row>
    <row r="8" spans="1:9">
      <c r="A8">
        <v>20270731</v>
      </c>
      <c r="B8" s="51">
        <v>46599</v>
      </c>
      <c r="C8">
        <v>2027</v>
      </c>
      <c r="D8">
        <v>7</v>
      </c>
      <c r="E8" t="s">
        <v>970</v>
      </c>
      <c r="F8" t="s">
        <v>949</v>
      </c>
      <c r="G8" t="s">
        <v>950</v>
      </c>
      <c r="H8" t="b">
        <v>0</v>
      </c>
      <c r="I8">
        <v>2027</v>
      </c>
    </row>
    <row r="9" spans="1:9">
      <c r="A9">
        <v>20270831</v>
      </c>
      <c r="B9" s="51">
        <v>46630</v>
      </c>
      <c r="C9">
        <v>2027</v>
      </c>
      <c r="D9">
        <v>8</v>
      </c>
      <c r="E9" t="s">
        <v>951</v>
      </c>
      <c r="F9" t="s">
        <v>952</v>
      </c>
      <c r="G9" t="s">
        <v>950</v>
      </c>
      <c r="H9" t="b">
        <v>0</v>
      </c>
      <c r="I9">
        <v>2027</v>
      </c>
    </row>
    <row r="10" spans="1:9">
      <c r="A10">
        <v>20270930</v>
      </c>
      <c r="B10" s="51">
        <v>46660</v>
      </c>
      <c r="C10">
        <v>2027</v>
      </c>
      <c r="D10">
        <v>9</v>
      </c>
      <c r="E10" t="s">
        <v>953</v>
      </c>
      <c r="F10" t="s">
        <v>954</v>
      </c>
      <c r="G10" t="s">
        <v>950</v>
      </c>
      <c r="H10" t="b">
        <v>0</v>
      </c>
      <c r="I10">
        <v>2027</v>
      </c>
    </row>
    <row r="11" spans="1:9">
      <c r="A11">
        <v>20271031</v>
      </c>
      <c r="B11" s="51">
        <v>46691</v>
      </c>
      <c r="C11">
        <v>2027</v>
      </c>
      <c r="D11">
        <v>10</v>
      </c>
      <c r="E11" t="s">
        <v>971</v>
      </c>
      <c r="F11" t="s">
        <v>972</v>
      </c>
      <c r="G11" t="s">
        <v>957</v>
      </c>
      <c r="H11" t="b">
        <v>0</v>
      </c>
      <c r="I11">
        <v>2027</v>
      </c>
    </row>
    <row r="12" spans="1:9">
      <c r="A12">
        <v>20271130</v>
      </c>
      <c r="B12" s="51">
        <v>46721</v>
      </c>
      <c r="C12">
        <v>2027</v>
      </c>
      <c r="D12">
        <v>11</v>
      </c>
      <c r="E12" t="s">
        <v>959</v>
      </c>
      <c r="F12" t="s">
        <v>960</v>
      </c>
      <c r="G12" t="s">
        <v>957</v>
      </c>
      <c r="H12" t="b">
        <v>0</v>
      </c>
      <c r="I12">
        <v>2027</v>
      </c>
    </row>
    <row r="13" spans="1:9">
      <c r="A13">
        <v>20271231</v>
      </c>
      <c r="B13" s="51">
        <v>46752</v>
      </c>
      <c r="C13">
        <v>2027</v>
      </c>
      <c r="D13">
        <v>12</v>
      </c>
      <c r="E13" t="s">
        <v>973</v>
      </c>
      <c r="F13" t="s">
        <v>974</v>
      </c>
      <c r="G13" t="s">
        <v>957</v>
      </c>
      <c r="H13" t="b">
        <v>0</v>
      </c>
      <c r="I13">
        <v>2027</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675C8-5F8E-4ECB-9668-7D94C9A08050}">
  <dimension ref="A1:D6"/>
  <sheetViews>
    <sheetView workbookViewId="0">
      <selection sqref="A1:A148"/>
    </sheetView>
  </sheetViews>
  <sheetFormatPr defaultRowHeight="14.5"/>
  <cols>
    <col min="1" max="1" width="19.453125" bestFit="1" customWidth="1"/>
    <col min="2" max="2" width="33" bestFit="1" customWidth="1"/>
    <col min="3" max="3" width="21.81640625" bestFit="1" customWidth="1"/>
    <col min="4" max="4" width="16.453125" bestFit="1" customWidth="1"/>
  </cols>
  <sheetData>
    <row r="1" spans="1:4">
      <c r="A1" t="s">
        <v>975</v>
      </c>
      <c r="B1" t="s">
        <v>976</v>
      </c>
      <c r="C1" t="s">
        <v>977</v>
      </c>
      <c r="D1" t="s">
        <v>978</v>
      </c>
    </row>
    <row r="2" spans="1:4">
      <c r="A2" t="s">
        <v>979</v>
      </c>
      <c r="B2" t="s">
        <v>980</v>
      </c>
      <c r="C2" t="s">
        <v>981</v>
      </c>
      <c r="D2" s="51">
        <v>46006</v>
      </c>
    </row>
    <row r="3" spans="1:4">
      <c r="A3" t="s">
        <v>982</v>
      </c>
      <c r="B3" t="s">
        <v>983</v>
      </c>
      <c r="C3" t="s">
        <v>984</v>
      </c>
      <c r="D3" s="51">
        <v>46295</v>
      </c>
    </row>
    <row r="4" spans="1:4">
      <c r="A4" t="s">
        <v>985</v>
      </c>
      <c r="B4" t="s">
        <v>986</v>
      </c>
      <c r="C4" t="s">
        <v>987</v>
      </c>
      <c r="D4" s="51">
        <v>46295</v>
      </c>
    </row>
    <row r="5" spans="1:4">
      <c r="A5" t="s">
        <v>988</v>
      </c>
      <c r="B5" t="s">
        <v>989</v>
      </c>
      <c r="C5" t="s">
        <v>990</v>
      </c>
      <c r="D5" s="51">
        <v>46295</v>
      </c>
    </row>
    <row r="6" spans="1:4">
      <c r="A6" t="s">
        <v>1169</v>
      </c>
      <c r="B6" t="s">
        <v>1590</v>
      </c>
      <c r="C6" t="s">
        <v>981</v>
      </c>
      <c r="D6" s="51">
        <v>46293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632D1-A1C7-47BE-8816-A5BC8814DCA0}">
  <dimension ref="A1:H5"/>
  <sheetViews>
    <sheetView workbookViewId="0">
      <selection sqref="A1:A148"/>
    </sheetView>
  </sheetViews>
  <sheetFormatPr defaultRowHeight="14.5"/>
  <cols>
    <col min="1" max="1" width="10.6328125" bestFit="1" customWidth="1"/>
    <col min="2" max="2" width="33.36328125" bestFit="1" customWidth="1"/>
    <col min="3" max="3" width="9" bestFit="1" customWidth="1"/>
    <col min="4" max="4" width="29.1796875" bestFit="1" customWidth="1"/>
    <col min="5" max="5" width="29.453125" bestFit="1" customWidth="1"/>
    <col min="6" max="6" width="31.6328125" bestFit="1" customWidth="1"/>
    <col min="7" max="7" width="15.26953125" bestFit="1" customWidth="1"/>
    <col min="8" max="8" width="18" bestFit="1" customWidth="1"/>
  </cols>
  <sheetData>
    <row r="1" spans="1:8">
      <c r="A1" t="s">
        <v>991</v>
      </c>
      <c r="B1" t="s">
        <v>992</v>
      </c>
      <c r="C1" t="s">
        <v>993</v>
      </c>
      <c r="D1" t="s">
        <v>994</v>
      </c>
      <c r="E1" t="s">
        <v>995</v>
      </c>
      <c r="F1" t="s">
        <v>996</v>
      </c>
      <c r="G1" t="s">
        <v>997</v>
      </c>
      <c r="H1" t="s">
        <v>998</v>
      </c>
    </row>
    <row r="2" spans="1:8">
      <c r="A2" t="s">
        <v>600</v>
      </c>
      <c r="B2" t="s">
        <v>601</v>
      </c>
      <c r="C2" t="s">
        <v>999</v>
      </c>
      <c r="D2" t="s">
        <v>1000</v>
      </c>
      <c r="E2" t="s">
        <v>1001</v>
      </c>
      <c r="F2" t="s">
        <v>1002</v>
      </c>
      <c r="G2" t="s">
        <v>1003</v>
      </c>
      <c r="H2" t="s">
        <v>1004</v>
      </c>
    </row>
    <row r="3" spans="1:8">
      <c r="A3" t="s">
        <v>606</v>
      </c>
      <c r="B3" t="s">
        <v>588</v>
      </c>
      <c r="C3" t="s">
        <v>999</v>
      </c>
      <c r="D3" t="s">
        <v>1000</v>
      </c>
      <c r="E3" t="s">
        <v>588</v>
      </c>
      <c r="F3" t="s">
        <v>1005</v>
      </c>
      <c r="G3" t="s">
        <v>1006</v>
      </c>
      <c r="H3" t="s">
        <v>1007</v>
      </c>
    </row>
    <row r="4" spans="1:8">
      <c r="A4" t="s">
        <v>611</v>
      </c>
      <c r="B4" t="s">
        <v>589</v>
      </c>
      <c r="C4" t="s">
        <v>999</v>
      </c>
      <c r="D4" t="s">
        <v>1000</v>
      </c>
      <c r="E4" t="s">
        <v>589</v>
      </c>
      <c r="F4" t="s">
        <v>1008</v>
      </c>
      <c r="G4" t="s">
        <v>1006</v>
      </c>
      <c r="H4" t="s">
        <v>1004</v>
      </c>
    </row>
    <row r="5" spans="1:8">
      <c r="A5" t="s">
        <v>616</v>
      </c>
      <c r="B5" t="s">
        <v>590</v>
      </c>
      <c r="C5" t="s">
        <v>999</v>
      </c>
      <c r="D5" t="s">
        <v>1000</v>
      </c>
      <c r="E5" t="s">
        <v>590</v>
      </c>
      <c r="F5" t="s">
        <v>1009</v>
      </c>
      <c r="G5" t="s">
        <v>1006</v>
      </c>
      <c r="H5" t="s">
        <v>1007</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2A778-2A3B-4597-9880-A0DDBAEB57FE}">
  <dimension ref="A1:F23"/>
  <sheetViews>
    <sheetView workbookViewId="0">
      <selection sqref="A1:A148"/>
    </sheetView>
  </sheetViews>
  <sheetFormatPr defaultRowHeight="14.5"/>
  <cols>
    <col min="1" max="1" width="11.7265625" bestFit="1" customWidth="1"/>
    <col min="2" max="2" width="12.90625" bestFit="1" customWidth="1"/>
    <col min="3" max="3" width="19.453125" bestFit="1" customWidth="1"/>
    <col min="4" max="4" width="12.36328125" bestFit="1" customWidth="1"/>
    <col min="5" max="5" width="13.1796875" bestFit="1" customWidth="1"/>
    <col min="6" max="6" width="15.54296875" bestFit="1" customWidth="1"/>
  </cols>
  <sheetData>
    <row r="1" spans="1:6">
      <c r="A1" t="s">
        <v>1010</v>
      </c>
      <c r="B1" t="s">
        <v>1011</v>
      </c>
      <c r="C1" t="s">
        <v>1012</v>
      </c>
      <c r="D1" t="s">
        <v>1013</v>
      </c>
      <c r="E1" t="s">
        <v>1014</v>
      </c>
      <c r="F1" t="s">
        <v>1015</v>
      </c>
    </row>
    <row r="2" spans="1:6">
      <c r="A2" t="s">
        <v>1016</v>
      </c>
      <c r="B2" t="s">
        <v>991</v>
      </c>
      <c r="C2" t="s">
        <v>1017</v>
      </c>
      <c r="D2" t="s">
        <v>991</v>
      </c>
      <c r="E2" t="s">
        <v>1018</v>
      </c>
      <c r="F2" t="s">
        <v>1019</v>
      </c>
    </row>
    <row r="3" spans="1:6">
      <c r="A3" t="s">
        <v>1016</v>
      </c>
      <c r="B3" t="s">
        <v>895</v>
      </c>
      <c r="C3" t="s">
        <v>1020</v>
      </c>
      <c r="D3" t="s">
        <v>895</v>
      </c>
      <c r="E3" t="s">
        <v>1018</v>
      </c>
      <c r="F3" t="s">
        <v>1019</v>
      </c>
    </row>
    <row r="4" spans="1:6">
      <c r="A4" t="s">
        <v>1016</v>
      </c>
      <c r="B4" t="s">
        <v>926</v>
      </c>
      <c r="C4" t="s">
        <v>1021</v>
      </c>
      <c r="D4" t="s">
        <v>926</v>
      </c>
      <c r="E4" t="s">
        <v>1018</v>
      </c>
      <c r="F4" t="s">
        <v>1019</v>
      </c>
    </row>
    <row r="5" spans="1:6">
      <c r="A5" t="s">
        <v>1022</v>
      </c>
      <c r="B5" t="s">
        <v>991</v>
      </c>
      <c r="C5" t="s">
        <v>1017</v>
      </c>
      <c r="D5" t="s">
        <v>991</v>
      </c>
      <c r="E5" t="s">
        <v>1018</v>
      </c>
      <c r="F5" t="s">
        <v>1019</v>
      </c>
    </row>
    <row r="6" spans="1:6">
      <c r="A6" t="s">
        <v>1022</v>
      </c>
      <c r="B6" t="s">
        <v>895</v>
      </c>
      <c r="C6" t="s">
        <v>1020</v>
      </c>
      <c r="D6" t="s">
        <v>895</v>
      </c>
      <c r="E6" t="s">
        <v>1018</v>
      </c>
      <c r="F6" t="s">
        <v>1019</v>
      </c>
    </row>
    <row r="7" spans="1:6">
      <c r="A7" t="s">
        <v>1022</v>
      </c>
      <c r="B7" t="s">
        <v>926</v>
      </c>
      <c r="C7" t="s">
        <v>1021</v>
      </c>
      <c r="D7" t="s">
        <v>926</v>
      </c>
      <c r="E7" t="s">
        <v>1018</v>
      </c>
      <c r="F7" t="s">
        <v>1019</v>
      </c>
    </row>
    <row r="8" spans="1:6">
      <c r="A8" t="s">
        <v>1023</v>
      </c>
      <c r="B8" t="s">
        <v>991</v>
      </c>
      <c r="C8" t="s">
        <v>1017</v>
      </c>
      <c r="D8" t="s">
        <v>991</v>
      </c>
      <c r="E8" t="s">
        <v>1018</v>
      </c>
      <c r="F8" t="s">
        <v>1019</v>
      </c>
    </row>
    <row r="9" spans="1:6">
      <c r="A9" t="s">
        <v>1023</v>
      </c>
      <c r="B9" t="s">
        <v>926</v>
      </c>
      <c r="C9" t="s">
        <v>1021</v>
      </c>
      <c r="D9" t="s">
        <v>926</v>
      </c>
      <c r="E9" t="s">
        <v>1018</v>
      </c>
      <c r="F9" t="s">
        <v>1019</v>
      </c>
    </row>
    <row r="10" spans="1:6">
      <c r="A10" t="s">
        <v>1024</v>
      </c>
      <c r="B10" t="s">
        <v>991</v>
      </c>
      <c r="C10" t="s">
        <v>1017</v>
      </c>
      <c r="D10" t="s">
        <v>991</v>
      </c>
      <c r="E10" t="s">
        <v>1018</v>
      </c>
      <c r="F10" t="s">
        <v>1019</v>
      </c>
    </row>
    <row r="11" spans="1:6">
      <c r="A11" t="s">
        <v>1025</v>
      </c>
      <c r="B11" t="s">
        <v>926</v>
      </c>
      <c r="C11" t="s">
        <v>1021</v>
      </c>
      <c r="D11" t="s">
        <v>926</v>
      </c>
      <c r="E11" t="s">
        <v>1018</v>
      </c>
      <c r="F11" t="s">
        <v>1019</v>
      </c>
    </row>
    <row r="12" spans="1:6">
      <c r="A12" t="s">
        <v>1026</v>
      </c>
      <c r="B12" t="s">
        <v>991</v>
      </c>
      <c r="C12" t="s">
        <v>1017</v>
      </c>
      <c r="D12" t="s">
        <v>991</v>
      </c>
      <c r="E12" t="s">
        <v>1018</v>
      </c>
      <c r="F12" t="s">
        <v>1019</v>
      </c>
    </row>
    <row r="13" spans="1:6">
      <c r="A13" t="s">
        <v>1591</v>
      </c>
      <c r="B13" t="s">
        <v>991</v>
      </c>
      <c r="C13" t="s">
        <v>1017</v>
      </c>
      <c r="D13" t="s">
        <v>991</v>
      </c>
      <c r="E13" t="s">
        <v>1018</v>
      </c>
      <c r="F13" t="s">
        <v>1019</v>
      </c>
    </row>
    <row r="14" spans="1:6">
      <c r="A14" t="s">
        <v>1591</v>
      </c>
      <c r="B14" t="s">
        <v>895</v>
      </c>
      <c r="C14" t="s">
        <v>1020</v>
      </c>
      <c r="D14" t="s">
        <v>895</v>
      </c>
      <c r="E14" t="s">
        <v>1018</v>
      </c>
      <c r="F14" t="s">
        <v>1019</v>
      </c>
    </row>
    <row r="15" spans="1:6">
      <c r="A15" t="s">
        <v>1591</v>
      </c>
      <c r="B15" t="s">
        <v>926</v>
      </c>
      <c r="C15" t="s">
        <v>1592</v>
      </c>
      <c r="D15" t="s">
        <v>926</v>
      </c>
      <c r="E15" t="s">
        <v>1018</v>
      </c>
      <c r="F15" t="s">
        <v>1019</v>
      </c>
    </row>
    <row r="16" spans="1:6">
      <c r="A16" t="s">
        <v>1593</v>
      </c>
      <c r="B16" t="s">
        <v>991</v>
      </c>
      <c r="C16" t="s">
        <v>1017</v>
      </c>
      <c r="D16" t="s">
        <v>991</v>
      </c>
      <c r="E16" t="s">
        <v>1018</v>
      </c>
      <c r="F16" t="s">
        <v>1019</v>
      </c>
    </row>
    <row r="17" spans="1:6">
      <c r="A17" t="s">
        <v>1593</v>
      </c>
      <c r="B17" t="s">
        <v>926</v>
      </c>
      <c r="C17" t="s">
        <v>1592</v>
      </c>
      <c r="D17" t="s">
        <v>926</v>
      </c>
      <c r="E17" t="s">
        <v>1018</v>
      </c>
      <c r="F17" t="s">
        <v>1019</v>
      </c>
    </row>
    <row r="18" spans="1:6">
      <c r="A18" t="s">
        <v>1594</v>
      </c>
      <c r="B18" t="s">
        <v>991</v>
      </c>
      <c r="C18" t="s">
        <v>1017</v>
      </c>
      <c r="D18" t="s">
        <v>991</v>
      </c>
      <c r="E18" t="s">
        <v>1018</v>
      </c>
      <c r="F18" t="s">
        <v>1019</v>
      </c>
    </row>
    <row r="19" spans="1:6">
      <c r="A19" t="s">
        <v>1594</v>
      </c>
      <c r="B19" t="s">
        <v>926</v>
      </c>
      <c r="C19" t="s">
        <v>1592</v>
      </c>
      <c r="D19" t="s">
        <v>926</v>
      </c>
      <c r="E19" t="s">
        <v>1018</v>
      </c>
      <c r="F19" t="s">
        <v>1019</v>
      </c>
    </row>
    <row r="20" spans="1:6">
      <c r="A20" t="s">
        <v>1595</v>
      </c>
      <c r="B20" t="s">
        <v>991</v>
      </c>
      <c r="C20" t="s">
        <v>1017</v>
      </c>
      <c r="D20" t="s">
        <v>991</v>
      </c>
      <c r="E20" t="s">
        <v>1018</v>
      </c>
      <c r="F20" t="s">
        <v>1019</v>
      </c>
    </row>
    <row r="21" spans="1:6">
      <c r="A21" t="s">
        <v>1016</v>
      </c>
      <c r="B21" t="s">
        <v>975</v>
      </c>
      <c r="C21" t="s">
        <v>2043</v>
      </c>
      <c r="D21" t="s">
        <v>975</v>
      </c>
      <c r="E21" t="s">
        <v>1018</v>
      </c>
      <c r="F21" t="s">
        <v>1019</v>
      </c>
    </row>
    <row r="22" spans="1:6">
      <c r="A22" t="s">
        <v>1022</v>
      </c>
      <c r="B22" t="s">
        <v>975</v>
      </c>
      <c r="C22" t="s">
        <v>2043</v>
      </c>
      <c r="D22" t="s">
        <v>975</v>
      </c>
      <c r="E22" t="s">
        <v>1018</v>
      </c>
      <c r="F22" t="s">
        <v>1019</v>
      </c>
    </row>
    <row r="23" spans="1:6">
      <c r="A23" t="s">
        <v>1591</v>
      </c>
      <c r="B23" t="s">
        <v>975</v>
      </c>
      <c r="C23" t="s">
        <v>2043</v>
      </c>
      <c r="D23" t="s">
        <v>975</v>
      </c>
      <c r="E23" t="s">
        <v>1018</v>
      </c>
      <c r="F23" t="s">
        <v>1019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3CDC8-7257-4611-8D3A-09AC4721285E}">
  <dimension ref="A1:I5"/>
  <sheetViews>
    <sheetView workbookViewId="0">
      <selection sqref="A1:A148"/>
    </sheetView>
  </sheetViews>
  <sheetFormatPr defaultRowHeight="14.5"/>
  <cols>
    <col min="1" max="1" width="9.81640625" bestFit="1" customWidth="1"/>
    <col min="2" max="2" width="10.6328125" bestFit="1" customWidth="1"/>
    <col min="3" max="3" width="24" bestFit="1" customWidth="1"/>
    <col min="4" max="4" width="31.6328125" bestFit="1" customWidth="1"/>
    <col min="5" max="5" width="54.36328125" bestFit="1" customWidth="1"/>
    <col min="6" max="6" width="24.81640625" bestFit="1" customWidth="1"/>
    <col min="7" max="7" width="24.26953125" bestFit="1" customWidth="1"/>
    <col min="8" max="8" width="11.453125" bestFit="1" customWidth="1"/>
    <col min="9" max="9" width="11.1796875" bestFit="1" customWidth="1"/>
  </cols>
  <sheetData>
    <row r="1" spans="1:9">
      <c r="A1" t="s">
        <v>1027</v>
      </c>
      <c r="B1" t="s">
        <v>991</v>
      </c>
      <c r="C1" t="s">
        <v>1028</v>
      </c>
      <c r="D1" t="s">
        <v>1029</v>
      </c>
      <c r="E1" t="s">
        <v>1030</v>
      </c>
      <c r="F1" t="s">
        <v>1031</v>
      </c>
      <c r="G1" t="s">
        <v>1032</v>
      </c>
      <c r="H1" t="s">
        <v>977</v>
      </c>
      <c r="I1" t="s">
        <v>1033</v>
      </c>
    </row>
    <row r="2" spans="1:9">
      <c r="A2" t="s">
        <v>1034</v>
      </c>
      <c r="B2" t="s">
        <v>600</v>
      </c>
      <c r="C2" t="s">
        <v>1001</v>
      </c>
      <c r="D2" t="s">
        <v>1002</v>
      </c>
      <c r="E2" t="s">
        <v>1035</v>
      </c>
      <c r="F2">
        <v>1200000</v>
      </c>
      <c r="G2">
        <v>950000</v>
      </c>
      <c r="H2" t="s">
        <v>1036</v>
      </c>
      <c r="I2" s="51">
        <v>46387</v>
      </c>
    </row>
    <row r="3" spans="1:9">
      <c r="A3" t="s">
        <v>1037</v>
      </c>
      <c r="B3" t="s">
        <v>616</v>
      </c>
      <c r="C3" t="s">
        <v>1038</v>
      </c>
      <c r="D3" t="s">
        <v>1009</v>
      </c>
      <c r="E3" t="s">
        <v>1039</v>
      </c>
      <c r="F3">
        <v>1800000</v>
      </c>
      <c r="G3">
        <v>1400000</v>
      </c>
      <c r="H3" t="s">
        <v>1040</v>
      </c>
      <c r="I3" s="51">
        <v>46387</v>
      </c>
    </row>
    <row r="4" spans="1:9">
      <c r="A4" t="s">
        <v>1041</v>
      </c>
      <c r="B4" t="s">
        <v>606</v>
      </c>
      <c r="C4" t="s">
        <v>1042</v>
      </c>
      <c r="D4" t="s">
        <v>1005</v>
      </c>
      <c r="E4" t="s">
        <v>1043</v>
      </c>
      <c r="F4">
        <v>800000</v>
      </c>
      <c r="G4">
        <v>450000</v>
      </c>
      <c r="H4" t="s">
        <v>1040</v>
      </c>
      <c r="I4" s="51">
        <v>46356</v>
      </c>
    </row>
    <row r="5" spans="1:9">
      <c r="A5" t="s">
        <v>1044</v>
      </c>
      <c r="B5" t="s">
        <v>611</v>
      </c>
      <c r="C5" t="s">
        <v>1045</v>
      </c>
      <c r="D5" t="s">
        <v>1008</v>
      </c>
      <c r="E5" t="s">
        <v>1046</v>
      </c>
      <c r="F5">
        <v>800000</v>
      </c>
      <c r="G5">
        <v>800000</v>
      </c>
      <c r="H5" t="s">
        <v>1036</v>
      </c>
      <c r="I5" s="51">
        <v>46295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58DD-EB85-433F-A646-653026F4044F}">
  <dimension ref="A1:I5"/>
  <sheetViews>
    <sheetView workbookViewId="0">
      <selection sqref="A1:A148"/>
    </sheetView>
  </sheetViews>
  <sheetFormatPr defaultRowHeight="14.5"/>
  <cols>
    <col min="1" max="1" width="9.81640625" bestFit="1" customWidth="1"/>
    <col min="2" max="2" width="10.6328125" bestFit="1" customWidth="1"/>
    <col min="3" max="3" width="43.7265625" bestFit="1" customWidth="1"/>
    <col min="4" max="4" width="13.90625" bestFit="1" customWidth="1"/>
    <col min="5" max="5" width="20" bestFit="1" customWidth="1"/>
    <col min="6" max="6" width="16.90625" bestFit="1" customWidth="1"/>
    <col min="7" max="7" width="16.36328125" bestFit="1" customWidth="1"/>
    <col min="8" max="8" width="14.453125" bestFit="1" customWidth="1"/>
    <col min="9" max="9" width="72.6328125" bestFit="1" customWidth="1"/>
  </cols>
  <sheetData>
    <row r="1" spans="1:9">
      <c r="A1" t="s">
        <v>1027</v>
      </c>
      <c r="B1" t="s">
        <v>991</v>
      </c>
      <c r="C1" t="s">
        <v>1047</v>
      </c>
      <c r="D1" t="s">
        <v>306</v>
      </c>
      <c r="E1" t="s">
        <v>1048</v>
      </c>
      <c r="F1" t="s">
        <v>1049</v>
      </c>
      <c r="G1" t="s">
        <v>1050</v>
      </c>
      <c r="H1" t="s">
        <v>977</v>
      </c>
      <c r="I1" t="s">
        <v>1051</v>
      </c>
    </row>
    <row r="2" spans="1:9">
      <c r="A2" t="s">
        <v>1052</v>
      </c>
      <c r="B2" t="s">
        <v>600</v>
      </c>
      <c r="C2" t="s">
        <v>1053</v>
      </c>
      <c r="D2" t="s">
        <v>910</v>
      </c>
      <c r="E2" t="s">
        <v>1054</v>
      </c>
      <c r="F2">
        <v>1800000</v>
      </c>
      <c r="G2">
        <v>1800000</v>
      </c>
      <c r="H2" t="s">
        <v>1055</v>
      </c>
      <c r="I2" t="s">
        <v>1056</v>
      </c>
    </row>
    <row r="3" spans="1:9">
      <c r="A3" t="s">
        <v>1057</v>
      </c>
      <c r="B3" t="s">
        <v>616</v>
      </c>
      <c r="C3" t="s">
        <v>1058</v>
      </c>
      <c r="D3" t="s">
        <v>910</v>
      </c>
      <c r="E3" t="s">
        <v>1009</v>
      </c>
      <c r="F3">
        <v>1500000</v>
      </c>
      <c r="G3">
        <v>1500000</v>
      </c>
      <c r="H3" t="s">
        <v>1059</v>
      </c>
      <c r="I3" t="s">
        <v>1060</v>
      </c>
    </row>
    <row r="4" spans="1:9">
      <c r="A4" t="s">
        <v>1061</v>
      </c>
      <c r="B4" t="s">
        <v>606</v>
      </c>
      <c r="C4" t="s">
        <v>1062</v>
      </c>
      <c r="D4" t="s">
        <v>1063</v>
      </c>
      <c r="E4" t="s">
        <v>1005</v>
      </c>
      <c r="F4">
        <v>1400000</v>
      </c>
      <c r="G4">
        <v>1400000</v>
      </c>
      <c r="H4" t="s">
        <v>1059</v>
      </c>
      <c r="I4" t="s">
        <v>1064</v>
      </c>
    </row>
    <row r="5" spans="1:9">
      <c r="A5" t="s">
        <v>1065</v>
      </c>
      <c r="B5" t="s">
        <v>616</v>
      </c>
      <c r="C5" t="s">
        <v>1066</v>
      </c>
      <c r="D5" t="s">
        <v>1067</v>
      </c>
      <c r="E5" t="s">
        <v>1068</v>
      </c>
      <c r="F5">
        <v>1800000</v>
      </c>
      <c r="G5">
        <v>1800000</v>
      </c>
      <c r="H5" t="s">
        <v>1059</v>
      </c>
      <c r="I5" t="s">
        <v>1069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8116-4FFE-41C2-9555-7C651716AAE4}">
  <dimension ref="A1:J13"/>
  <sheetViews>
    <sheetView workbookViewId="0">
      <selection sqref="A1:A148"/>
    </sheetView>
  </sheetViews>
  <sheetFormatPr defaultRowHeight="14.5"/>
  <cols>
    <col min="1" max="1" width="13.36328125" bestFit="1" customWidth="1"/>
    <col min="2" max="2" width="26" bestFit="1" customWidth="1"/>
    <col min="3" max="3" width="18.08984375" bestFit="1" customWidth="1"/>
    <col min="4" max="4" width="17.1796875" bestFit="1" customWidth="1"/>
    <col min="5" max="5" width="16.08984375" bestFit="1" customWidth="1"/>
    <col min="6" max="6" width="27.81640625" bestFit="1" customWidth="1"/>
    <col min="7" max="7" width="26.1796875" bestFit="1" customWidth="1"/>
    <col min="8" max="9" width="27.54296875" bestFit="1" customWidth="1"/>
    <col min="10" max="10" width="31.36328125" bestFit="1" customWidth="1"/>
  </cols>
  <sheetData>
    <row r="1" spans="1:10">
      <c r="A1" t="s">
        <v>926</v>
      </c>
      <c r="B1" t="s">
        <v>1070</v>
      </c>
      <c r="C1" t="s">
        <v>1071</v>
      </c>
      <c r="D1" t="s">
        <v>1072</v>
      </c>
      <c r="E1" t="s">
        <v>1073</v>
      </c>
      <c r="F1" t="s">
        <v>1074</v>
      </c>
      <c r="G1" t="s">
        <v>1075</v>
      </c>
      <c r="H1" t="s">
        <v>1076</v>
      </c>
      <c r="I1" t="s">
        <v>1077</v>
      </c>
      <c r="J1" t="s">
        <v>1078</v>
      </c>
    </row>
    <row r="2" spans="1:10">
      <c r="A2">
        <v>202601</v>
      </c>
      <c r="B2">
        <v>130153825</v>
      </c>
      <c r="C2">
        <v>10846152.08</v>
      </c>
      <c r="D2">
        <v>10520767.52</v>
      </c>
      <c r="E2">
        <v>11063075.119999999</v>
      </c>
      <c r="F2">
        <v>131450000</v>
      </c>
      <c r="G2">
        <v>120386924.88</v>
      </c>
      <c r="H2">
        <v>-1296175</v>
      </c>
      <c r="I2">
        <v>0.95099999999999996</v>
      </c>
      <c r="J2">
        <v>0.97</v>
      </c>
    </row>
    <row r="3" spans="1:10">
      <c r="A3">
        <v>202602</v>
      </c>
      <c r="B3">
        <v>130153825</v>
      </c>
      <c r="C3">
        <v>21692304.170000002</v>
      </c>
      <c r="D3">
        <v>21041535.039999999</v>
      </c>
      <c r="E3">
        <v>22126150.25</v>
      </c>
      <c r="F3">
        <v>131450000</v>
      </c>
      <c r="G3">
        <v>109323849.75</v>
      </c>
      <c r="H3">
        <v>-1296175</v>
      </c>
      <c r="I3">
        <v>0.95099999999999996</v>
      </c>
      <c r="J3">
        <v>0.97</v>
      </c>
    </row>
    <row r="4" spans="1:10">
      <c r="A4">
        <v>202603</v>
      </c>
      <c r="B4">
        <v>130153825</v>
      </c>
      <c r="C4">
        <v>32538456.25</v>
      </c>
      <c r="D4">
        <v>31562302.559999999</v>
      </c>
      <c r="E4">
        <v>33189225.379999999</v>
      </c>
      <c r="F4">
        <v>131450000</v>
      </c>
      <c r="G4">
        <v>98260774.620000005</v>
      </c>
      <c r="H4">
        <v>-1296175</v>
      </c>
      <c r="I4">
        <v>0.95099999999999996</v>
      </c>
      <c r="J4">
        <v>0.97</v>
      </c>
    </row>
    <row r="5" spans="1:10">
      <c r="A5">
        <v>202604</v>
      </c>
      <c r="B5">
        <v>130153825</v>
      </c>
      <c r="C5">
        <v>43384608.329999998</v>
      </c>
      <c r="D5">
        <v>42083070.079999998</v>
      </c>
      <c r="E5">
        <v>44252300.5</v>
      </c>
      <c r="F5">
        <v>131450000</v>
      </c>
      <c r="G5">
        <v>87197699.5</v>
      </c>
      <c r="H5">
        <v>-1296175</v>
      </c>
      <c r="I5">
        <v>0.95099999999999996</v>
      </c>
      <c r="J5">
        <v>0.97</v>
      </c>
    </row>
    <row r="6" spans="1:10">
      <c r="A6">
        <v>202605</v>
      </c>
      <c r="B6">
        <v>130153825</v>
      </c>
      <c r="C6">
        <v>54230760.420000002</v>
      </c>
      <c r="D6">
        <v>52603837.609999999</v>
      </c>
      <c r="E6">
        <v>55315375.630000003</v>
      </c>
      <c r="F6">
        <v>131450000</v>
      </c>
      <c r="G6">
        <v>76134624.370000005</v>
      </c>
      <c r="H6">
        <v>-1296175</v>
      </c>
      <c r="I6">
        <v>0.95099999999999996</v>
      </c>
      <c r="J6">
        <v>0.97</v>
      </c>
    </row>
    <row r="7" spans="1:10">
      <c r="A7">
        <v>202606</v>
      </c>
      <c r="B7">
        <v>130153825</v>
      </c>
      <c r="C7">
        <v>65076912.5</v>
      </c>
      <c r="D7">
        <v>63124605.119999997</v>
      </c>
      <c r="E7">
        <v>66378450.75</v>
      </c>
      <c r="F7">
        <v>131450000</v>
      </c>
      <c r="G7">
        <v>65071549.25</v>
      </c>
      <c r="H7">
        <v>-1296175</v>
      </c>
      <c r="I7">
        <v>0.95099999999999996</v>
      </c>
      <c r="J7">
        <v>0.97</v>
      </c>
    </row>
    <row r="8" spans="1:10">
      <c r="A8">
        <v>202607</v>
      </c>
      <c r="B8">
        <v>130153825</v>
      </c>
      <c r="C8">
        <v>75923064.579999998</v>
      </c>
      <c r="D8">
        <v>73645372.640000001</v>
      </c>
      <c r="E8">
        <v>77441525.870000005</v>
      </c>
      <c r="F8">
        <v>131450000</v>
      </c>
      <c r="G8">
        <v>54008474.130000003</v>
      </c>
      <c r="H8">
        <v>-1296175</v>
      </c>
      <c r="I8">
        <v>0.95099999999999996</v>
      </c>
      <c r="J8">
        <v>0.97</v>
      </c>
    </row>
    <row r="9" spans="1:10">
      <c r="A9">
        <v>202608</v>
      </c>
      <c r="B9">
        <v>130153825</v>
      </c>
      <c r="C9">
        <v>86769216.670000002</v>
      </c>
      <c r="D9">
        <v>84166140.170000002</v>
      </c>
      <c r="E9">
        <v>88504601</v>
      </c>
      <c r="F9">
        <v>131450000</v>
      </c>
      <c r="G9">
        <v>42945399</v>
      </c>
      <c r="H9">
        <v>-1296175</v>
      </c>
      <c r="I9">
        <v>0.95099999999999996</v>
      </c>
      <c r="J9">
        <v>0.97</v>
      </c>
    </row>
    <row r="10" spans="1:10">
      <c r="A10">
        <v>202609</v>
      </c>
      <c r="B10">
        <v>130153825</v>
      </c>
      <c r="C10">
        <v>97615368.75</v>
      </c>
      <c r="D10">
        <v>94686907.689999998</v>
      </c>
      <c r="E10">
        <v>99567676.120000005</v>
      </c>
      <c r="F10">
        <v>131450000</v>
      </c>
      <c r="G10">
        <v>31882323.879999999</v>
      </c>
      <c r="H10">
        <v>-1296175</v>
      </c>
      <c r="I10">
        <v>0.95099999999999996</v>
      </c>
      <c r="J10">
        <v>0.97</v>
      </c>
    </row>
    <row r="11" spans="1:10">
      <c r="A11">
        <v>202610</v>
      </c>
      <c r="B11">
        <v>130153825</v>
      </c>
      <c r="C11">
        <v>108461520.83</v>
      </c>
      <c r="D11">
        <v>106292290.41</v>
      </c>
      <c r="E11">
        <v>109546136.04000001</v>
      </c>
      <c r="F11">
        <v>131450000</v>
      </c>
      <c r="G11">
        <v>21903863.960000001</v>
      </c>
      <c r="H11">
        <v>-1296175</v>
      </c>
      <c r="I11">
        <v>0.97</v>
      </c>
      <c r="J11">
        <v>0.98</v>
      </c>
    </row>
    <row r="12" spans="1:10">
      <c r="A12">
        <v>202611</v>
      </c>
      <c r="B12">
        <v>130153825</v>
      </c>
      <c r="C12">
        <v>119307672.92</v>
      </c>
      <c r="D12">
        <v>116921519.45999999</v>
      </c>
      <c r="E12">
        <v>120500749.65000001</v>
      </c>
      <c r="F12">
        <v>131450000</v>
      </c>
      <c r="G12">
        <v>10949250.35</v>
      </c>
      <c r="H12">
        <v>-1296175</v>
      </c>
      <c r="I12">
        <v>0.97</v>
      </c>
      <c r="J12">
        <v>0.98</v>
      </c>
    </row>
    <row r="13" spans="1:10">
      <c r="A13">
        <v>202612</v>
      </c>
      <c r="B13">
        <v>130153825</v>
      </c>
      <c r="C13">
        <v>130153825</v>
      </c>
      <c r="D13">
        <v>127550748.5</v>
      </c>
      <c r="E13">
        <v>131455363.25</v>
      </c>
      <c r="F13">
        <v>131450000</v>
      </c>
      <c r="G13">
        <v>-5363.25</v>
      </c>
      <c r="H13">
        <v>-1296175</v>
      </c>
      <c r="I13">
        <v>0.97</v>
      </c>
      <c r="J13">
        <v>0.98</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34670-9FED-4CAC-85CF-101CFE603473}">
  <dimension ref="A1:K49"/>
  <sheetViews>
    <sheetView workbookViewId="0">
      <selection sqref="A1:A148"/>
    </sheetView>
  </sheetViews>
  <sheetFormatPr defaultRowHeight="14.5"/>
  <cols>
    <col min="1" max="1" width="13.36328125" bestFit="1" customWidth="1"/>
    <col min="2" max="2" width="10.6328125" bestFit="1" customWidth="1"/>
    <col min="3" max="3" width="33.36328125" bestFit="1" customWidth="1"/>
    <col min="4" max="4" width="31.6328125" bestFit="1" customWidth="1"/>
    <col min="5" max="5" width="13.6328125" bestFit="1" customWidth="1"/>
    <col min="6" max="6" width="13.453125" bestFit="1" customWidth="1"/>
    <col min="7" max="7" width="16.453125" bestFit="1" customWidth="1"/>
    <col min="8" max="8" width="21.36328125" bestFit="1" customWidth="1"/>
    <col min="9" max="9" width="17.54296875" bestFit="1" customWidth="1"/>
    <col min="10" max="10" width="15.6328125" bestFit="1" customWidth="1"/>
    <col min="11" max="11" width="16.6328125" bestFit="1" customWidth="1"/>
  </cols>
  <sheetData>
    <row r="1" spans="1:11">
      <c r="A1" t="s">
        <v>926</v>
      </c>
      <c r="B1" t="s">
        <v>991</v>
      </c>
      <c r="C1" t="s">
        <v>1028</v>
      </c>
      <c r="D1" t="s">
        <v>1079</v>
      </c>
      <c r="E1" t="s">
        <v>1080</v>
      </c>
      <c r="F1" t="s">
        <v>1081</v>
      </c>
      <c r="G1" t="s">
        <v>1082</v>
      </c>
      <c r="H1" t="s">
        <v>1083</v>
      </c>
      <c r="I1" t="s">
        <v>1084</v>
      </c>
      <c r="J1" t="s">
        <v>1085</v>
      </c>
      <c r="K1" t="s">
        <v>1086</v>
      </c>
    </row>
    <row r="2" spans="1:11">
      <c r="A2">
        <v>202601</v>
      </c>
      <c r="B2" t="s">
        <v>600</v>
      </c>
      <c r="C2" t="s">
        <v>601</v>
      </c>
      <c r="D2" t="s">
        <v>1002</v>
      </c>
      <c r="E2">
        <v>0</v>
      </c>
      <c r="F2">
        <v>21.5</v>
      </c>
      <c r="G2">
        <v>21.5</v>
      </c>
      <c r="H2">
        <v>22</v>
      </c>
      <c r="I2">
        <v>0.5</v>
      </c>
      <c r="J2">
        <v>24</v>
      </c>
      <c r="K2">
        <v>2.27</v>
      </c>
    </row>
    <row r="3" spans="1:11">
      <c r="A3">
        <v>202601</v>
      </c>
      <c r="B3" t="s">
        <v>606</v>
      </c>
      <c r="C3" t="s">
        <v>588</v>
      </c>
      <c r="D3" t="s">
        <v>1005</v>
      </c>
      <c r="E3">
        <v>45</v>
      </c>
      <c r="F3">
        <v>18</v>
      </c>
      <c r="G3">
        <v>63</v>
      </c>
      <c r="H3">
        <v>63</v>
      </c>
      <c r="I3">
        <v>0</v>
      </c>
      <c r="J3">
        <v>68</v>
      </c>
      <c r="K3">
        <v>0</v>
      </c>
    </row>
    <row r="4" spans="1:11">
      <c r="A4">
        <v>202601</v>
      </c>
      <c r="B4" t="s">
        <v>611</v>
      </c>
      <c r="C4" t="s">
        <v>589</v>
      </c>
      <c r="D4" t="s">
        <v>1008</v>
      </c>
      <c r="E4">
        <v>35</v>
      </c>
      <c r="F4">
        <v>12</v>
      </c>
      <c r="G4">
        <v>47</v>
      </c>
      <c r="H4">
        <v>48</v>
      </c>
      <c r="I4">
        <v>1</v>
      </c>
      <c r="J4">
        <v>50</v>
      </c>
      <c r="K4">
        <v>2.08</v>
      </c>
    </row>
    <row r="5" spans="1:11">
      <c r="A5">
        <v>202601</v>
      </c>
      <c r="B5" t="s">
        <v>616</v>
      </c>
      <c r="C5" t="s">
        <v>590</v>
      </c>
      <c r="D5" t="s">
        <v>1009</v>
      </c>
      <c r="E5">
        <v>75</v>
      </c>
      <c r="F5">
        <v>23</v>
      </c>
      <c r="G5">
        <v>98</v>
      </c>
      <c r="H5">
        <v>97</v>
      </c>
      <c r="I5">
        <v>-1</v>
      </c>
      <c r="J5">
        <v>110</v>
      </c>
      <c r="K5">
        <v>-1.03</v>
      </c>
    </row>
    <row r="6" spans="1:11">
      <c r="A6">
        <v>202602</v>
      </c>
      <c r="B6" t="s">
        <v>600</v>
      </c>
      <c r="C6" t="s">
        <v>601</v>
      </c>
      <c r="D6" t="s">
        <v>1002</v>
      </c>
      <c r="E6">
        <v>0</v>
      </c>
      <c r="F6">
        <v>21.5</v>
      </c>
      <c r="G6">
        <v>21.5</v>
      </c>
      <c r="H6">
        <v>22</v>
      </c>
      <c r="I6">
        <v>0.5</v>
      </c>
      <c r="J6">
        <v>24</v>
      </c>
      <c r="K6">
        <v>2.27</v>
      </c>
    </row>
    <row r="7" spans="1:11">
      <c r="A7">
        <v>202602</v>
      </c>
      <c r="B7" t="s">
        <v>606</v>
      </c>
      <c r="C7" t="s">
        <v>588</v>
      </c>
      <c r="D7" t="s">
        <v>1005</v>
      </c>
      <c r="E7">
        <v>45</v>
      </c>
      <c r="F7">
        <v>18</v>
      </c>
      <c r="G7">
        <v>63</v>
      </c>
      <c r="H7">
        <v>63</v>
      </c>
      <c r="I7">
        <v>0</v>
      </c>
      <c r="J7">
        <v>68</v>
      </c>
      <c r="K7">
        <v>0</v>
      </c>
    </row>
    <row r="8" spans="1:11">
      <c r="A8">
        <v>202602</v>
      </c>
      <c r="B8" t="s">
        <v>611</v>
      </c>
      <c r="C8" t="s">
        <v>589</v>
      </c>
      <c r="D8" t="s">
        <v>1008</v>
      </c>
      <c r="E8">
        <v>35</v>
      </c>
      <c r="F8">
        <v>12</v>
      </c>
      <c r="G8">
        <v>47</v>
      </c>
      <c r="H8">
        <v>48</v>
      </c>
      <c r="I8">
        <v>1</v>
      </c>
      <c r="J8">
        <v>50</v>
      </c>
      <c r="K8">
        <v>2.08</v>
      </c>
    </row>
    <row r="9" spans="1:11">
      <c r="A9">
        <v>202602</v>
      </c>
      <c r="B9" t="s">
        <v>616</v>
      </c>
      <c r="C9" t="s">
        <v>590</v>
      </c>
      <c r="D9" t="s">
        <v>1009</v>
      </c>
      <c r="E9">
        <v>75</v>
      </c>
      <c r="F9">
        <v>23</v>
      </c>
      <c r="G9">
        <v>98</v>
      </c>
      <c r="H9">
        <v>97</v>
      </c>
      <c r="I9">
        <v>-1</v>
      </c>
      <c r="J9">
        <v>110</v>
      </c>
      <c r="K9">
        <v>-1.03</v>
      </c>
    </row>
    <row r="10" spans="1:11">
      <c r="A10">
        <v>202603</v>
      </c>
      <c r="B10" t="s">
        <v>600</v>
      </c>
      <c r="C10" t="s">
        <v>601</v>
      </c>
      <c r="D10" t="s">
        <v>1002</v>
      </c>
      <c r="E10">
        <v>0</v>
      </c>
      <c r="F10">
        <v>21.5</v>
      </c>
      <c r="G10">
        <v>21.5</v>
      </c>
      <c r="H10">
        <v>22</v>
      </c>
      <c r="I10">
        <v>0.5</v>
      </c>
      <c r="J10">
        <v>24</v>
      </c>
      <c r="K10">
        <v>2.27</v>
      </c>
    </row>
    <row r="11" spans="1:11">
      <c r="A11">
        <v>202603</v>
      </c>
      <c r="B11" t="s">
        <v>606</v>
      </c>
      <c r="C11" t="s">
        <v>588</v>
      </c>
      <c r="D11" t="s">
        <v>1005</v>
      </c>
      <c r="E11">
        <v>45</v>
      </c>
      <c r="F11">
        <v>18</v>
      </c>
      <c r="G11">
        <v>63</v>
      </c>
      <c r="H11">
        <v>63</v>
      </c>
      <c r="I11">
        <v>0</v>
      </c>
      <c r="J11">
        <v>68</v>
      </c>
      <c r="K11">
        <v>0</v>
      </c>
    </row>
    <row r="12" spans="1:11">
      <c r="A12">
        <v>202603</v>
      </c>
      <c r="B12" t="s">
        <v>611</v>
      </c>
      <c r="C12" t="s">
        <v>589</v>
      </c>
      <c r="D12" t="s">
        <v>1008</v>
      </c>
      <c r="E12">
        <v>35</v>
      </c>
      <c r="F12">
        <v>12</v>
      </c>
      <c r="G12">
        <v>47</v>
      </c>
      <c r="H12">
        <v>48</v>
      </c>
      <c r="I12">
        <v>1</v>
      </c>
      <c r="J12">
        <v>50</v>
      </c>
      <c r="K12">
        <v>2.08</v>
      </c>
    </row>
    <row r="13" spans="1:11">
      <c r="A13">
        <v>202603</v>
      </c>
      <c r="B13" t="s">
        <v>616</v>
      </c>
      <c r="C13" t="s">
        <v>590</v>
      </c>
      <c r="D13" t="s">
        <v>1009</v>
      </c>
      <c r="E13">
        <v>75</v>
      </c>
      <c r="F13">
        <v>23</v>
      </c>
      <c r="G13">
        <v>98</v>
      </c>
      <c r="H13">
        <v>97</v>
      </c>
      <c r="I13">
        <v>-1</v>
      </c>
      <c r="J13">
        <v>110</v>
      </c>
      <c r="K13">
        <v>-1.03</v>
      </c>
    </row>
    <row r="14" spans="1:11">
      <c r="A14">
        <v>202604</v>
      </c>
      <c r="B14" t="s">
        <v>600</v>
      </c>
      <c r="C14" t="s">
        <v>601</v>
      </c>
      <c r="D14" t="s">
        <v>1002</v>
      </c>
      <c r="E14">
        <v>0</v>
      </c>
      <c r="F14">
        <v>21.5</v>
      </c>
      <c r="G14">
        <v>21.5</v>
      </c>
      <c r="H14">
        <v>22</v>
      </c>
      <c r="I14">
        <v>0.5</v>
      </c>
      <c r="J14">
        <v>24</v>
      </c>
      <c r="K14">
        <v>2.27</v>
      </c>
    </row>
    <row r="15" spans="1:11">
      <c r="A15">
        <v>202604</v>
      </c>
      <c r="B15" t="s">
        <v>606</v>
      </c>
      <c r="C15" t="s">
        <v>588</v>
      </c>
      <c r="D15" t="s">
        <v>1005</v>
      </c>
      <c r="E15">
        <v>45</v>
      </c>
      <c r="F15">
        <v>18</v>
      </c>
      <c r="G15">
        <v>63</v>
      </c>
      <c r="H15">
        <v>63</v>
      </c>
      <c r="I15">
        <v>0</v>
      </c>
      <c r="J15">
        <v>68</v>
      </c>
      <c r="K15">
        <v>0</v>
      </c>
    </row>
    <row r="16" spans="1:11">
      <c r="A16">
        <v>202604</v>
      </c>
      <c r="B16" t="s">
        <v>611</v>
      </c>
      <c r="C16" t="s">
        <v>589</v>
      </c>
      <c r="D16" t="s">
        <v>1008</v>
      </c>
      <c r="E16">
        <v>34</v>
      </c>
      <c r="F16">
        <v>12</v>
      </c>
      <c r="G16">
        <v>46</v>
      </c>
      <c r="H16">
        <v>48</v>
      </c>
      <c r="I16">
        <v>2</v>
      </c>
      <c r="J16">
        <v>50</v>
      </c>
      <c r="K16">
        <v>4.17</v>
      </c>
    </row>
    <row r="17" spans="1:11">
      <c r="A17">
        <v>202604</v>
      </c>
      <c r="B17" t="s">
        <v>616</v>
      </c>
      <c r="C17" t="s">
        <v>590</v>
      </c>
      <c r="D17" t="s">
        <v>1009</v>
      </c>
      <c r="E17">
        <v>75</v>
      </c>
      <c r="F17">
        <v>23</v>
      </c>
      <c r="G17">
        <v>98</v>
      </c>
      <c r="H17">
        <v>97</v>
      </c>
      <c r="I17">
        <v>-1</v>
      </c>
      <c r="J17">
        <v>110</v>
      </c>
      <c r="K17">
        <v>-1.03</v>
      </c>
    </row>
    <row r="18" spans="1:11">
      <c r="A18">
        <v>202605</v>
      </c>
      <c r="B18" t="s">
        <v>600</v>
      </c>
      <c r="C18" t="s">
        <v>601</v>
      </c>
      <c r="D18" t="s">
        <v>1002</v>
      </c>
      <c r="E18">
        <v>0</v>
      </c>
      <c r="F18">
        <v>21.5</v>
      </c>
      <c r="G18">
        <v>21.5</v>
      </c>
      <c r="H18">
        <v>22</v>
      </c>
      <c r="I18">
        <v>0.5</v>
      </c>
      <c r="J18">
        <v>24</v>
      </c>
      <c r="K18">
        <v>2.27</v>
      </c>
    </row>
    <row r="19" spans="1:11">
      <c r="A19">
        <v>202605</v>
      </c>
      <c r="B19" t="s">
        <v>606</v>
      </c>
      <c r="C19" t="s">
        <v>588</v>
      </c>
      <c r="D19" t="s">
        <v>1005</v>
      </c>
      <c r="E19">
        <v>45</v>
      </c>
      <c r="F19">
        <v>18</v>
      </c>
      <c r="G19">
        <v>63</v>
      </c>
      <c r="H19">
        <v>63</v>
      </c>
      <c r="I19">
        <v>0</v>
      </c>
      <c r="J19">
        <v>68</v>
      </c>
      <c r="K19">
        <v>0</v>
      </c>
    </row>
    <row r="20" spans="1:11">
      <c r="A20">
        <v>202605</v>
      </c>
      <c r="B20" t="s">
        <v>611</v>
      </c>
      <c r="C20" t="s">
        <v>589</v>
      </c>
      <c r="D20" t="s">
        <v>1008</v>
      </c>
      <c r="E20">
        <v>34</v>
      </c>
      <c r="F20">
        <v>12</v>
      </c>
      <c r="G20">
        <v>46</v>
      </c>
      <c r="H20">
        <v>48</v>
      </c>
      <c r="I20">
        <v>2</v>
      </c>
      <c r="J20">
        <v>50</v>
      </c>
      <c r="K20">
        <v>4.17</v>
      </c>
    </row>
    <row r="21" spans="1:11">
      <c r="A21">
        <v>202605</v>
      </c>
      <c r="B21" t="s">
        <v>616</v>
      </c>
      <c r="C21" t="s">
        <v>590</v>
      </c>
      <c r="D21" t="s">
        <v>1009</v>
      </c>
      <c r="E21">
        <v>75</v>
      </c>
      <c r="F21">
        <v>23</v>
      </c>
      <c r="G21">
        <v>98</v>
      </c>
      <c r="H21">
        <v>97</v>
      </c>
      <c r="I21">
        <v>-1</v>
      </c>
      <c r="J21">
        <v>110</v>
      </c>
      <c r="K21">
        <v>-1.03</v>
      </c>
    </row>
    <row r="22" spans="1:11">
      <c r="A22">
        <v>202606</v>
      </c>
      <c r="B22" t="s">
        <v>600</v>
      </c>
      <c r="C22" t="s">
        <v>601</v>
      </c>
      <c r="D22" t="s">
        <v>1002</v>
      </c>
      <c r="E22">
        <v>0</v>
      </c>
      <c r="F22">
        <v>21.5</v>
      </c>
      <c r="G22">
        <v>21.5</v>
      </c>
      <c r="H22">
        <v>22</v>
      </c>
      <c r="I22">
        <v>0.5</v>
      </c>
      <c r="J22">
        <v>24</v>
      </c>
      <c r="K22">
        <v>2.27</v>
      </c>
    </row>
    <row r="23" spans="1:11">
      <c r="A23">
        <v>202606</v>
      </c>
      <c r="B23" t="s">
        <v>606</v>
      </c>
      <c r="C23" t="s">
        <v>588</v>
      </c>
      <c r="D23" t="s">
        <v>1005</v>
      </c>
      <c r="E23">
        <v>45</v>
      </c>
      <c r="F23">
        <v>18</v>
      </c>
      <c r="G23">
        <v>63</v>
      </c>
      <c r="H23">
        <v>63</v>
      </c>
      <c r="I23">
        <v>0</v>
      </c>
      <c r="J23">
        <v>68</v>
      </c>
      <c r="K23">
        <v>0</v>
      </c>
    </row>
    <row r="24" spans="1:11">
      <c r="A24">
        <v>202606</v>
      </c>
      <c r="B24" t="s">
        <v>611</v>
      </c>
      <c r="C24" t="s">
        <v>589</v>
      </c>
      <c r="D24" t="s">
        <v>1008</v>
      </c>
      <c r="E24">
        <v>34</v>
      </c>
      <c r="F24">
        <v>12</v>
      </c>
      <c r="G24">
        <v>46</v>
      </c>
      <c r="H24">
        <v>48</v>
      </c>
      <c r="I24">
        <v>2</v>
      </c>
      <c r="J24">
        <v>50</v>
      </c>
      <c r="K24">
        <v>4.17</v>
      </c>
    </row>
    <row r="25" spans="1:11">
      <c r="A25">
        <v>202606</v>
      </c>
      <c r="B25" t="s">
        <v>616</v>
      </c>
      <c r="C25" t="s">
        <v>590</v>
      </c>
      <c r="D25" t="s">
        <v>1009</v>
      </c>
      <c r="E25">
        <v>75</v>
      </c>
      <c r="F25">
        <v>23</v>
      </c>
      <c r="G25">
        <v>98</v>
      </c>
      <c r="H25">
        <v>97</v>
      </c>
      <c r="I25">
        <v>-1</v>
      </c>
      <c r="J25">
        <v>110</v>
      </c>
      <c r="K25">
        <v>-1.03</v>
      </c>
    </row>
    <row r="26" spans="1:11">
      <c r="A26">
        <v>202607</v>
      </c>
      <c r="B26" t="s">
        <v>600</v>
      </c>
      <c r="C26" t="s">
        <v>601</v>
      </c>
      <c r="D26" t="s">
        <v>1002</v>
      </c>
      <c r="E26">
        <v>0</v>
      </c>
      <c r="F26">
        <v>22</v>
      </c>
      <c r="G26">
        <v>22</v>
      </c>
      <c r="H26">
        <v>22</v>
      </c>
      <c r="I26">
        <v>0</v>
      </c>
      <c r="J26">
        <v>24</v>
      </c>
      <c r="K26">
        <v>0</v>
      </c>
    </row>
    <row r="27" spans="1:11">
      <c r="A27">
        <v>202607</v>
      </c>
      <c r="B27" t="s">
        <v>606</v>
      </c>
      <c r="C27" t="s">
        <v>588</v>
      </c>
      <c r="D27" t="s">
        <v>1005</v>
      </c>
      <c r="E27">
        <v>45</v>
      </c>
      <c r="F27">
        <v>18</v>
      </c>
      <c r="G27">
        <v>63</v>
      </c>
      <c r="H27">
        <v>63</v>
      </c>
      <c r="I27">
        <v>0</v>
      </c>
      <c r="J27">
        <v>68</v>
      </c>
      <c r="K27">
        <v>0</v>
      </c>
    </row>
    <row r="28" spans="1:11">
      <c r="A28">
        <v>202607</v>
      </c>
      <c r="B28" t="s">
        <v>611</v>
      </c>
      <c r="C28" t="s">
        <v>589</v>
      </c>
      <c r="D28" t="s">
        <v>1008</v>
      </c>
      <c r="E28">
        <v>34</v>
      </c>
      <c r="F28">
        <v>12</v>
      </c>
      <c r="G28">
        <v>46</v>
      </c>
      <c r="H28">
        <v>48</v>
      </c>
      <c r="I28">
        <v>2</v>
      </c>
      <c r="J28">
        <v>50</v>
      </c>
      <c r="K28">
        <v>4.17</v>
      </c>
    </row>
    <row r="29" spans="1:11">
      <c r="A29">
        <v>202607</v>
      </c>
      <c r="B29" t="s">
        <v>616</v>
      </c>
      <c r="C29" t="s">
        <v>590</v>
      </c>
      <c r="D29" t="s">
        <v>1009</v>
      </c>
      <c r="E29">
        <v>75</v>
      </c>
      <c r="F29">
        <v>23</v>
      </c>
      <c r="G29">
        <v>98</v>
      </c>
      <c r="H29">
        <v>97</v>
      </c>
      <c r="I29">
        <v>-1</v>
      </c>
      <c r="J29">
        <v>110</v>
      </c>
      <c r="K29">
        <v>-1.03</v>
      </c>
    </row>
    <row r="30" spans="1:11">
      <c r="A30">
        <v>202608</v>
      </c>
      <c r="B30" t="s">
        <v>600</v>
      </c>
      <c r="C30" t="s">
        <v>601</v>
      </c>
      <c r="D30" t="s">
        <v>1002</v>
      </c>
      <c r="E30">
        <v>0</v>
      </c>
      <c r="F30">
        <v>22</v>
      </c>
      <c r="G30">
        <v>22</v>
      </c>
      <c r="H30">
        <v>22</v>
      </c>
      <c r="I30">
        <v>0</v>
      </c>
      <c r="J30">
        <v>24</v>
      </c>
      <c r="K30">
        <v>0</v>
      </c>
    </row>
    <row r="31" spans="1:11">
      <c r="A31">
        <v>202608</v>
      </c>
      <c r="B31" t="s">
        <v>606</v>
      </c>
      <c r="C31" t="s">
        <v>588</v>
      </c>
      <c r="D31" t="s">
        <v>1005</v>
      </c>
      <c r="E31">
        <v>45</v>
      </c>
      <c r="F31">
        <v>18</v>
      </c>
      <c r="G31">
        <v>63</v>
      </c>
      <c r="H31">
        <v>63</v>
      </c>
      <c r="I31">
        <v>0</v>
      </c>
      <c r="J31">
        <v>68</v>
      </c>
      <c r="K31">
        <v>0</v>
      </c>
    </row>
    <row r="32" spans="1:11">
      <c r="A32">
        <v>202608</v>
      </c>
      <c r="B32" t="s">
        <v>611</v>
      </c>
      <c r="C32" t="s">
        <v>589</v>
      </c>
      <c r="D32" t="s">
        <v>1008</v>
      </c>
      <c r="E32">
        <v>34</v>
      </c>
      <c r="F32">
        <v>12</v>
      </c>
      <c r="G32">
        <v>46</v>
      </c>
      <c r="H32">
        <v>48</v>
      </c>
      <c r="I32">
        <v>2</v>
      </c>
      <c r="J32">
        <v>50</v>
      </c>
      <c r="K32">
        <v>4.17</v>
      </c>
    </row>
    <row r="33" spans="1:11">
      <c r="A33">
        <v>202608</v>
      </c>
      <c r="B33" t="s">
        <v>616</v>
      </c>
      <c r="C33" t="s">
        <v>590</v>
      </c>
      <c r="D33" t="s">
        <v>1009</v>
      </c>
      <c r="E33">
        <v>75</v>
      </c>
      <c r="F33">
        <v>23</v>
      </c>
      <c r="G33">
        <v>98</v>
      </c>
      <c r="H33">
        <v>97</v>
      </c>
      <c r="I33">
        <v>-1</v>
      </c>
      <c r="J33">
        <v>110</v>
      </c>
      <c r="K33">
        <v>-1.03</v>
      </c>
    </row>
    <row r="34" spans="1:11">
      <c r="A34">
        <v>202609</v>
      </c>
      <c r="B34" t="s">
        <v>600</v>
      </c>
      <c r="C34" t="s">
        <v>601</v>
      </c>
      <c r="D34" t="s">
        <v>1002</v>
      </c>
      <c r="E34">
        <v>0</v>
      </c>
      <c r="F34">
        <v>22</v>
      </c>
      <c r="G34">
        <v>22</v>
      </c>
      <c r="H34">
        <v>22</v>
      </c>
      <c r="I34">
        <v>0</v>
      </c>
      <c r="J34">
        <v>24</v>
      </c>
      <c r="K34">
        <v>0</v>
      </c>
    </row>
    <row r="35" spans="1:11">
      <c r="A35">
        <v>202609</v>
      </c>
      <c r="B35" t="s">
        <v>606</v>
      </c>
      <c r="C35" t="s">
        <v>588</v>
      </c>
      <c r="D35" t="s">
        <v>1005</v>
      </c>
      <c r="E35">
        <v>45</v>
      </c>
      <c r="F35">
        <v>18</v>
      </c>
      <c r="G35">
        <v>63</v>
      </c>
      <c r="H35">
        <v>63</v>
      </c>
      <c r="I35">
        <v>0</v>
      </c>
      <c r="J35">
        <v>68</v>
      </c>
      <c r="K35">
        <v>0</v>
      </c>
    </row>
    <row r="36" spans="1:11">
      <c r="A36">
        <v>202609</v>
      </c>
      <c r="B36" t="s">
        <v>611</v>
      </c>
      <c r="C36" t="s">
        <v>589</v>
      </c>
      <c r="D36" t="s">
        <v>1008</v>
      </c>
      <c r="E36">
        <v>34</v>
      </c>
      <c r="F36">
        <v>12</v>
      </c>
      <c r="G36">
        <v>46</v>
      </c>
      <c r="H36">
        <v>48</v>
      </c>
      <c r="I36">
        <v>2</v>
      </c>
      <c r="J36">
        <v>50</v>
      </c>
      <c r="K36">
        <v>4.17</v>
      </c>
    </row>
    <row r="37" spans="1:11">
      <c r="A37">
        <v>202609</v>
      </c>
      <c r="B37" t="s">
        <v>616</v>
      </c>
      <c r="C37" t="s">
        <v>590</v>
      </c>
      <c r="D37" t="s">
        <v>1009</v>
      </c>
      <c r="E37">
        <v>75</v>
      </c>
      <c r="F37">
        <v>23</v>
      </c>
      <c r="G37">
        <v>98</v>
      </c>
      <c r="H37">
        <v>97</v>
      </c>
      <c r="I37">
        <v>-1</v>
      </c>
      <c r="J37">
        <v>110</v>
      </c>
      <c r="K37">
        <v>-1.03</v>
      </c>
    </row>
    <row r="38" spans="1:11">
      <c r="A38">
        <v>202610</v>
      </c>
      <c r="B38" t="s">
        <v>600</v>
      </c>
      <c r="C38" t="s">
        <v>601</v>
      </c>
      <c r="D38" t="s">
        <v>1002</v>
      </c>
      <c r="E38">
        <v>0</v>
      </c>
      <c r="F38">
        <v>22</v>
      </c>
      <c r="G38">
        <v>22</v>
      </c>
      <c r="H38">
        <v>22</v>
      </c>
      <c r="I38">
        <v>0</v>
      </c>
      <c r="J38">
        <v>24</v>
      </c>
      <c r="K38">
        <v>0</v>
      </c>
    </row>
    <row r="39" spans="1:11">
      <c r="A39">
        <v>202610</v>
      </c>
      <c r="B39" t="s">
        <v>606</v>
      </c>
      <c r="C39" t="s">
        <v>588</v>
      </c>
      <c r="D39" t="s">
        <v>1005</v>
      </c>
      <c r="E39">
        <v>45</v>
      </c>
      <c r="F39">
        <v>18</v>
      </c>
      <c r="G39">
        <v>63</v>
      </c>
      <c r="H39">
        <v>63</v>
      </c>
      <c r="I39">
        <v>0</v>
      </c>
      <c r="J39">
        <v>68</v>
      </c>
      <c r="K39">
        <v>0</v>
      </c>
    </row>
    <row r="40" spans="1:11">
      <c r="A40">
        <v>202610</v>
      </c>
      <c r="B40" t="s">
        <v>611</v>
      </c>
      <c r="C40" t="s">
        <v>589</v>
      </c>
      <c r="D40" t="s">
        <v>1008</v>
      </c>
      <c r="E40">
        <v>34</v>
      </c>
      <c r="F40">
        <v>12</v>
      </c>
      <c r="G40">
        <v>46</v>
      </c>
      <c r="H40">
        <v>48</v>
      </c>
      <c r="I40">
        <v>2</v>
      </c>
      <c r="J40">
        <v>50</v>
      </c>
      <c r="K40">
        <v>4.17</v>
      </c>
    </row>
    <row r="41" spans="1:11">
      <c r="A41">
        <v>202610</v>
      </c>
      <c r="B41" t="s">
        <v>616</v>
      </c>
      <c r="C41" t="s">
        <v>590</v>
      </c>
      <c r="D41" t="s">
        <v>1009</v>
      </c>
      <c r="E41">
        <v>75</v>
      </c>
      <c r="F41">
        <v>23</v>
      </c>
      <c r="G41">
        <v>98</v>
      </c>
      <c r="H41">
        <v>97</v>
      </c>
      <c r="I41">
        <v>-1</v>
      </c>
      <c r="J41">
        <v>110</v>
      </c>
      <c r="K41">
        <v>-1.03</v>
      </c>
    </row>
    <row r="42" spans="1:11">
      <c r="A42">
        <v>202611</v>
      </c>
      <c r="B42" t="s">
        <v>600</v>
      </c>
      <c r="C42" t="s">
        <v>601</v>
      </c>
      <c r="D42" t="s">
        <v>1002</v>
      </c>
      <c r="E42">
        <v>0</v>
      </c>
      <c r="F42">
        <v>22</v>
      </c>
      <c r="G42">
        <v>22</v>
      </c>
      <c r="H42">
        <v>22</v>
      </c>
      <c r="I42">
        <v>0</v>
      </c>
      <c r="J42">
        <v>24</v>
      </c>
      <c r="K42">
        <v>0</v>
      </c>
    </row>
    <row r="43" spans="1:11">
      <c r="A43">
        <v>202611</v>
      </c>
      <c r="B43" t="s">
        <v>606</v>
      </c>
      <c r="C43" t="s">
        <v>588</v>
      </c>
      <c r="D43" t="s">
        <v>1005</v>
      </c>
      <c r="E43">
        <v>45</v>
      </c>
      <c r="F43">
        <v>18</v>
      </c>
      <c r="G43">
        <v>63</v>
      </c>
      <c r="H43">
        <v>63</v>
      </c>
      <c r="I43">
        <v>0</v>
      </c>
      <c r="J43">
        <v>68</v>
      </c>
      <c r="K43">
        <v>0</v>
      </c>
    </row>
    <row r="44" spans="1:11">
      <c r="A44">
        <v>202611</v>
      </c>
      <c r="B44" t="s">
        <v>611</v>
      </c>
      <c r="C44" t="s">
        <v>589</v>
      </c>
      <c r="D44" t="s">
        <v>1008</v>
      </c>
      <c r="E44">
        <v>34</v>
      </c>
      <c r="F44">
        <v>12</v>
      </c>
      <c r="G44">
        <v>46</v>
      </c>
      <c r="H44">
        <v>48</v>
      </c>
      <c r="I44">
        <v>2</v>
      </c>
      <c r="J44">
        <v>50</v>
      </c>
      <c r="K44">
        <v>4.17</v>
      </c>
    </row>
    <row r="45" spans="1:11">
      <c r="A45">
        <v>202611</v>
      </c>
      <c r="B45" t="s">
        <v>616</v>
      </c>
      <c r="C45" t="s">
        <v>590</v>
      </c>
      <c r="D45" t="s">
        <v>1009</v>
      </c>
      <c r="E45">
        <v>75</v>
      </c>
      <c r="F45">
        <v>23</v>
      </c>
      <c r="G45">
        <v>98</v>
      </c>
      <c r="H45">
        <v>97</v>
      </c>
      <c r="I45">
        <v>-1</v>
      </c>
      <c r="J45">
        <v>110</v>
      </c>
      <c r="K45">
        <v>-1.03</v>
      </c>
    </row>
    <row r="46" spans="1:11">
      <c r="A46">
        <v>202612</v>
      </c>
      <c r="B46" t="s">
        <v>600</v>
      </c>
      <c r="C46" t="s">
        <v>601</v>
      </c>
      <c r="D46" t="s">
        <v>1002</v>
      </c>
      <c r="E46">
        <v>0</v>
      </c>
      <c r="F46">
        <v>22</v>
      </c>
      <c r="G46">
        <v>22</v>
      </c>
      <c r="H46">
        <v>22</v>
      </c>
      <c r="I46">
        <v>0</v>
      </c>
      <c r="J46">
        <v>24</v>
      </c>
      <c r="K46">
        <v>0</v>
      </c>
    </row>
    <row r="47" spans="1:11">
      <c r="A47">
        <v>202612</v>
      </c>
      <c r="B47" t="s">
        <v>606</v>
      </c>
      <c r="C47" t="s">
        <v>588</v>
      </c>
      <c r="D47" t="s">
        <v>1005</v>
      </c>
      <c r="E47">
        <v>45</v>
      </c>
      <c r="F47">
        <v>18</v>
      </c>
      <c r="G47">
        <v>63</v>
      </c>
      <c r="H47">
        <v>63</v>
      </c>
      <c r="I47">
        <v>0</v>
      </c>
      <c r="J47">
        <v>68</v>
      </c>
      <c r="K47">
        <v>0</v>
      </c>
    </row>
    <row r="48" spans="1:11">
      <c r="A48">
        <v>202612</v>
      </c>
      <c r="B48" t="s">
        <v>611</v>
      </c>
      <c r="C48" t="s">
        <v>589</v>
      </c>
      <c r="D48" t="s">
        <v>1008</v>
      </c>
      <c r="E48">
        <v>34</v>
      </c>
      <c r="F48">
        <v>12</v>
      </c>
      <c r="G48">
        <v>46</v>
      </c>
      <c r="H48">
        <v>48</v>
      </c>
      <c r="I48">
        <v>2</v>
      </c>
      <c r="J48">
        <v>50</v>
      </c>
      <c r="K48">
        <v>4.17</v>
      </c>
    </row>
    <row r="49" spans="1:11">
      <c r="A49">
        <v>202612</v>
      </c>
      <c r="B49" t="s">
        <v>616</v>
      </c>
      <c r="C49" t="s">
        <v>590</v>
      </c>
      <c r="D49" t="s">
        <v>1009</v>
      </c>
      <c r="E49">
        <v>75</v>
      </c>
      <c r="F49">
        <v>23</v>
      </c>
      <c r="G49">
        <v>98</v>
      </c>
      <c r="H49">
        <v>97</v>
      </c>
      <c r="I49">
        <v>-1</v>
      </c>
      <c r="J49">
        <v>110</v>
      </c>
      <c r="K49">
        <v>-1.03</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021AA-C525-41A7-ABE6-C94A028E9793}">
  <dimension ref="A1:K49"/>
  <sheetViews>
    <sheetView workbookViewId="0">
      <selection sqref="A1:A148"/>
    </sheetView>
  </sheetViews>
  <sheetFormatPr defaultRowHeight="14.5"/>
  <cols>
    <col min="1" max="1" width="23.6328125" bestFit="1" customWidth="1"/>
    <col min="2" max="2" width="13.36328125" bestFit="1" customWidth="1"/>
    <col min="3" max="3" width="10.6328125" bestFit="1" customWidth="1"/>
    <col min="4" max="4" width="21.36328125" bestFit="1" customWidth="1"/>
    <col min="5" max="5" width="17.54296875" bestFit="1" customWidth="1"/>
    <col min="6" max="6" width="16.453125" bestFit="1" customWidth="1"/>
    <col min="7" max="7" width="13.6328125" bestFit="1" customWidth="1"/>
    <col min="8" max="8" width="13.453125" bestFit="1" customWidth="1"/>
    <col min="9" max="9" width="15.6328125" bestFit="1" customWidth="1"/>
    <col min="10" max="10" width="25.1796875" bestFit="1" customWidth="1"/>
    <col min="11" max="11" width="16.90625" bestFit="1" customWidth="1"/>
  </cols>
  <sheetData>
    <row r="1" spans="1:11">
      <c r="A1" t="s">
        <v>1087</v>
      </c>
      <c r="B1" t="s">
        <v>926</v>
      </c>
      <c r="C1" t="s">
        <v>991</v>
      </c>
      <c r="D1" t="s">
        <v>1083</v>
      </c>
      <c r="E1" t="s">
        <v>1084</v>
      </c>
      <c r="F1" t="s">
        <v>1082</v>
      </c>
      <c r="G1" t="s">
        <v>1080</v>
      </c>
      <c r="H1" t="s">
        <v>1081</v>
      </c>
      <c r="I1" t="s">
        <v>1085</v>
      </c>
      <c r="J1" t="s">
        <v>1088</v>
      </c>
      <c r="K1" t="s">
        <v>1089</v>
      </c>
    </row>
    <row r="2" spans="1:11">
      <c r="A2" t="s">
        <v>1090</v>
      </c>
      <c r="B2">
        <v>20270131</v>
      </c>
      <c r="C2" t="s">
        <v>600</v>
      </c>
      <c r="D2">
        <v>30</v>
      </c>
      <c r="E2">
        <v>1.05</v>
      </c>
      <c r="F2">
        <v>28.95</v>
      </c>
      <c r="G2">
        <v>5</v>
      </c>
      <c r="H2">
        <v>25</v>
      </c>
      <c r="I2">
        <v>32</v>
      </c>
      <c r="J2">
        <v>1737000</v>
      </c>
      <c r="K2">
        <v>0.63900000000000001</v>
      </c>
    </row>
    <row r="3" spans="1:11">
      <c r="A3" t="s">
        <v>1091</v>
      </c>
      <c r="B3">
        <v>20270131</v>
      </c>
      <c r="C3" t="s">
        <v>606</v>
      </c>
      <c r="D3">
        <v>63</v>
      </c>
      <c r="E3">
        <v>2.21</v>
      </c>
      <c r="F3">
        <v>60.79</v>
      </c>
      <c r="G3">
        <v>45</v>
      </c>
      <c r="H3">
        <v>18</v>
      </c>
      <c r="I3">
        <v>68</v>
      </c>
      <c r="J3">
        <v>4255300</v>
      </c>
      <c r="K3">
        <v>0.63900000000000001</v>
      </c>
    </row>
    <row r="4" spans="1:11">
      <c r="A4" t="s">
        <v>1092</v>
      </c>
      <c r="B4">
        <v>20270131</v>
      </c>
      <c r="C4" t="s">
        <v>611</v>
      </c>
      <c r="D4">
        <v>50</v>
      </c>
      <c r="E4">
        <v>1.75</v>
      </c>
      <c r="F4">
        <v>48.25</v>
      </c>
      <c r="G4">
        <v>38</v>
      </c>
      <c r="H4">
        <v>12</v>
      </c>
      <c r="I4">
        <v>54</v>
      </c>
      <c r="J4">
        <v>3457916.67</v>
      </c>
      <c r="K4">
        <v>0.63900000000000001</v>
      </c>
    </row>
    <row r="5" spans="1:11">
      <c r="A5" t="s">
        <v>1093</v>
      </c>
      <c r="B5">
        <v>20270131</v>
      </c>
      <c r="C5" t="s">
        <v>616</v>
      </c>
      <c r="D5">
        <v>87</v>
      </c>
      <c r="E5">
        <v>3.05</v>
      </c>
      <c r="F5">
        <v>83.95</v>
      </c>
      <c r="G5">
        <v>67</v>
      </c>
      <c r="H5">
        <v>20</v>
      </c>
      <c r="I5">
        <v>94</v>
      </c>
      <c r="J5">
        <v>6226291.6699999999</v>
      </c>
      <c r="K5">
        <v>0.63900000000000001</v>
      </c>
    </row>
    <row r="6" spans="1:11">
      <c r="A6" t="s">
        <v>1094</v>
      </c>
      <c r="B6">
        <v>20270228</v>
      </c>
      <c r="C6" t="s">
        <v>600</v>
      </c>
      <c r="D6">
        <v>30</v>
      </c>
      <c r="E6">
        <v>1.05</v>
      </c>
      <c r="F6">
        <v>28.95</v>
      </c>
      <c r="G6">
        <v>5</v>
      </c>
      <c r="H6">
        <v>25</v>
      </c>
      <c r="I6">
        <v>32</v>
      </c>
      <c r="J6">
        <v>1737000</v>
      </c>
      <c r="K6">
        <v>0.63900000000000001</v>
      </c>
    </row>
    <row r="7" spans="1:11">
      <c r="A7" t="s">
        <v>1095</v>
      </c>
      <c r="B7">
        <v>20270228</v>
      </c>
      <c r="C7" t="s">
        <v>606</v>
      </c>
      <c r="D7">
        <v>63</v>
      </c>
      <c r="E7">
        <v>2.21</v>
      </c>
      <c r="F7">
        <v>60.79</v>
      </c>
      <c r="G7">
        <v>45</v>
      </c>
      <c r="H7">
        <v>18</v>
      </c>
      <c r="I7">
        <v>68</v>
      </c>
      <c r="J7">
        <v>4255300</v>
      </c>
      <c r="K7">
        <v>0.63900000000000001</v>
      </c>
    </row>
    <row r="8" spans="1:11">
      <c r="A8" t="s">
        <v>1096</v>
      </c>
      <c r="B8">
        <v>20270228</v>
      </c>
      <c r="C8" t="s">
        <v>611</v>
      </c>
      <c r="D8">
        <v>50</v>
      </c>
      <c r="E8">
        <v>1.75</v>
      </c>
      <c r="F8">
        <v>48.25</v>
      </c>
      <c r="G8">
        <v>38</v>
      </c>
      <c r="H8">
        <v>12</v>
      </c>
      <c r="I8">
        <v>54</v>
      </c>
      <c r="J8">
        <v>3457916.67</v>
      </c>
      <c r="K8">
        <v>0.63900000000000001</v>
      </c>
    </row>
    <row r="9" spans="1:11">
      <c r="A9" t="s">
        <v>1097</v>
      </c>
      <c r="B9">
        <v>20270228</v>
      </c>
      <c r="C9" t="s">
        <v>616</v>
      </c>
      <c r="D9">
        <v>87</v>
      </c>
      <c r="E9">
        <v>3.05</v>
      </c>
      <c r="F9">
        <v>83.95</v>
      </c>
      <c r="G9">
        <v>67</v>
      </c>
      <c r="H9">
        <v>20</v>
      </c>
      <c r="I9">
        <v>94</v>
      </c>
      <c r="J9">
        <v>6226291.6699999999</v>
      </c>
      <c r="K9">
        <v>0.63900000000000001</v>
      </c>
    </row>
    <row r="10" spans="1:11">
      <c r="A10" t="s">
        <v>1098</v>
      </c>
      <c r="B10">
        <v>20270331</v>
      </c>
      <c r="C10" t="s">
        <v>600</v>
      </c>
      <c r="D10">
        <v>30</v>
      </c>
      <c r="E10">
        <v>1.05</v>
      </c>
      <c r="F10">
        <v>28.95</v>
      </c>
      <c r="G10">
        <v>5</v>
      </c>
      <c r="H10">
        <v>25</v>
      </c>
      <c r="I10">
        <v>32</v>
      </c>
      <c r="J10">
        <v>1737000</v>
      </c>
      <c r="K10">
        <v>0.63900000000000001</v>
      </c>
    </row>
    <row r="11" spans="1:11">
      <c r="A11" t="s">
        <v>1099</v>
      </c>
      <c r="B11">
        <v>20270331</v>
      </c>
      <c r="C11" t="s">
        <v>606</v>
      </c>
      <c r="D11">
        <v>63</v>
      </c>
      <c r="E11">
        <v>2.21</v>
      </c>
      <c r="F11">
        <v>60.79</v>
      </c>
      <c r="G11">
        <v>45</v>
      </c>
      <c r="H11">
        <v>18</v>
      </c>
      <c r="I11">
        <v>68</v>
      </c>
      <c r="J11">
        <v>4255300</v>
      </c>
      <c r="K11">
        <v>0.63900000000000001</v>
      </c>
    </row>
    <row r="12" spans="1:11">
      <c r="A12" t="s">
        <v>1100</v>
      </c>
      <c r="B12">
        <v>20270331</v>
      </c>
      <c r="C12" t="s">
        <v>611</v>
      </c>
      <c r="D12">
        <v>50</v>
      </c>
      <c r="E12">
        <v>1.75</v>
      </c>
      <c r="F12">
        <v>48.25</v>
      </c>
      <c r="G12">
        <v>38</v>
      </c>
      <c r="H12">
        <v>12</v>
      </c>
      <c r="I12">
        <v>54</v>
      </c>
      <c r="J12">
        <v>3457916.67</v>
      </c>
      <c r="K12">
        <v>0.63900000000000001</v>
      </c>
    </row>
    <row r="13" spans="1:11">
      <c r="A13" t="s">
        <v>1101</v>
      </c>
      <c r="B13">
        <v>20270331</v>
      </c>
      <c r="C13" t="s">
        <v>616</v>
      </c>
      <c r="D13">
        <v>87</v>
      </c>
      <c r="E13">
        <v>3.05</v>
      </c>
      <c r="F13">
        <v>83.95</v>
      </c>
      <c r="G13">
        <v>67</v>
      </c>
      <c r="H13">
        <v>20</v>
      </c>
      <c r="I13">
        <v>94</v>
      </c>
      <c r="J13">
        <v>6226291.6699999999</v>
      </c>
      <c r="K13">
        <v>0.63900000000000001</v>
      </c>
    </row>
    <row r="14" spans="1:11">
      <c r="A14" t="s">
        <v>1102</v>
      </c>
      <c r="B14">
        <v>20270430</v>
      </c>
      <c r="C14" t="s">
        <v>600</v>
      </c>
      <c r="D14">
        <v>30</v>
      </c>
      <c r="E14">
        <v>1.05</v>
      </c>
      <c r="F14">
        <v>28.95</v>
      </c>
      <c r="G14">
        <v>5</v>
      </c>
      <c r="H14">
        <v>25</v>
      </c>
      <c r="I14">
        <v>32</v>
      </c>
      <c r="J14">
        <v>1737000</v>
      </c>
      <c r="K14">
        <v>0.63900000000000001</v>
      </c>
    </row>
    <row r="15" spans="1:11">
      <c r="A15" t="s">
        <v>1103</v>
      </c>
      <c r="B15">
        <v>20270430</v>
      </c>
      <c r="C15" t="s">
        <v>606</v>
      </c>
      <c r="D15">
        <v>63</v>
      </c>
      <c r="E15">
        <v>2.21</v>
      </c>
      <c r="F15">
        <v>60.79</v>
      </c>
      <c r="G15">
        <v>45</v>
      </c>
      <c r="H15">
        <v>18</v>
      </c>
      <c r="I15">
        <v>68</v>
      </c>
      <c r="J15">
        <v>4255300</v>
      </c>
      <c r="K15">
        <v>0.63900000000000001</v>
      </c>
    </row>
    <row r="16" spans="1:11">
      <c r="A16" t="s">
        <v>1104</v>
      </c>
      <c r="B16">
        <v>20270430</v>
      </c>
      <c r="C16" t="s">
        <v>611</v>
      </c>
      <c r="D16">
        <v>50</v>
      </c>
      <c r="E16">
        <v>1.75</v>
      </c>
      <c r="F16">
        <v>48.25</v>
      </c>
      <c r="G16">
        <v>38</v>
      </c>
      <c r="H16">
        <v>12</v>
      </c>
      <c r="I16">
        <v>54</v>
      </c>
      <c r="J16">
        <v>3457916.67</v>
      </c>
      <c r="K16">
        <v>0.63900000000000001</v>
      </c>
    </row>
    <row r="17" spans="1:11">
      <c r="A17" t="s">
        <v>1105</v>
      </c>
      <c r="B17">
        <v>20270430</v>
      </c>
      <c r="C17" t="s">
        <v>616</v>
      </c>
      <c r="D17">
        <v>87</v>
      </c>
      <c r="E17">
        <v>3.05</v>
      </c>
      <c r="F17">
        <v>83.95</v>
      </c>
      <c r="G17">
        <v>67</v>
      </c>
      <c r="H17">
        <v>20</v>
      </c>
      <c r="I17">
        <v>94</v>
      </c>
      <c r="J17">
        <v>6226291.6699999999</v>
      </c>
      <c r="K17">
        <v>0.63900000000000001</v>
      </c>
    </row>
    <row r="18" spans="1:11">
      <c r="A18" t="s">
        <v>1106</v>
      </c>
      <c r="B18">
        <v>20270531</v>
      </c>
      <c r="C18" t="s">
        <v>600</v>
      </c>
      <c r="D18">
        <v>30</v>
      </c>
      <c r="E18">
        <v>1.05</v>
      </c>
      <c r="F18">
        <v>28.95</v>
      </c>
      <c r="G18">
        <v>5</v>
      </c>
      <c r="H18">
        <v>25</v>
      </c>
      <c r="I18">
        <v>32</v>
      </c>
      <c r="J18">
        <v>1737000</v>
      </c>
      <c r="K18">
        <v>0.63900000000000001</v>
      </c>
    </row>
    <row r="19" spans="1:11">
      <c r="A19" t="s">
        <v>1107</v>
      </c>
      <c r="B19">
        <v>20270531</v>
      </c>
      <c r="C19" t="s">
        <v>606</v>
      </c>
      <c r="D19">
        <v>63</v>
      </c>
      <c r="E19">
        <v>2.21</v>
      </c>
      <c r="F19">
        <v>60.79</v>
      </c>
      <c r="G19">
        <v>45</v>
      </c>
      <c r="H19">
        <v>18</v>
      </c>
      <c r="I19">
        <v>68</v>
      </c>
      <c r="J19">
        <v>4255300</v>
      </c>
      <c r="K19">
        <v>0.63900000000000001</v>
      </c>
    </row>
    <row r="20" spans="1:11">
      <c r="A20" t="s">
        <v>1108</v>
      </c>
      <c r="B20">
        <v>20270531</v>
      </c>
      <c r="C20" t="s">
        <v>611</v>
      </c>
      <c r="D20">
        <v>50</v>
      </c>
      <c r="E20">
        <v>1.75</v>
      </c>
      <c r="F20">
        <v>48.25</v>
      </c>
      <c r="G20">
        <v>38</v>
      </c>
      <c r="H20">
        <v>12</v>
      </c>
      <c r="I20">
        <v>54</v>
      </c>
      <c r="J20">
        <v>3457916.67</v>
      </c>
      <c r="K20">
        <v>0.63900000000000001</v>
      </c>
    </row>
    <row r="21" spans="1:11">
      <c r="A21" t="s">
        <v>1109</v>
      </c>
      <c r="B21">
        <v>20270531</v>
      </c>
      <c r="C21" t="s">
        <v>616</v>
      </c>
      <c r="D21">
        <v>87</v>
      </c>
      <c r="E21">
        <v>3.05</v>
      </c>
      <c r="F21">
        <v>83.95</v>
      </c>
      <c r="G21">
        <v>67</v>
      </c>
      <c r="H21">
        <v>20</v>
      </c>
      <c r="I21">
        <v>94</v>
      </c>
      <c r="J21">
        <v>6226291.6699999999</v>
      </c>
      <c r="K21">
        <v>0.63900000000000001</v>
      </c>
    </row>
    <row r="22" spans="1:11">
      <c r="A22" t="s">
        <v>1110</v>
      </c>
      <c r="B22">
        <v>20270630</v>
      </c>
      <c r="C22" t="s">
        <v>600</v>
      </c>
      <c r="D22">
        <v>30</v>
      </c>
      <c r="E22">
        <v>1.05</v>
      </c>
      <c r="F22">
        <v>28.95</v>
      </c>
      <c r="G22">
        <v>5</v>
      </c>
      <c r="H22">
        <v>25</v>
      </c>
      <c r="I22">
        <v>32</v>
      </c>
      <c r="J22">
        <v>1737000</v>
      </c>
      <c r="K22">
        <v>0.63900000000000001</v>
      </c>
    </row>
    <row r="23" spans="1:11">
      <c r="A23" t="s">
        <v>1111</v>
      </c>
      <c r="B23">
        <v>20270630</v>
      </c>
      <c r="C23" t="s">
        <v>606</v>
      </c>
      <c r="D23">
        <v>63</v>
      </c>
      <c r="E23">
        <v>2.21</v>
      </c>
      <c r="F23">
        <v>60.79</v>
      </c>
      <c r="G23">
        <v>45</v>
      </c>
      <c r="H23">
        <v>18</v>
      </c>
      <c r="I23">
        <v>68</v>
      </c>
      <c r="J23">
        <v>4255300</v>
      </c>
      <c r="K23">
        <v>0.63900000000000001</v>
      </c>
    </row>
    <row r="24" spans="1:11">
      <c r="A24" t="s">
        <v>1112</v>
      </c>
      <c r="B24">
        <v>20270630</v>
      </c>
      <c r="C24" t="s">
        <v>611</v>
      </c>
      <c r="D24">
        <v>50</v>
      </c>
      <c r="E24">
        <v>1.75</v>
      </c>
      <c r="F24">
        <v>48.25</v>
      </c>
      <c r="G24">
        <v>38</v>
      </c>
      <c r="H24">
        <v>12</v>
      </c>
      <c r="I24">
        <v>54</v>
      </c>
      <c r="J24">
        <v>3457916.67</v>
      </c>
      <c r="K24">
        <v>0.63900000000000001</v>
      </c>
    </row>
    <row r="25" spans="1:11">
      <c r="A25" t="s">
        <v>1113</v>
      </c>
      <c r="B25">
        <v>20270630</v>
      </c>
      <c r="C25" t="s">
        <v>616</v>
      </c>
      <c r="D25">
        <v>87</v>
      </c>
      <c r="E25">
        <v>3.05</v>
      </c>
      <c r="F25">
        <v>83.95</v>
      </c>
      <c r="G25">
        <v>67</v>
      </c>
      <c r="H25">
        <v>20</v>
      </c>
      <c r="I25">
        <v>94</v>
      </c>
      <c r="J25">
        <v>6226291.6699999999</v>
      </c>
      <c r="K25">
        <v>0.63900000000000001</v>
      </c>
    </row>
    <row r="26" spans="1:11">
      <c r="A26" t="s">
        <v>1114</v>
      </c>
      <c r="B26">
        <v>20270731</v>
      </c>
      <c r="C26" t="s">
        <v>600</v>
      </c>
      <c r="D26">
        <v>30</v>
      </c>
      <c r="E26">
        <v>1.05</v>
      </c>
      <c r="F26">
        <v>28.95</v>
      </c>
      <c r="G26">
        <v>5</v>
      </c>
      <c r="H26">
        <v>25</v>
      </c>
      <c r="I26">
        <v>32</v>
      </c>
      <c r="J26">
        <v>1737000</v>
      </c>
      <c r="K26">
        <v>0.63900000000000001</v>
      </c>
    </row>
    <row r="27" spans="1:11">
      <c r="A27" t="s">
        <v>1115</v>
      </c>
      <c r="B27">
        <v>20270731</v>
      </c>
      <c r="C27" t="s">
        <v>606</v>
      </c>
      <c r="D27">
        <v>63</v>
      </c>
      <c r="E27">
        <v>2.21</v>
      </c>
      <c r="F27">
        <v>60.79</v>
      </c>
      <c r="G27">
        <v>45</v>
      </c>
      <c r="H27">
        <v>18</v>
      </c>
      <c r="I27">
        <v>68</v>
      </c>
      <c r="J27">
        <v>4255300</v>
      </c>
      <c r="K27">
        <v>0.63900000000000001</v>
      </c>
    </row>
    <row r="28" spans="1:11">
      <c r="A28" t="s">
        <v>1116</v>
      </c>
      <c r="B28">
        <v>20270731</v>
      </c>
      <c r="C28" t="s">
        <v>611</v>
      </c>
      <c r="D28">
        <v>50</v>
      </c>
      <c r="E28">
        <v>1.75</v>
      </c>
      <c r="F28">
        <v>48.25</v>
      </c>
      <c r="G28">
        <v>38</v>
      </c>
      <c r="H28">
        <v>12</v>
      </c>
      <c r="I28">
        <v>54</v>
      </c>
      <c r="J28">
        <v>3457916.67</v>
      </c>
      <c r="K28">
        <v>0.63900000000000001</v>
      </c>
    </row>
    <row r="29" spans="1:11">
      <c r="A29" t="s">
        <v>1117</v>
      </c>
      <c r="B29">
        <v>20270731</v>
      </c>
      <c r="C29" t="s">
        <v>616</v>
      </c>
      <c r="D29">
        <v>87</v>
      </c>
      <c r="E29">
        <v>3.05</v>
      </c>
      <c r="F29">
        <v>83.95</v>
      </c>
      <c r="G29">
        <v>67</v>
      </c>
      <c r="H29">
        <v>20</v>
      </c>
      <c r="I29">
        <v>94</v>
      </c>
      <c r="J29">
        <v>6226291.6699999999</v>
      </c>
      <c r="K29">
        <v>0.63900000000000001</v>
      </c>
    </row>
    <row r="30" spans="1:11">
      <c r="A30" t="s">
        <v>1118</v>
      </c>
      <c r="B30">
        <v>20270831</v>
      </c>
      <c r="C30" t="s">
        <v>600</v>
      </c>
      <c r="D30">
        <v>30</v>
      </c>
      <c r="E30">
        <v>1.05</v>
      </c>
      <c r="F30">
        <v>28.95</v>
      </c>
      <c r="G30">
        <v>5</v>
      </c>
      <c r="H30">
        <v>25</v>
      </c>
      <c r="I30">
        <v>32</v>
      </c>
      <c r="J30">
        <v>1737000</v>
      </c>
      <c r="K30">
        <v>0.63900000000000001</v>
      </c>
    </row>
    <row r="31" spans="1:11">
      <c r="A31" t="s">
        <v>1119</v>
      </c>
      <c r="B31">
        <v>20270831</v>
      </c>
      <c r="C31" t="s">
        <v>606</v>
      </c>
      <c r="D31">
        <v>63</v>
      </c>
      <c r="E31">
        <v>2.21</v>
      </c>
      <c r="F31">
        <v>60.79</v>
      </c>
      <c r="G31">
        <v>45</v>
      </c>
      <c r="H31">
        <v>18</v>
      </c>
      <c r="I31">
        <v>68</v>
      </c>
      <c r="J31">
        <v>4255300</v>
      </c>
      <c r="K31">
        <v>0.63900000000000001</v>
      </c>
    </row>
    <row r="32" spans="1:11">
      <c r="A32" t="s">
        <v>1120</v>
      </c>
      <c r="B32">
        <v>20270831</v>
      </c>
      <c r="C32" t="s">
        <v>611</v>
      </c>
      <c r="D32">
        <v>50</v>
      </c>
      <c r="E32">
        <v>1.75</v>
      </c>
      <c r="F32">
        <v>48.25</v>
      </c>
      <c r="G32">
        <v>38</v>
      </c>
      <c r="H32">
        <v>12</v>
      </c>
      <c r="I32">
        <v>54</v>
      </c>
      <c r="J32">
        <v>3457916.67</v>
      </c>
      <c r="K32">
        <v>0.63900000000000001</v>
      </c>
    </row>
    <row r="33" spans="1:11">
      <c r="A33" t="s">
        <v>1121</v>
      </c>
      <c r="B33">
        <v>20270831</v>
      </c>
      <c r="C33" t="s">
        <v>616</v>
      </c>
      <c r="D33">
        <v>87</v>
      </c>
      <c r="E33">
        <v>3.05</v>
      </c>
      <c r="F33">
        <v>83.95</v>
      </c>
      <c r="G33">
        <v>67</v>
      </c>
      <c r="H33">
        <v>20</v>
      </c>
      <c r="I33">
        <v>94</v>
      </c>
      <c r="J33">
        <v>6226291.6699999999</v>
      </c>
      <c r="K33">
        <v>0.63900000000000001</v>
      </c>
    </row>
    <row r="34" spans="1:11">
      <c r="A34" t="s">
        <v>1122</v>
      </c>
      <c r="B34">
        <v>20270930</v>
      </c>
      <c r="C34" t="s">
        <v>600</v>
      </c>
      <c r="D34">
        <v>30</v>
      </c>
      <c r="E34">
        <v>1.05</v>
      </c>
      <c r="F34">
        <v>28.95</v>
      </c>
      <c r="G34">
        <v>5</v>
      </c>
      <c r="H34">
        <v>25</v>
      </c>
      <c r="I34">
        <v>32</v>
      </c>
      <c r="J34">
        <v>1737000</v>
      </c>
      <c r="K34">
        <v>0.63900000000000001</v>
      </c>
    </row>
    <row r="35" spans="1:11">
      <c r="A35" t="s">
        <v>1123</v>
      </c>
      <c r="B35">
        <v>20270930</v>
      </c>
      <c r="C35" t="s">
        <v>606</v>
      </c>
      <c r="D35">
        <v>63</v>
      </c>
      <c r="E35">
        <v>2.21</v>
      </c>
      <c r="F35">
        <v>60.79</v>
      </c>
      <c r="G35">
        <v>45</v>
      </c>
      <c r="H35">
        <v>18</v>
      </c>
      <c r="I35">
        <v>68</v>
      </c>
      <c r="J35">
        <v>4255300</v>
      </c>
      <c r="K35">
        <v>0.63900000000000001</v>
      </c>
    </row>
    <row r="36" spans="1:11">
      <c r="A36" t="s">
        <v>1124</v>
      </c>
      <c r="B36">
        <v>20270930</v>
      </c>
      <c r="C36" t="s">
        <v>611</v>
      </c>
      <c r="D36">
        <v>50</v>
      </c>
      <c r="E36">
        <v>1.75</v>
      </c>
      <c r="F36">
        <v>48.25</v>
      </c>
      <c r="G36">
        <v>38</v>
      </c>
      <c r="H36">
        <v>12</v>
      </c>
      <c r="I36">
        <v>54</v>
      </c>
      <c r="J36">
        <v>3457916.67</v>
      </c>
      <c r="K36">
        <v>0.63900000000000001</v>
      </c>
    </row>
    <row r="37" spans="1:11">
      <c r="A37" t="s">
        <v>1125</v>
      </c>
      <c r="B37">
        <v>20270930</v>
      </c>
      <c r="C37" t="s">
        <v>616</v>
      </c>
      <c r="D37">
        <v>87</v>
      </c>
      <c r="E37">
        <v>3.05</v>
      </c>
      <c r="F37">
        <v>83.95</v>
      </c>
      <c r="G37">
        <v>67</v>
      </c>
      <c r="H37">
        <v>20</v>
      </c>
      <c r="I37">
        <v>94</v>
      </c>
      <c r="J37">
        <v>6226291.6699999999</v>
      </c>
      <c r="K37">
        <v>0.63900000000000001</v>
      </c>
    </row>
    <row r="38" spans="1:11">
      <c r="A38" t="s">
        <v>1126</v>
      </c>
      <c r="B38">
        <v>20271031</v>
      </c>
      <c r="C38" t="s">
        <v>600</v>
      </c>
      <c r="D38">
        <v>30</v>
      </c>
      <c r="E38">
        <v>1.05</v>
      </c>
      <c r="F38">
        <v>28.95</v>
      </c>
      <c r="G38">
        <v>5</v>
      </c>
      <c r="H38">
        <v>25</v>
      </c>
      <c r="I38">
        <v>32</v>
      </c>
      <c r="J38">
        <v>1737000</v>
      </c>
      <c r="K38">
        <v>0.63900000000000001</v>
      </c>
    </row>
    <row r="39" spans="1:11">
      <c r="A39" t="s">
        <v>1127</v>
      </c>
      <c r="B39">
        <v>20271031</v>
      </c>
      <c r="C39" t="s">
        <v>606</v>
      </c>
      <c r="D39">
        <v>63</v>
      </c>
      <c r="E39">
        <v>2.21</v>
      </c>
      <c r="F39">
        <v>60.79</v>
      </c>
      <c r="G39">
        <v>45</v>
      </c>
      <c r="H39">
        <v>18</v>
      </c>
      <c r="I39">
        <v>68</v>
      </c>
      <c r="J39">
        <v>4255300</v>
      </c>
      <c r="K39">
        <v>0.63900000000000001</v>
      </c>
    </row>
    <row r="40" spans="1:11">
      <c r="A40" t="s">
        <v>1128</v>
      </c>
      <c r="B40">
        <v>20271031</v>
      </c>
      <c r="C40" t="s">
        <v>611</v>
      </c>
      <c r="D40">
        <v>50</v>
      </c>
      <c r="E40">
        <v>1.75</v>
      </c>
      <c r="F40">
        <v>48.25</v>
      </c>
      <c r="G40">
        <v>38</v>
      </c>
      <c r="H40">
        <v>12</v>
      </c>
      <c r="I40">
        <v>54</v>
      </c>
      <c r="J40">
        <v>3457916.67</v>
      </c>
      <c r="K40">
        <v>0.63900000000000001</v>
      </c>
    </row>
    <row r="41" spans="1:11">
      <c r="A41" t="s">
        <v>1129</v>
      </c>
      <c r="B41">
        <v>20271031</v>
      </c>
      <c r="C41" t="s">
        <v>616</v>
      </c>
      <c r="D41">
        <v>87</v>
      </c>
      <c r="E41">
        <v>3.05</v>
      </c>
      <c r="F41">
        <v>83.95</v>
      </c>
      <c r="G41">
        <v>67</v>
      </c>
      <c r="H41">
        <v>20</v>
      </c>
      <c r="I41">
        <v>94</v>
      </c>
      <c r="J41">
        <v>6226291.6699999999</v>
      </c>
      <c r="K41">
        <v>0.63900000000000001</v>
      </c>
    </row>
    <row r="42" spans="1:11">
      <c r="A42" t="s">
        <v>1130</v>
      </c>
      <c r="B42">
        <v>20271130</v>
      </c>
      <c r="C42" t="s">
        <v>600</v>
      </c>
      <c r="D42">
        <v>30</v>
      </c>
      <c r="E42">
        <v>1.05</v>
      </c>
      <c r="F42">
        <v>28.95</v>
      </c>
      <c r="G42">
        <v>5</v>
      </c>
      <c r="H42">
        <v>25</v>
      </c>
      <c r="I42">
        <v>32</v>
      </c>
      <c r="J42">
        <v>1737000</v>
      </c>
      <c r="K42">
        <v>0.63900000000000001</v>
      </c>
    </row>
    <row r="43" spans="1:11">
      <c r="A43" t="s">
        <v>1131</v>
      </c>
      <c r="B43">
        <v>20271130</v>
      </c>
      <c r="C43" t="s">
        <v>606</v>
      </c>
      <c r="D43">
        <v>63</v>
      </c>
      <c r="E43">
        <v>2.21</v>
      </c>
      <c r="F43">
        <v>60.79</v>
      </c>
      <c r="G43">
        <v>45</v>
      </c>
      <c r="H43">
        <v>18</v>
      </c>
      <c r="I43">
        <v>68</v>
      </c>
      <c r="J43">
        <v>4255300</v>
      </c>
      <c r="K43">
        <v>0.63900000000000001</v>
      </c>
    </row>
    <row r="44" spans="1:11">
      <c r="A44" t="s">
        <v>1132</v>
      </c>
      <c r="B44">
        <v>20271130</v>
      </c>
      <c r="C44" t="s">
        <v>611</v>
      </c>
      <c r="D44">
        <v>50</v>
      </c>
      <c r="E44">
        <v>1.75</v>
      </c>
      <c r="F44">
        <v>48.25</v>
      </c>
      <c r="G44">
        <v>38</v>
      </c>
      <c r="H44">
        <v>12</v>
      </c>
      <c r="I44">
        <v>54</v>
      </c>
      <c r="J44">
        <v>3457916.67</v>
      </c>
      <c r="K44">
        <v>0.63900000000000001</v>
      </c>
    </row>
    <row r="45" spans="1:11">
      <c r="A45" t="s">
        <v>1133</v>
      </c>
      <c r="B45">
        <v>20271130</v>
      </c>
      <c r="C45" t="s">
        <v>616</v>
      </c>
      <c r="D45">
        <v>87</v>
      </c>
      <c r="E45">
        <v>3.05</v>
      </c>
      <c r="F45">
        <v>83.95</v>
      </c>
      <c r="G45">
        <v>67</v>
      </c>
      <c r="H45">
        <v>20</v>
      </c>
      <c r="I45">
        <v>94</v>
      </c>
      <c r="J45">
        <v>6226291.6699999999</v>
      </c>
      <c r="K45">
        <v>0.63900000000000001</v>
      </c>
    </row>
    <row r="46" spans="1:11">
      <c r="A46" t="s">
        <v>1134</v>
      </c>
      <c r="B46">
        <v>20271231</v>
      </c>
      <c r="C46" t="s">
        <v>600</v>
      </c>
      <c r="D46">
        <v>30</v>
      </c>
      <c r="E46">
        <v>1.05</v>
      </c>
      <c r="F46">
        <v>28.95</v>
      </c>
      <c r="G46">
        <v>5</v>
      </c>
      <c r="H46">
        <v>25</v>
      </c>
      <c r="I46">
        <v>32</v>
      </c>
      <c r="J46">
        <v>1737000</v>
      </c>
      <c r="K46">
        <v>0.63900000000000001</v>
      </c>
    </row>
    <row r="47" spans="1:11">
      <c r="A47" t="s">
        <v>1135</v>
      </c>
      <c r="B47">
        <v>20271231</v>
      </c>
      <c r="C47" t="s">
        <v>606</v>
      </c>
      <c r="D47">
        <v>63</v>
      </c>
      <c r="E47">
        <v>2.21</v>
      </c>
      <c r="F47">
        <v>60.79</v>
      </c>
      <c r="G47">
        <v>45</v>
      </c>
      <c r="H47">
        <v>18</v>
      </c>
      <c r="I47">
        <v>68</v>
      </c>
      <c r="J47">
        <v>4255300</v>
      </c>
      <c r="K47">
        <v>0.63900000000000001</v>
      </c>
    </row>
    <row r="48" spans="1:11">
      <c r="A48" t="s">
        <v>1136</v>
      </c>
      <c r="B48">
        <v>20271231</v>
      </c>
      <c r="C48" t="s">
        <v>611</v>
      </c>
      <c r="D48">
        <v>50</v>
      </c>
      <c r="E48">
        <v>1.75</v>
      </c>
      <c r="F48">
        <v>48.25</v>
      </c>
      <c r="G48">
        <v>38</v>
      </c>
      <c r="H48">
        <v>12</v>
      </c>
      <c r="I48">
        <v>54</v>
      </c>
      <c r="J48">
        <v>3457916.67</v>
      </c>
      <c r="K48">
        <v>0.63900000000000001</v>
      </c>
    </row>
    <row r="49" spans="1:11">
      <c r="A49" t="s">
        <v>1137</v>
      </c>
      <c r="B49">
        <v>20271231</v>
      </c>
      <c r="C49" t="s">
        <v>616</v>
      </c>
      <c r="D49">
        <v>87</v>
      </c>
      <c r="E49">
        <v>3.05</v>
      </c>
      <c r="F49">
        <v>83.95</v>
      </c>
      <c r="G49">
        <v>67</v>
      </c>
      <c r="H49">
        <v>20</v>
      </c>
      <c r="I49">
        <v>94</v>
      </c>
      <c r="J49">
        <v>6226291.6699999999</v>
      </c>
      <c r="K49">
        <v>0.63900000000000001</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B118-66F0-4499-8FFB-32F9436937E8}">
  <dimension ref="A1:L13"/>
  <sheetViews>
    <sheetView workbookViewId="0">
      <selection sqref="A1:A148"/>
    </sheetView>
  </sheetViews>
  <sheetFormatPr defaultRowHeight="14.5"/>
  <cols>
    <col min="1" max="1" width="25.26953125" bestFit="1" customWidth="1"/>
    <col min="2" max="2" width="13.36328125" bestFit="1" customWidth="1"/>
    <col min="3" max="3" width="10.6328125" bestFit="1" customWidth="1"/>
    <col min="4" max="4" width="30.36328125" bestFit="1" customWidth="1"/>
    <col min="5" max="5" width="21.81640625" bestFit="1" customWidth="1"/>
    <col min="6" max="6" width="21.54296875" bestFit="1" customWidth="1"/>
    <col min="7" max="7" width="18.90625" bestFit="1" customWidth="1"/>
    <col min="8" max="8" width="8.453125" bestFit="1" customWidth="1"/>
    <col min="9" max="9" width="12.81640625" bestFit="1" customWidth="1"/>
    <col min="10" max="10" width="14" bestFit="1" customWidth="1"/>
    <col min="11" max="11" width="25.7265625" bestFit="1" customWidth="1"/>
    <col min="12" max="12" width="17.54296875" bestFit="1" customWidth="1"/>
  </cols>
  <sheetData>
    <row r="1" spans="1:12">
      <c r="A1" t="s">
        <v>1138</v>
      </c>
      <c r="B1" t="s">
        <v>926</v>
      </c>
      <c r="C1" t="s">
        <v>991</v>
      </c>
      <c r="D1" t="s">
        <v>1139</v>
      </c>
      <c r="E1" t="s">
        <v>1140</v>
      </c>
      <c r="F1" t="s">
        <v>1141</v>
      </c>
      <c r="G1" t="s">
        <v>1142</v>
      </c>
      <c r="H1" t="s">
        <v>1143</v>
      </c>
      <c r="I1" t="s">
        <v>1144</v>
      </c>
      <c r="J1" t="s">
        <v>1145</v>
      </c>
      <c r="K1" t="s">
        <v>1146</v>
      </c>
      <c r="L1" t="s">
        <v>1147</v>
      </c>
    </row>
    <row r="2" spans="1:12">
      <c r="A2" t="s">
        <v>1148</v>
      </c>
      <c r="B2">
        <v>20270131</v>
      </c>
      <c r="C2" t="s">
        <v>606</v>
      </c>
      <c r="D2" t="s">
        <v>1149</v>
      </c>
      <c r="E2">
        <v>1150</v>
      </c>
      <c r="F2">
        <v>1040</v>
      </c>
      <c r="G2">
        <v>10</v>
      </c>
      <c r="H2">
        <v>1050</v>
      </c>
      <c r="I2" t="s">
        <v>1150</v>
      </c>
      <c r="J2">
        <v>54550</v>
      </c>
      <c r="K2">
        <v>545500</v>
      </c>
      <c r="L2">
        <v>25.6</v>
      </c>
    </row>
    <row r="3" spans="1:12">
      <c r="A3" t="s">
        <v>1151</v>
      </c>
      <c r="B3">
        <v>20270131</v>
      </c>
      <c r="C3" t="s">
        <v>611</v>
      </c>
      <c r="D3" t="s">
        <v>1152</v>
      </c>
      <c r="E3">
        <v>850</v>
      </c>
      <c r="F3">
        <v>780</v>
      </c>
      <c r="G3">
        <v>8</v>
      </c>
      <c r="H3">
        <v>788</v>
      </c>
      <c r="I3" t="s">
        <v>1150</v>
      </c>
      <c r="J3">
        <v>54550</v>
      </c>
      <c r="K3">
        <v>436400</v>
      </c>
      <c r="L3">
        <v>22.4</v>
      </c>
    </row>
    <row r="4" spans="1:12">
      <c r="A4" t="s">
        <v>1153</v>
      </c>
      <c r="B4">
        <v>20270131</v>
      </c>
      <c r="C4" t="s">
        <v>616</v>
      </c>
      <c r="D4" t="s">
        <v>1154</v>
      </c>
      <c r="E4">
        <v>1450</v>
      </c>
      <c r="F4">
        <v>1300</v>
      </c>
      <c r="G4">
        <v>15</v>
      </c>
      <c r="H4">
        <v>1315</v>
      </c>
      <c r="I4" t="s">
        <v>1150</v>
      </c>
      <c r="J4">
        <v>54550</v>
      </c>
      <c r="K4">
        <v>818250</v>
      </c>
      <c r="L4">
        <v>21.6</v>
      </c>
    </row>
    <row r="5" spans="1:12">
      <c r="A5" t="s">
        <v>1155</v>
      </c>
      <c r="B5">
        <v>20270430</v>
      </c>
      <c r="C5" t="s">
        <v>606</v>
      </c>
      <c r="D5" t="s">
        <v>1149</v>
      </c>
      <c r="E5">
        <v>1150</v>
      </c>
      <c r="F5">
        <v>1040</v>
      </c>
      <c r="G5">
        <v>10</v>
      </c>
      <c r="H5">
        <v>1050</v>
      </c>
      <c r="I5" t="s">
        <v>1150</v>
      </c>
      <c r="J5">
        <v>54550</v>
      </c>
      <c r="K5">
        <v>545500</v>
      </c>
      <c r="L5">
        <v>25.6</v>
      </c>
    </row>
    <row r="6" spans="1:12">
      <c r="A6" t="s">
        <v>1156</v>
      </c>
      <c r="B6">
        <v>20270430</v>
      </c>
      <c r="C6" t="s">
        <v>611</v>
      </c>
      <c r="D6" t="s">
        <v>1152</v>
      </c>
      <c r="E6">
        <v>850</v>
      </c>
      <c r="F6">
        <v>780</v>
      </c>
      <c r="G6">
        <v>8</v>
      </c>
      <c r="H6">
        <v>788</v>
      </c>
      <c r="I6" t="s">
        <v>1150</v>
      </c>
      <c r="J6">
        <v>54550</v>
      </c>
      <c r="K6">
        <v>436400</v>
      </c>
      <c r="L6">
        <v>22.4</v>
      </c>
    </row>
    <row r="7" spans="1:12">
      <c r="A7" t="s">
        <v>1157</v>
      </c>
      <c r="B7">
        <v>20270430</v>
      </c>
      <c r="C7" t="s">
        <v>616</v>
      </c>
      <c r="D7" t="s">
        <v>1154</v>
      </c>
      <c r="E7">
        <v>1450</v>
      </c>
      <c r="F7">
        <v>1300</v>
      </c>
      <c r="G7">
        <v>15</v>
      </c>
      <c r="H7">
        <v>1315</v>
      </c>
      <c r="I7" t="s">
        <v>1150</v>
      </c>
      <c r="J7">
        <v>54550</v>
      </c>
      <c r="K7">
        <v>818250</v>
      </c>
      <c r="L7">
        <v>21.6</v>
      </c>
    </row>
    <row r="8" spans="1:12">
      <c r="A8" t="s">
        <v>1158</v>
      </c>
      <c r="B8">
        <v>20270731</v>
      </c>
      <c r="C8" t="s">
        <v>606</v>
      </c>
      <c r="D8" t="s">
        <v>1149</v>
      </c>
      <c r="E8">
        <v>1150</v>
      </c>
      <c r="F8">
        <v>1040</v>
      </c>
      <c r="G8">
        <v>10</v>
      </c>
      <c r="H8">
        <v>1050</v>
      </c>
      <c r="I8" t="s">
        <v>1150</v>
      </c>
      <c r="J8">
        <v>54550</v>
      </c>
      <c r="K8">
        <v>545500</v>
      </c>
      <c r="L8">
        <v>25.6</v>
      </c>
    </row>
    <row r="9" spans="1:12">
      <c r="A9" t="s">
        <v>1159</v>
      </c>
      <c r="B9">
        <v>20270731</v>
      </c>
      <c r="C9" t="s">
        <v>611</v>
      </c>
      <c r="D9" t="s">
        <v>1152</v>
      </c>
      <c r="E9">
        <v>850</v>
      </c>
      <c r="F9">
        <v>780</v>
      </c>
      <c r="G9">
        <v>8</v>
      </c>
      <c r="H9">
        <v>788</v>
      </c>
      <c r="I9" t="s">
        <v>1150</v>
      </c>
      <c r="J9">
        <v>54550</v>
      </c>
      <c r="K9">
        <v>436400</v>
      </c>
      <c r="L9">
        <v>22.4</v>
      </c>
    </row>
    <row r="10" spans="1:12">
      <c r="A10" t="s">
        <v>1160</v>
      </c>
      <c r="B10">
        <v>20270731</v>
      </c>
      <c r="C10" t="s">
        <v>616</v>
      </c>
      <c r="D10" t="s">
        <v>1154</v>
      </c>
      <c r="E10">
        <v>1450</v>
      </c>
      <c r="F10">
        <v>1300</v>
      </c>
      <c r="G10">
        <v>15</v>
      </c>
      <c r="H10">
        <v>1315</v>
      </c>
      <c r="I10" t="s">
        <v>1150</v>
      </c>
      <c r="J10">
        <v>54550</v>
      </c>
      <c r="K10">
        <v>818250</v>
      </c>
      <c r="L10">
        <v>21.6</v>
      </c>
    </row>
    <row r="11" spans="1:12">
      <c r="A11" t="s">
        <v>1161</v>
      </c>
      <c r="B11">
        <v>20271031</v>
      </c>
      <c r="C11" t="s">
        <v>606</v>
      </c>
      <c r="D11" t="s">
        <v>1149</v>
      </c>
      <c r="E11">
        <v>1150</v>
      </c>
      <c r="F11">
        <v>1040</v>
      </c>
      <c r="G11">
        <v>10</v>
      </c>
      <c r="H11">
        <v>1050</v>
      </c>
      <c r="I11" t="s">
        <v>1150</v>
      </c>
      <c r="J11">
        <v>54550</v>
      </c>
      <c r="K11">
        <v>545500</v>
      </c>
      <c r="L11">
        <v>25.6</v>
      </c>
    </row>
    <row r="12" spans="1:12">
      <c r="A12" t="s">
        <v>1162</v>
      </c>
      <c r="B12">
        <v>20271031</v>
      </c>
      <c r="C12" t="s">
        <v>611</v>
      </c>
      <c r="D12" t="s">
        <v>1152</v>
      </c>
      <c r="E12">
        <v>850</v>
      </c>
      <c r="F12">
        <v>780</v>
      </c>
      <c r="G12">
        <v>8</v>
      </c>
      <c r="H12">
        <v>788</v>
      </c>
      <c r="I12" t="s">
        <v>1150</v>
      </c>
      <c r="J12">
        <v>54550</v>
      </c>
      <c r="K12">
        <v>436400</v>
      </c>
      <c r="L12">
        <v>22.4</v>
      </c>
    </row>
    <row r="13" spans="1:12">
      <c r="A13" t="s">
        <v>1163</v>
      </c>
      <c r="B13">
        <v>20271031</v>
      </c>
      <c r="C13" t="s">
        <v>616</v>
      </c>
      <c r="D13" t="s">
        <v>1154</v>
      </c>
      <c r="E13">
        <v>1450</v>
      </c>
      <c r="F13">
        <v>1300</v>
      </c>
      <c r="G13">
        <v>15</v>
      </c>
      <c r="H13">
        <v>1315</v>
      </c>
      <c r="I13" t="s">
        <v>1150</v>
      </c>
      <c r="J13">
        <v>54550</v>
      </c>
      <c r="K13">
        <v>818250</v>
      </c>
      <c r="L13">
        <v>21.6</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AD05-2E68-419A-8CA2-69BE90DFC5B9}">
  <dimension ref="A1:L13"/>
  <sheetViews>
    <sheetView workbookViewId="0">
      <selection sqref="A1:A148"/>
    </sheetView>
  </sheetViews>
  <sheetFormatPr defaultRowHeight="14.5"/>
  <cols>
    <col min="1" max="1" width="25.26953125" bestFit="1" customWidth="1"/>
    <col min="2" max="2" width="13.36328125" bestFit="1" customWidth="1"/>
    <col min="3" max="3" width="10.6328125" bestFit="1" customWidth="1"/>
    <col min="4" max="4" width="30.36328125" bestFit="1" customWidth="1"/>
    <col min="5" max="5" width="21.81640625" bestFit="1" customWidth="1"/>
    <col min="6" max="6" width="21.54296875" bestFit="1" customWidth="1"/>
    <col min="7" max="7" width="18.90625" bestFit="1" customWidth="1"/>
    <col min="8" max="8" width="8.453125" bestFit="1" customWidth="1"/>
    <col min="9" max="9" width="12.81640625" bestFit="1" customWidth="1"/>
    <col min="10" max="10" width="14" bestFit="1" customWidth="1"/>
    <col min="11" max="11" width="25.7265625" bestFit="1" customWidth="1"/>
    <col min="12" max="12" width="17.54296875" bestFit="1" customWidth="1"/>
  </cols>
  <sheetData>
    <row r="1" spans="1:12">
      <c r="A1" t="s">
        <v>1138</v>
      </c>
      <c r="B1" t="s">
        <v>926</v>
      </c>
      <c r="C1" t="s">
        <v>991</v>
      </c>
      <c r="D1" t="s">
        <v>1139</v>
      </c>
      <c r="E1" t="s">
        <v>1140</v>
      </c>
      <c r="F1" t="s">
        <v>1141</v>
      </c>
      <c r="G1" t="s">
        <v>1142</v>
      </c>
      <c r="H1" t="s">
        <v>1143</v>
      </c>
      <c r="I1" t="s">
        <v>1144</v>
      </c>
      <c r="J1" t="s">
        <v>1145</v>
      </c>
      <c r="K1" t="s">
        <v>1146</v>
      </c>
      <c r="L1" t="s">
        <v>1147</v>
      </c>
    </row>
    <row r="2" spans="1:12">
      <c r="A2" t="s">
        <v>1148</v>
      </c>
      <c r="B2">
        <v>20270131</v>
      </c>
      <c r="C2" t="s">
        <v>606</v>
      </c>
      <c r="D2" t="s">
        <v>1149</v>
      </c>
      <c r="E2">
        <v>1150</v>
      </c>
      <c r="F2">
        <v>1040</v>
      </c>
      <c r="G2">
        <v>10</v>
      </c>
      <c r="H2">
        <v>1050</v>
      </c>
      <c r="I2" t="s">
        <v>1150</v>
      </c>
      <c r="J2">
        <v>54550</v>
      </c>
      <c r="K2">
        <v>545500</v>
      </c>
      <c r="L2">
        <v>25.6</v>
      </c>
    </row>
    <row r="3" spans="1:12">
      <c r="A3" t="s">
        <v>1151</v>
      </c>
      <c r="B3">
        <v>20270131</v>
      </c>
      <c r="C3" t="s">
        <v>611</v>
      </c>
      <c r="D3" t="s">
        <v>1152</v>
      </c>
      <c r="E3">
        <v>850</v>
      </c>
      <c r="F3">
        <v>780</v>
      </c>
      <c r="G3">
        <v>8</v>
      </c>
      <c r="H3">
        <v>788</v>
      </c>
      <c r="I3" t="s">
        <v>1150</v>
      </c>
      <c r="J3">
        <v>54550</v>
      </c>
      <c r="K3">
        <v>436400</v>
      </c>
      <c r="L3">
        <v>22.4</v>
      </c>
    </row>
    <row r="4" spans="1:12">
      <c r="A4" t="s">
        <v>1153</v>
      </c>
      <c r="B4">
        <v>20270131</v>
      </c>
      <c r="C4" t="s">
        <v>616</v>
      </c>
      <c r="D4" t="s">
        <v>1154</v>
      </c>
      <c r="E4">
        <v>1450</v>
      </c>
      <c r="F4">
        <v>1300</v>
      </c>
      <c r="G4">
        <v>15</v>
      </c>
      <c r="H4">
        <v>1315</v>
      </c>
      <c r="I4" t="s">
        <v>1150</v>
      </c>
      <c r="J4">
        <v>54550</v>
      </c>
      <c r="K4">
        <v>818250</v>
      </c>
      <c r="L4">
        <v>21.6</v>
      </c>
    </row>
    <row r="5" spans="1:12">
      <c r="A5" t="s">
        <v>1155</v>
      </c>
      <c r="B5">
        <v>20270430</v>
      </c>
      <c r="C5" t="s">
        <v>606</v>
      </c>
      <c r="D5" t="s">
        <v>1149</v>
      </c>
      <c r="E5">
        <v>1150</v>
      </c>
      <c r="F5">
        <v>1040</v>
      </c>
      <c r="G5">
        <v>10</v>
      </c>
      <c r="H5">
        <v>1050</v>
      </c>
      <c r="I5" t="s">
        <v>1150</v>
      </c>
      <c r="J5">
        <v>54550</v>
      </c>
      <c r="K5">
        <v>545500</v>
      </c>
      <c r="L5">
        <v>25.6</v>
      </c>
    </row>
    <row r="6" spans="1:12">
      <c r="A6" t="s">
        <v>1156</v>
      </c>
      <c r="B6">
        <v>20270430</v>
      </c>
      <c r="C6" t="s">
        <v>611</v>
      </c>
      <c r="D6" t="s">
        <v>1152</v>
      </c>
      <c r="E6">
        <v>850</v>
      </c>
      <c r="F6">
        <v>780</v>
      </c>
      <c r="G6">
        <v>8</v>
      </c>
      <c r="H6">
        <v>788</v>
      </c>
      <c r="I6" t="s">
        <v>1150</v>
      </c>
      <c r="J6">
        <v>54550</v>
      </c>
      <c r="K6">
        <v>436400</v>
      </c>
      <c r="L6">
        <v>22.4</v>
      </c>
    </row>
    <row r="7" spans="1:12">
      <c r="A7" t="s">
        <v>1157</v>
      </c>
      <c r="B7">
        <v>20270430</v>
      </c>
      <c r="C7" t="s">
        <v>616</v>
      </c>
      <c r="D7" t="s">
        <v>1154</v>
      </c>
      <c r="E7">
        <v>1450</v>
      </c>
      <c r="F7">
        <v>1300</v>
      </c>
      <c r="G7">
        <v>15</v>
      </c>
      <c r="H7">
        <v>1315</v>
      </c>
      <c r="I7" t="s">
        <v>1150</v>
      </c>
      <c r="J7">
        <v>54550</v>
      </c>
      <c r="K7">
        <v>818250</v>
      </c>
      <c r="L7">
        <v>21.6</v>
      </c>
    </row>
    <row r="8" spans="1:12">
      <c r="A8" t="s">
        <v>1158</v>
      </c>
      <c r="B8">
        <v>20270731</v>
      </c>
      <c r="C8" t="s">
        <v>606</v>
      </c>
      <c r="D8" t="s">
        <v>1149</v>
      </c>
      <c r="E8">
        <v>1150</v>
      </c>
      <c r="F8">
        <v>1040</v>
      </c>
      <c r="G8">
        <v>10</v>
      </c>
      <c r="H8">
        <v>1050</v>
      </c>
      <c r="I8" t="s">
        <v>1150</v>
      </c>
      <c r="J8">
        <v>54550</v>
      </c>
      <c r="K8">
        <v>545500</v>
      </c>
      <c r="L8">
        <v>25.6</v>
      </c>
    </row>
    <row r="9" spans="1:12">
      <c r="A9" t="s">
        <v>1159</v>
      </c>
      <c r="B9">
        <v>20270731</v>
      </c>
      <c r="C9" t="s">
        <v>611</v>
      </c>
      <c r="D9" t="s">
        <v>1152</v>
      </c>
      <c r="E9">
        <v>850</v>
      </c>
      <c r="F9">
        <v>780</v>
      </c>
      <c r="G9">
        <v>8</v>
      </c>
      <c r="H9">
        <v>788</v>
      </c>
      <c r="I9" t="s">
        <v>1150</v>
      </c>
      <c r="J9">
        <v>54550</v>
      </c>
      <c r="K9">
        <v>436400</v>
      </c>
      <c r="L9">
        <v>22.4</v>
      </c>
    </row>
    <row r="10" spans="1:12">
      <c r="A10" t="s">
        <v>1160</v>
      </c>
      <c r="B10">
        <v>20270731</v>
      </c>
      <c r="C10" t="s">
        <v>616</v>
      </c>
      <c r="D10" t="s">
        <v>1154</v>
      </c>
      <c r="E10">
        <v>1450</v>
      </c>
      <c r="F10">
        <v>1300</v>
      </c>
      <c r="G10">
        <v>15</v>
      </c>
      <c r="H10">
        <v>1315</v>
      </c>
      <c r="I10" t="s">
        <v>1150</v>
      </c>
      <c r="J10">
        <v>54550</v>
      </c>
      <c r="K10">
        <v>818250</v>
      </c>
      <c r="L10">
        <v>21.6</v>
      </c>
    </row>
    <row r="11" spans="1:12">
      <c r="A11" t="s">
        <v>1161</v>
      </c>
      <c r="B11">
        <v>20271031</v>
      </c>
      <c r="C11" t="s">
        <v>606</v>
      </c>
      <c r="D11" t="s">
        <v>1149</v>
      </c>
      <c r="E11">
        <v>1150</v>
      </c>
      <c r="F11">
        <v>1040</v>
      </c>
      <c r="G11">
        <v>10</v>
      </c>
      <c r="H11">
        <v>1050</v>
      </c>
      <c r="I11" t="s">
        <v>1150</v>
      </c>
      <c r="J11">
        <v>54550</v>
      </c>
      <c r="K11">
        <v>545500</v>
      </c>
      <c r="L11">
        <v>25.6</v>
      </c>
    </row>
    <row r="12" spans="1:12">
      <c r="A12" t="s">
        <v>1162</v>
      </c>
      <c r="B12">
        <v>20271031</v>
      </c>
      <c r="C12" t="s">
        <v>611</v>
      </c>
      <c r="D12" t="s">
        <v>1152</v>
      </c>
      <c r="E12">
        <v>850</v>
      </c>
      <c r="F12">
        <v>780</v>
      </c>
      <c r="G12">
        <v>8</v>
      </c>
      <c r="H12">
        <v>788</v>
      </c>
      <c r="I12" t="s">
        <v>1150</v>
      </c>
      <c r="J12">
        <v>54550</v>
      </c>
      <c r="K12">
        <v>436400</v>
      </c>
      <c r="L12">
        <v>22.4</v>
      </c>
    </row>
    <row r="13" spans="1:12">
      <c r="A13" t="s">
        <v>1163</v>
      </c>
      <c r="B13">
        <v>20271031</v>
      </c>
      <c r="C13" t="s">
        <v>616</v>
      </c>
      <c r="D13" t="s">
        <v>1154</v>
      </c>
      <c r="E13">
        <v>1450</v>
      </c>
      <c r="F13">
        <v>1300</v>
      </c>
      <c r="G13">
        <v>15</v>
      </c>
      <c r="H13">
        <v>1315</v>
      </c>
      <c r="I13" t="s">
        <v>1150</v>
      </c>
      <c r="J13">
        <v>54550</v>
      </c>
      <c r="K13">
        <v>818250</v>
      </c>
      <c r="L13">
        <v>21.6</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6570A-6EAE-4A7E-9C01-786BE7604810}">
  <dimension ref="A1:G433"/>
  <sheetViews>
    <sheetView workbookViewId="0">
      <selection sqref="A1:A148"/>
    </sheetView>
  </sheetViews>
  <sheetFormatPr defaultRowHeight="14.5"/>
  <cols>
    <col min="1" max="1" width="13.36328125" bestFit="1" customWidth="1"/>
    <col min="2" max="2" width="10.6328125" bestFit="1" customWidth="1"/>
    <col min="3" max="3" width="8.26953125" bestFit="1" customWidth="1"/>
    <col min="4" max="4" width="14.1796875" bestFit="1" customWidth="1"/>
    <col min="5" max="5" width="15.54296875" bestFit="1" customWidth="1"/>
    <col min="6" max="6" width="24" bestFit="1" customWidth="1"/>
    <col min="7" max="7" width="31.6328125" bestFit="1" customWidth="1"/>
  </cols>
  <sheetData>
    <row r="1" spans="1:7">
      <c r="A1" t="s">
        <v>926</v>
      </c>
      <c r="B1" t="s">
        <v>991</v>
      </c>
      <c r="C1" t="s">
        <v>895</v>
      </c>
      <c r="D1" t="s">
        <v>975</v>
      </c>
      <c r="E1" t="s">
        <v>1164</v>
      </c>
      <c r="F1" t="s">
        <v>1028</v>
      </c>
      <c r="G1" t="s">
        <v>1079</v>
      </c>
    </row>
    <row r="2" spans="1:7">
      <c r="A2">
        <v>202601</v>
      </c>
      <c r="B2" t="s">
        <v>600</v>
      </c>
      <c r="C2">
        <v>5000</v>
      </c>
      <c r="D2" t="s">
        <v>979</v>
      </c>
      <c r="E2">
        <v>676666</v>
      </c>
      <c r="F2" t="s">
        <v>1001</v>
      </c>
      <c r="G2" t="s">
        <v>1002</v>
      </c>
    </row>
    <row r="3" spans="1:7">
      <c r="A3">
        <v>202602</v>
      </c>
      <c r="B3" t="s">
        <v>600</v>
      </c>
      <c r="C3">
        <v>5000</v>
      </c>
      <c r="D3" t="s">
        <v>979</v>
      </c>
      <c r="E3">
        <v>676666</v>
      </c>
      <c r="F3" t="s">
        <v>1001</v>
      </c>
      <c r="G3" t="s">
        <v>1002</v>
      </c>
    </row>
    <row r="4" spans="1:7">
      <c r="A4">
        <v>202603</v>
      </c>
      <c r="B4" t="s">
        <v>600</v>
      </c>
      <c r="C4">
        <v>5000</v>
      </c>
      <c r="D4" t="s">
        <v>979</v>
      </c>
      <c r="E4">
        <v>676666</v>
      </c>
      <c r="F4" t="s">
        <v>1001</v>
      </c>
      <c r="G4" t="s">
        <v>1002</v>
      </c>
    </row>
    <row r="5" spans="1:7">
      <c r="A5">
        <v>202604</v>
      </c>
      <c r="B5" t="s">
        <v>600</v>
      </c>
      <c r="C5">
        <v>5000</v>
      </c>
      <c r="D5" t="s">
        <v>979</v>
      </c>
      <c r="E5">
        <v>676666</v>
      </c>
      <c r="F5" t="s">
        <v>1001</v>
      </c>
      <c r="G5" t="s">
        <v>1002</v>
      </c>
    </row>
    <row r="6" spans="1:7">
      <c r="A6">
        <v>202605</v>
      </c>
      <c r="B6" t="s">
        <v>600</v>
      </c>
      <c r="C6">
        <v>5000</v>
      </c>
      <c r="D6" t="s">
        <v>979</v>
      </c>
      <c r="E6">
        <v>676666</v>
      </c>
      <c r="F6" t="s">
        <v>1001</v>
      </c>
      <c r="G6" t="s">
        <v>1002</v>
      </c>
    </row>
    <row r="7" spans="1:7">
      <c r="A7">
        <v>202606</v>
      </c>
      <c r="B7" t="s">
        <v>600</v>
      </c>
      <c r="C7">
        <v>5000</v>
      </c>
      <c r="D7" t="s">
        <v>979</v>
      </c>
      <c r="E7">
        <v>676666</v>
      </c>
      <c r="F7" t="s">
        <v>1001</v>
      </c>
      <c r="G7" t="s">
        <v>1002</v>
      </c>
    </row>
    <row r="8" spans="1:7">
      <c r="A8">
        <v>202607</v>
      </c>
      <c r="B8" t="s">
        <v>600</v>
      </c>
      <c r="C8">
        <v>5000</v>
      </c>
      <c r="D8" t="s">
        <v>979</v>
      </c>
      <c r="E8">
        <v>676666</v>
      </c>
      <c r="F8" t="s">
        <v>1001</v>
      </c>
      <c r="G8" t="s">
        <v>1002</v>
      </c>
    </row>
    <row r="9" spans="1:7">
      <c r="A9">
        <v>202608</v>
      </c>
      <c r="B9" t="s">
        <v>600</v>
      </c>
      <c r="C9">
        <v>5000</v>
      </c>
      <c r="D9" t="s">
        <v>979</v>
      </c>
      <c r="E9">
        <v>676666</v>
      </c>
      <c r="F9" t="s">
        <v>1001</v>
      </c>
      <c r="G9" t="s">
        <v>1002</v>
      </c>
    </row>
    <row r="10" spans="1:7">
      <c r="A10">
        <v>202609</v>
      </c>
      <c r="B10" t="s">
        <v>600</v>
      </c>
      <c r="C10">
        <v>5000</v>
      </c>
      <c r="D10" t="s">
        <v>979</v>
      </c>
      <c r="E10">
        <v>676666</v>
      </c>
      <c r="F10" t="s">
        <v>1001</v>
      </c>
      <c r="G10" t="s">
        <v>1002</v>
      </c>
    </row>
    <row r="11" spans="1:7">
      <c r="A11">
        <v>202610</v>
      </c>
      <c r="B11" t="s">
        <v>600</v>
      </c>
      <c r="C11">
        <v>5000</v>
      </c>
      <c r="D11" t="s">
        <v>979</v>
      </c>
      <c r="E11">
        <v>676666</v>
      </c>
      <c r="F11" t="s">
        <v>1001</v>
      </c>
      <c r="G11" t="s">
        <v>1002</v>
      </c>
    </row>
    <row r="12" spans="1:7">
      <c r="A12">
        <v>202611</v>
      </c>
      <c r="B12" t="s">
        <v>600</v>
      </c>
      <c r="C12">
        <v>5000</v>
      </c>
      <c r="D12" t="s">
        <v>979</v>
      </c>
      <c r="E12">
        <v>676666</v>
      </c>
      <c r="F12" t="s">
        <v>1001</v>
      </c>
      <c r="G12" t="s">
        <v>1002</v>
      </c>
    </row>
    <row r="13" spans="1:7">
      <c r="A13">
        <v>202612</v>
      </c>
      <c r="B13" t="s">
        <v>600</v>
      </c>
      <c r="C13">
        <v>5000</v>
      </c>
      <c r="D13" t="s">
        <v>979</v>
      </c>
      <c r="E13">
        <v>676674</v>
      </c>
      <c r="F13" t="s">
        <v>1001</v>
      </c>
      <c r="G13" t="s">
        <v>1002</v>
      </c>
    </row>
    <row r="14" spans="1:7">
      <c r="A14">
        <v>202601</v>
      </c>
      <c r="B14" t="s">
        <v>600</v>
      </c>
      <c r="C14">
        <v>5080</v>
      </c>
      <c r="D14" t="s">
        <v>979</v>
      </c>
      <c r="E14">
        <v>81666</v>
      </c>
      <c r="F14" t="s">
        <v>1001</v>
      </c>
      <c r="G14" t="s">
        <v>1002</v>
      </c>
    </row>
    <row r="15" spans="1:7">
      <c r="A15">
        <v>202602</v>
      </c>
      <c r="B15" t="s">
        <v>600</v>
      </c>
      <c r="C15">
        <v>5080</v>
      </c>
      <c r="D15" t="s">
        <v>979</v>
      </c>
      <c r="E15">
        <v>81666</v>
      </c>
      <c r="F15" t="s">
        <v>1001</v>
      </c>
      <c r="G15" t="s">
        <v>1002</v>
      </c>
    </row>
    <row r="16" spans="1:7">
      <c r="A16">
        <v>202603</v>
      </c>
      <c r="B16" t="s">
        <v>600</v>
      </c>
      <c r="C16">
        <v>5080</v>
      </c>
      <c r="D16" t="s">
        <v>979</v>
      </c>
      <c r="E16">
        <v>81666</v>
      </c>
      <c r="F16" t="s">
        <v>1001</v>
      </c>
      <c r="G16" t="s">
        <v>1002</v>
      </c>
    </row>
    <row r="17" spans="1:7">
      <c r="A17">
        <v>202604</v>
      </c>
      <c r="B17" t="s">
        <v>600</v>
      </c>
      <c r="C17">
        <v>5080</v>
      </c>
      <c r="D17" t="s">
        <v>979</v>
      </c>
      <c r="E17">
        <v>81666</v>
      </c>
      <c r="F17" t="s">
        <v>1001</v>
      </c>
      <c r="G17" t="s">
        <v>1002</v>
      </c>
    </row>
    <row r="18" spans="1:7">
      <c r="A18">
        <v>202605</v>
      </c>
      <c r="B18" t="s">
        <v>600</v>
      </c>
      <c r="C18">
        <v>5080</v>
      </c>
      <c r="D18" t="s">
        <v>979</v>
      </c>
      <c r="E18">
        <v>81666</v>
      </c>
      <c r="F18" t="s">
        <v>1001</v>
      </c>
      <c r="G18" t="s">
        <v>1002</v>
      </c>
    </row>
    <row r="19" spans="1:7">
      <c r="A19">
        <v>202606</v>
      </c>
      <c r="B19" t="s">
        <v>600</v>
      </c>
      <c r="C19">
        <v>5080</v>
      </c>
      <c r="D19" t="s">
        <v>979</v>
      </c>
      <c r="E19">
        <v>81666</v>
      </c>
      <c r="F19" t="s">
        <v>1001</v>
      </c>
      <c r="G19" t="s">
        <v>1002</v>
      </c>
    </row>
    <row r="20" spans="1:7">
      <c r="A20">
        <v>202607</v>
      </c>
      <c r="B20" t="s">
        <v>600</v>
      </c>
      <c r="C20">
        <v>5080</v>
      </c>
      <c r="D20" t="s">
        <v>979</v>
      </c>
      <c r="E20">
        <v>81666</v>
      </c>
      <c r="F20" t="s">
        <v>1001</v>
      </c>
      <c r="G20" t="s">
        <v>1002</v>
      </c>
    </row>
    <row r="21" spans="1:7">
      <c r="A21">
        <v>202608</v>
      </c>
      <c r="B21" t="s">
        <v>600</v>
      </c>
      <c r="C21">
        <v>5080</v>
      </c>
      <c r="D21" t="s">
        <v>979</v>
      </c>
      <c r="E21">
        <v>81666</v>
      </c>
      <c r="F21" t="s">
        <v>1001</v>
      </c>
      <c r="G21" t="s">
        <v>1002</v>
      </c>
    </row>
    <row r="22" spans="1:7">
      <c r="A22">
        <v>202609</v>
      </c>
      <c r="B22" t="s">
        <v>600</v>
      </c>
      <c r="C22">
        <v>5080</v>
      </c>
      <c r="D22" t="s">
        <v>979</v>
      </c>
      <c r="E22">
        <v>81666</v>
      </c>
      <c r="F22" t="s">
        <v>1001</v>
      </c>
      <c r="G22" t="s">
        <v>1002</v>
      </c>
    </row>
    <row r="23" spans="1:7">
      <c r="A23">
        <v>202610</v>
      </c>
      <c r="B23" t="s">
        <v>600</v>
      </c>
      <c r="C23">
        <v>5080</v>
      </c>
      <c r="D23" t="s">
        <v>979</v>
      </c>
      <c r="E23">
        <v>81666</v>
      </c>
      <c r="F23" t="s">
        <v>1001</v>
      </c>
      <c r="G23" t="s">
        <v>1002</v>
      </c>
    </row>
    <row r="24" spans="1:7">
      <c r="A24">
        <v>202611</v>
      </c>
      <c r="B24" t="s">
        <v>600</v>
      </c>
      <c r="C24">
        <v>5080</v>
      </c>
      <c r="D24" t="s">
        <v>979</v>
      </c>
      <c r="E24">
        <v>81666</v>
      </c>
      <c r="F24" t="s">
        <v>1001</v>
      </c>
      <c r="G24" t="s">
        <v>1002</v>
      </c>
    </row>
    <row r="25" spans="1:7">
      <c r="A25">
        <v>202612</v>
      </c>
      <c r="B25" t="s">
        <v>600</v>
      </c>
      <c r="C25">
        <v>5080</v>
      </c>
      <c r="D25" t="s">
        <v>979</v>
      </c>
      <c r="E25">
        <v>81674</v>
      </c>
      <c r="F25" t="s">
        <v>1001</v>
      </c>
      <c r="G25" t="s">
        <v>1002</v>
      </c>
    </row>
    <row r="26" spans="1:7">
      <c r="A26">
        <v>202601</v>
      </c>
      <c r="B26" t="s">
        <v>600</v>
      </c>
      <c r="C26">
        <v>5400</v>
      </c>
      <c r="D26" t="s">
        <v>979</v>
      </c>
      <c r="E26">
        <v>93333</v>
      </c>
      <c r="F26" t="s">
        <v>1001</v>
      </c>
      <c r="G26" t="s">
        <v>1002</v>
      </c>
    </row>
    <row r="27" spans="1:7">
      <c r="A27">
        <v>202602</v>
      </c>
      <c r="B27" t="s">
        <v>600</v>
      </c>
      <c r="C27">
        <v>5400</v>
      </c>
      <c r="D27" t="s">
        <v>979</v>
      </c>
      <c r="E27">
        <v>93333</v>
      </c>
      <c r="F27" t="s">
        <v>1001</v>
      </c>
      <c r="G27" t="s">
        <v>1002</v>
      </c>
    </row>
    <row r="28" spans="1:7">
      <c r="A28">
        <v>202603</v>
      </c>
      <c r="B28" t="s">
        <v>600</v>
      </c>
      <c r="C28">
        <v>5400</v>
      </c>
      <c r="D28" t="s">
        <v>979</v>
      </c>
      <c r="E28">
        <v>93333</v>
      </c>
      <c r="F28" t="s">
        <v>1001</v>
      </c>
      <c r="G28" t="s">
        <v>1002</v>
      </c>
    </row>
    <row r="29" spans="1:7">
      <c r="A29">
        <v>202604</v>
      </c>
      <c r="B29" t="s">
        <v>600</v>
      </c>
      <c r="C29">
        <v>5400</v>
      </c>
      <c r="D29" t="s">
        <v>979</v>
      </c>
      <c r="E29">
        <v>93333</v>
      </c>
      <c r="F29" t="s">
        <v>1001</v>
      </c>
      <c r="G29" t="s">
        <v>1002</v>
      </c>
    </row>
    <row r="30" spans="1:7">
      <c r="A30">
        <v>202605</v>
      </c>
      <c r="B30" t="s">
        <v>600</v>
      </c>
      <c r="C30">
        <v>5400</v>
      </c>
      <c r="D30" t="s">
        <v>979</v>
      </c>
      <c r="E30">
        <v>93333</v>
      </c>
      <c r="F30" t="s">
        <v>1001</v>
      </c>
      <c r="G30" t="s">
        <v>1002</v>
      </c>
    </row>
    <row r="31" spans="1:7">
      <c r="A31">
        <v>202606</v>
      </c>
      <c r="B31" t="s">
        <v>600</v>
      </c>
      <c r="C31">
        <v>5400</v>
      </c>
      <c r="D31" t="s">
        <v>979</v>
      </c>
      <c r="E31">
        <v>93333</v>
      </c>
      <c r="F31" t="s">
        <v>1001</v>
      </c>
      <c r="G31" t="s">
        <v>1002</v>
      </c>
    </row>
    <row r="32" spans="1:7">
      <c r="A32">
        <v>202607</v>
      </c>
      <c r="B32" t="s">
        <v>600</v>
      </c>
      <c r="C32">
        <v>5400</v>
      </c>
      <c r="D32" t="s">
        <v>979</v>
      </c>
      <c r="E32">
        <v>93333</v>
      </c>
      <c r="F32" t="s">
        <v>1001</v>
      </c>
      <c r="G32" t="s">
        <v>1002</v>
      </c>
    </row>
    <row r="33" spans="1:7">
      <c r="A33">
        <v>202608</v>
      </c>
      <c r="B33" t="s">
        <v>600</v>
      </c>
      <c r="C33">
        <v>5400</v>
      </c>
      <c r="D33" t="s">
        <v>979</v>
      </c>
      <c r="E33">
        <v>93333</v>
      </c>
      <c r="F33" t="s">
        <v>1001</v>
      </c>
      <c r="G33" t="s">
        <v>1002</v>
      </c>
    </row>
    <row r="34" spans="1:7">
      <c r="A34">
        <v>202609</v>
      </c>
      <c r="B34" t="s">
        <v>600</v>
      </c>
      <c r="C34">
        <v>5400</v>
      </c>
      <c r="D34" t="s">
        <v>979</v>
      </c>
      <c r="E34">
        <v>93333</v>
      </c>
      <c r="F34" t="s">
        <v>1001</v>
      </c>
      <c r="G34" t="s">
        <v>1002</v>
      </c>
    </row>
    <row r="35" spans="1:7">
      <c r="A35">
        <v>202610</v>
      </c>
      <c r="B35" t="s">
        <v>600</v>
      </c>
      <c r="C35">
        <v>5400</v>
      </c>
      <c r="D35" t="s">
        <v>979</v>
      </c>
      <c r="E35">
        <v>93333</v>
      </c>
      <c r="F35" t="s">
        <v>1001</v>
      </c>
      <c r="G35" t="s">
        <v>1002</v>
      </c>
    </row>
    <row r="36" spans="1:7">
      <c r="A36">
        <v>202611</v>
      </c>
      <c r="B36" t="s">
        <v>600</v>
      </c>
      <c r="C36">
        <v>5400</v>
      </c>
      <c r="D36" t="s">
        <v>979</v>
      </c>
      <c r="E36">
        <v>93333</v>
      </c>
      <c r="F36" t="s">
        <v>1001</v>
      </c>
      <c r="G36" t="s">
        <v>1002</v>
      </c>
    </row>
    <row r="37" spans="1:7">
      <c r="A37">
        <v>202612</v>
      </c>
      <c r="B37" t="s">
        <v>600</v>
      </c>
      <c r="C37">
        <v>5400</v>
      </c>
      <c r="D37" t="s">
        <v>979</v>
      </c>
      <c r="E37">
        <v>93337</v>
      </c>
      <c r="F37" t="s">
        <v>1001</v>
      </c>
      <c r="G37" t="s">
        <v>1002</v>
      </c>
    </row>
    <row r="38" spans="1:7">
      <c r="A38">
        <v>202601</v>
      </c>
      <c r="B38" t="s">
        <v>600</v>
      </c>
      <c r="C38">
        <v>5420</v>
      </c>
      <c r="D38" t="s">
        <v>979</v>
      </c>
      <c r="E38">
        <v>70000</v>
      </c>
      <c r="F38" t="s">
        <v>1001</v>
      </c>
      <c r="G38" t="s">
        <v>1002</v>
      </c>
    </row>
    <row r="39" spans="1:7">
      <c r="A39">
        <v>202602</v>
      </c>
      <c r="B39" t="s">
        <v>600</v>
      </c>
      <c r="C39">
        <v>5420</v>
      </c>
      <c r="D39" t="s">
        <v>979</v>
      </c>
      <c r="E39">
        <v>70000</v>
      </c>
      <c r="F39" t="s">
        <v>1001</v>
      </c>
      <c r="G39" t="s">
        <v>1002</v>
      </c>
    </row>
    <row r="40" spans="1:7">
      <c r="A40">
        <v>202603</v>
      </c>
      <c r="B40" t="s">
        <v>600</v>
      </c>
      <c r="C40">
        <v>5420</v>
      </c>
      <c r="D40" t="s">
        <v>979</v>
      </c>
      <c r="E40">
        <v>70000</v>
      </c>
      <c r="F40" t="s">
        <v>1001</v>
      </c>
      <c r="G40" t="s">
        <v>1002</v>
      </c>
    </row>
    <row r="41" spans="1:7">
      <c r="A41">
        <v>202604</v>
      </c>
      <c r="B41" t="s">
        <v>600</v>
      </c>
      <c r="C41">
        <v>5420</v>
      </c>
      <c r="D41" t="s">
        <v>979</v>
      </c>
      <c r="E41">
        <v>70000</v>
      </c>
      <c r="F41" t="s">
        <v>1001</v>
      </c>
      <c r="G41" t="s">
        <v>1002</v>
      </c>
    </row>
    <row r="42" spans="1:7">
      <c r="A42">
        <v>202605</v>
      </c>
      <c r="B42" t="s">
        <v>600</v>
      </c>
      <c r="C42">
        <v>5420</v>
      </c>
      <c r="D42" t="s">
        <v>979</v>
      </c>
      <c r="E42">
        <v>70000</v>
      </c>
      <c r="F42" t="s">
        <v>1001</v>
      </c>
      <c r="G42" t="s">
        <v>1002</v>
      </c>
    </row>
    <row r="43" spans="1:7">
      <c r="A43">
        <v>202606</v>
      </c>
      <c r="B43" t="s">
        <v>600</v>
      </c>
      <c r="C43">
        <v>5420</v>
      </c>
      <c r="D43" t="s">
        <v>979</v>
      </c>
      <c r="E43">
        <v>70000</v>
      </c>
      <c r="F43" t="s">
        <v>1001</v>
      </c>
      <c r="G43" t="s">
        <v>1002</v>
      </c>
    </row>
    <row r="44" spans="1:7">
      <c r="A44">
        <v>202607</v>
      </c>
      <c r="B44" t="s">
        <v>600</v>
      </c>
      <c r="C44">
        <v>5420</v>
      </c>
      <c r="D44" t="s">
        <v>979</v>
      </c>
      <c r="E44">
        <v>70000</v>
      </c>
      <c r="F44" t="s">
        <v>1001</v>
      </c>
      <c r="G44" t="s">
        <v>1002</v>
      </c>
    </row>
    <row r="45" spans="1:7">
      <c r="A45">
        <v>202608</v>
      </c>
      <c r="B45" t="s">
        <v>600</v>
      </c>
      <c r="C45">
        <v>5420</v>
      </c>
      <c r="D45" t="s">
        <v>979</v>
      </c>
      <c r="E45">
        <v>70000</v>
      </c>
      <c r="F45" t="s">
        <v>1001</v>
      </c>
      <c r="G45" t="s">
        <v>1002</v>
      </c>
    </row>
    <row r="46" spans="1:7">
      <c r="A46">
        <v>202609</v>
      </c>
      <c r="B46" t="s">
        <v>600</v>
      </c>
      <c r="C46">
        <v>5420</v>
      </c>
      <c r="D46" t="s">
        <v>979</v>
      </c>
      <c r="E46">
        <v>70000</v>
      </c>
      <c r="F46" t="s">
        <v>1001</v>
      </c>
      <c r="G46" t="s">
        <v>1002</v>
      </c>
    </row>
    <row r="47" spans="1:7">
      <c r="A47">
        <v>202610</v>
      </c>
      <c r="B47" t="s">
        <v>600</v>
      </c>
      <c r="C47">
        <v>5420</v>
      </c>
      <c r="D47" t="s">
        <v>979</v>
      </c>
      <c r="E47">
        <v>70000</v>
      </c>
      <c r="F47" t="s">
        <v>1001</v>
      </c>
      <c r="G47" t="s">
        <v>1002</v>
      </c>
    </row>
    <row r="48" spans="1:7">
      <c r="A48">
        <v>202611</v>
      </c>
      <c r="B48" t="s">
        <v>600</v>
      </c>
      <c r="C48">
        <v>5420</v>
      </c>
      <c r="D48" t="s">
        <v>979</v>
      </c>
      <c r="E48">
        <v>70000</v>
      </c>
      <c r="F48" t="s">
        <v>1001</v>
      </c>
      <c r="G48" t="s">
        <v>1002</v>
      </c>
    </row>
    <row r="49" spans="1:7">
      <c r="A49">
        <v>202612</v>
      </c>
      <c r="B49" t="s">
        <v>600</v>
      </c>
      <c r="C49">
        <v>5420</v>
      </c>
      <c r="D49" t="s">
        <v>979</v>
      </c>
      <c r="E49">
        <v>70000</v>
      </c>
      <c r="F49" t="s">
        <v>1001</v>
      </c>
      <c r="G49" t="s">
        <v>1002</v>
      </c>
    </row>
    <row r="50" spans="1:7">
      <c r="A50">
        <v>202601</v>
      </c>
      <c r="B50" t="s">
        <v>600</v>
      </c>
      <c r="C50">
        <v>5100</v>
      </c>
      <c r="D50" t="s">
        <v>979</v>
      </c>
      <c r="E50">
        <v>46666</v>
      </c>
      <c r="F50" t="s">
        <v>1001</v>
      </c>
      <c r="G50" t="s">
        <v>1002</v>
      </c>
    </row>
    <row r="51" spans="1:7">
      <c r="A51">
        <v>202602</v>
      </c>
      <c r="B51" t="s">
        <v>600</v>
      </c>
      <c r="C51">
        <v>5100</v>
      </c>
      <c r="D51" t="s">
        <v>979</v>
      </c>
      <c r="E51">
        <v>46666</v>
      </c>
      <c r="F51" t="s">
        <v>1001</v>
      </c>
      <c r="G51" t="s">
        <v>1002</v>
      </c>
    </row>
    <row r="52" spans="1:7">
      <c r="A52">
        <v>202603</v>
      </c>
      <c r="B52" t="s">
        <v>600</v>
      </c>
      <c r="C52">
        <v>5100</v>
      </c>
      <c r="D52" t="s">
        <v>979</v>
      </c>
      <c r="E52">
        <v>46666</v>
      </c>
      <c r="F52" t="s">
        <v>1001</v>
      </c>
      <c r="G52" t="s">
        <v>1002</v>
      </c>
    </row>
    <row r="53" spans="1:7">
      <c r="A53">
        <v>202604</v>
      </c>
      <c r="B53" t="s">
        <v>600</v>
      </c>
      <c r="C53">
        <v>5100</v>
      </c>
      <c r="D53" t="s">
        <v>979</v>
      </c>
      <c r="E53">
        <v>46666</v>
      </c>
      <c r="F53" t="s">
        <v>1001</v>
      </c>
      <c r="G53" t="s">
        <v>1002</v>
      </c>
    </row>
    <row r="54" spans="1:7">
      <c r="A54">
        <v>202605</v>
      </c>
      <c r="B54" t="s">
        <v>600</v>
      </c>
      <c r="C54">
        <v>5100</v>
      </c>
      <c r="D54" t="s">
        <v>979</v>
      </c>
      <c r="E54">
        <v>46666</v>
      </c>
      <c r="F54" t="s">
        <v>1001</v>
      </c>
      <c r="G54" t="s">
        <v>1002</v>
      </c>
    </row>
    <row r="55" spans="1:7">
      <c r="A55">
        <v>202606</v>
      </c>
      <c r="B55" t="s">
        <v>600</v>
      </c>
      <c r="C55">
        <v>5100</v>
      </c>
      <c r="D55" t="s">
        <v>979</v>
      </c>
      <c r="E55">
        <v>46666</v>
      </c>
      <c r="F55" t="s">
        <v>1001</v>
      </c>
      <c r="G55" t="s">
        <v>1002</v>
      </c>
    </row>
    <row r="56" spans="1:7">
      <c r="A56">
        <v>202607</v>
      </c>
      <c r="B56" t="s">
        <v>600</v>
      </c>
      <c r="C56">
        <v>5100</v>
      </c>
      <c r="D56" t="s">
        <v>979</v>
      </c>
      <c r="E56">
        <v>46666</v>
      </c>
      <c r="F56" t="s">
        <v>1001</v>
      </c>
      <c r="G56" t="s">
        <v>1002</v>
      </c>
    </row>
    <row r="57" spans="1:7">
      <c r="A57">
        <v>202608</v>
      </c>
      <c r="B57" t="s">
        <v>600</v>
      </c>
      <c r="C57">
        <v>5100</v>
      </c>
      <c r="D57" t="s">
        <v>979</v>
      </c>
      <c r="E57">
        <v>46666</v>
      </c>
      <c r="F57" t="s">
        <v>1001</v>
      </c>
      <c r="G57" t="s">
        <v>1002</v>
      </c>
    </row>
    <row r="58" spans="1:7">
      <c r="A58">
        <v>202609</v>
      </c>
      <c r="B58" t="s">
        <v>600</v>
      </c>
      <c r="C58">
        <v>5100</v>
      </c>
      <c r="D58" t="s">
        <v>979</v>
      </c>
      <c r="E58">
        <v>46666</v>
      </c>
      <c r="F58" t="s">
        <v>1001</v>
      </c>
      <c r="G58" t="s">
        <v>1002</v>
      </c>
    </row>
    <row r="59" spans="1:7">
      <c r="A59">
        <v>202610</v>
      </c>
      <c r="B59" t="s">
        <v>600</v>
      </c>
      <c r="C59">
        <v>5100</v>
      </c>
      <c r="D59" t="s">
        <v>979</v>
      </c>
      <c r="E59">
        <v>46666</v>
      </c>
      <c r="F59" t="s">
        <v>1001</v>
      </c>
      <c r="G59" t="s">
        <v>1002</v>
      </c>
    </row>
    <row r="60" spans="1:7">
      <c r="A60">
        <v>202611</v>
      </c>
      <c r="B60" t="s">
        <v>600</v>
      </c>
      <c r="C60">
        <v>5100</v>
      </c>
      <c r="D60" t="s">
        <v>979</v>
      </c>
      <c r="E60">
        <v>46666</v>
      </c>
      <c r="F60" t="s">
        <v>1001</v>
      </c>
      <c r="G60" t="s">
        <v>1002</v>
      </c>
    </row>
    <row r="61" spans="1:7">
      <c r="A61">
        <v>202612</v>
      </c>
      <c r="B61" t="s">
        <v>600</v>
      </c>
      <c r="C61">
        <v>5100</v>
      </c>
      <c r="D61" t="s">
        <v>979</v>
      </c>
      <c r="E61">
        <v>46674</v>
      </c>
      <c r="F61" t="s">
        <v>1001</v>
      </c>
      <c r="G61" t="s">
        <v>1002</v>
      </c>
    </row>
    <row r="62" spans="1:7">
      <c r="A62">
        <v>202601</v>
      </c>
      <c r="B62" t="s">
        <v>600</v>
      </c>
      <c r="C62">
        <v>6300</v>
      </c>
      <c r="D62" t="s">
        <v>979</v>
      </c>
      <c r="E62">
        <v>93333</v>
      </c>
      <c r="F62" t="s">
        <v>1001</v>
      </c>
      <c r="G62" t="s">
        <v>1002</v>
      </c>
    </row>
    <row r="63" spans="1:7">
      <c r="A63">
        <v>202602</v>
      </c>
      <c r="B63" t="s">
        <v>600</v>
      </c>
      <c r="C63">
        <v>6300</v>
      </c>
      <c r="D63" t="s">
        <v>979</v>
      </c>
      <c r="E63">
        <v>93333</v>
      </c>
      <c r="F63" t="s">
        <v>1001</v>
      </c>
      <c r="G63" t="s">
        <v>1002</v>
      </c>
    </row>
    <row r="64" spans="1:7">
      <c r="A64">
        <v>202603</v>
      </c>
      <c r="B64" t="s">
        <v>600</v>
      </c>
      <c r="C64">
        <v>6300</v>
      </c>
      <c r="D64" t="s">
        <v>979</v>
      </c>
      <c r="E64">
        <v>93333</v>
      </c>
      <c r="F64" t="s">
        <v>1001</v>
      </c>
      <c r="G64" t="s">
        <v>1002</v>
      </c>
    </row>
    <row r="65" spans="1:7">
      <c r="A65">
        <v>202604</v>
      </c>
      <c r="B65" t="s">
        <v>600</v>
      </c>
      <c r="C65">
        <v>6300</v>
      </c>
      <c r="D65" t="s">
        <v>979</v>
      </c>
      <c r="E65">
        <v>93333</v>
      </c>
      <c r="F65" t="s">
        <v>1001</v>
      </c>
      <c r="G65" t="s">
        <v>1002</v>
      </c>
    </row>
    <row r="66" spans="1:7">
      <c r="A66">
        <v>202605</v>
      </c>
      <c r="B66" t="s">
        <v>600</v>
      </c>
      <c r="C66">
        <v>6300</v>
      </c>
      <c r="D66" t="s">
        <v>979</v>
      </c>
      <c r="E66">
        <v>93333</v>
      </c>
      <c r="F66" t="s">
        <v>1001</v>
      </c>
      <c r="G66" t="s">
        <v>1002</v>
      </c>
    </row>
    <row r="67" spans="1:7">
      <c r="A67">
        <v>202606</v>
      </c>
      <c r="B67" t="s">
        <v>600</v>
      </c>
      <c r="C67">
        <v>6300</v>
      </c>
      <c r="D67" t="s">
        <v>979</v>
      </c>
      <c r="E67">
        <v>93333</v>
      </c>
      <c r="F67" t="s">
        <v>1001</v>
      </c>
      <c r="G67" t="s">
        <v>1002</v>
      </c>
    </row>
    <row r="68" spans="1:7">
      <c r="A68">
        <v>202607</v>
      </c>
      <c r="B68" t="s">
        <v>600</v>
      </c>
      <c r="C68">
        <v>6300</v>
      </c>
      <c r="D68" t="s">
        <v>979</v>
      </c>
      <c r="E68">
        <v>93333</v>
      </c>
      <c r="F68" t="s">
        <v>1001</v>
      </c>
      <c r="G68" t="s">
        <v>1002</v>
      </c>
    </row>
    <row r="69" spans="1:7">
      <c r="A69">
        <v>202608</v>
      </c>
      <c r="B69" t="s">
        <v>600</v>
      </c>
      <c r="C69">
        <v>6300</v>
      </c>
      <c r="D69" t="s">
        <v>979</v>
      </c>
      <c r="E69">
        <v>93333</v>
      </c>
      <c r="F69" t="s">
        <v>1001</v>
      </c>
      <c r="G69" t="s">
        <v>1002</v>
      </c>
    </row>
    <row r="70" spans="1:7">
      <c r="A70">
        <v>202609</v>
      </c>
      <c r="B70" t="s">
        <v>600</v>
      </c>
      <c r="C70">
        <v>6300</v>
      </c>
      <c r="D70" t="s">
        <v>979</v>
      </c>
      <c r="E70">
        <v>93333</v>
      </c>
      <c r="F70" t="s">
        <v>1001</v>
      </c>
      <c r="G70" t="s">
        <v>1002</v>
      </c>
    </row>
    <row r="71" spans="1:7">
      <c r="A71">
        <v>202610</v>
      </c>
      <c r="B71" t="s">
        <v>600</v>
      </c>
      <c r="C71">
        <v>6300</v>
      </c>
      <c r="D71" t="s">
        <v>979</v>
      </c>
      <c r="E71">
        <v>93333</v>
      </c>
      <c r="F71" t="s">
        <v>1001</v>
      </c>
      <c r="G71" t="s">
        <v>1002</v>
      </c>
    </row>
    <row r="72" spans="1:7">
      <c r="A72">
        <v>202611</v>
      </c>
      <c r="B72" t="s">
        <v>600</v>
      </c>
      <c r="C72">
        <v>6300</v>
      </c>
      <c r="D72" t="s">
        <v>979</v>
      </c>
      <c r="E72">
        <v>93333</v>
      </c>
      <c r="F72" t="s">
        <v>1001</v>
      </c>
      <c r="G72" t="s">
        <v>1002</v>
      </c>
    </row>
    <row r="73" spans="1:7">
      <c r="A73">
        <v>202612</v>
      </c>
      <c r="B73" t="s">
        <v>600</v>
      </c>
      <c r="C73">
        <v>6300</v>
      </c>
      <c r="D73" t="s">
        <v>979</v>
      </c>
      <c r="E73">
        <v>93337</v>
      </c>
      <c r="F73" t="s">
        <v>1001</v>
      </c>
      <c r="G73" t="s">
        <v>1002</v>
      </c>
    </row>
    <row r="74" spans="1:7">
      <c r="A74">
        <v>202601</v>
      </c>
      <c r="B74" t="s">
        <v>600</v>
      </c>
      <c r="C74">
        <v>6550</v>
      </c>
      <c r="D74" t="s">
        <v>979</v>
      </c>
      <c r="E74">
        <v>35000</v>
      </c>
      <c r="F74" t="s">
        <v>1001</v>
      </c>
      <c r="G74" t="s">
        <v>1002</v>
      </c>
    </row>
    <row r="75" spans="1:7">
      <c r="A75">
        <v>202602</v>
      </c>
      <c r="B75" t="s">
        <v>600</v>
      </c>
      <c r="C75">
        <v>6550</v>
      </c>
      <c r="D75" t="s">
        <v>979</v>
      </c>
      <c r="E75">
        <v>35000</v>
      </c>
      <c r="F75" t="s">
        <v>1001</v>
      </c>
      <c r="G75" t="s">
        <v>1002</v>
      </c>
    </row>
    <row r="76" spans="1:7">
      <c r="A76">
        <v>202603</v>
      </c>
      <c r="B76" t="s">
        <v>600</v>
      </c>
      <c r="C76">
        <v>6550</v>
      </c>
      <c r="D76" t="s">
        <v>979</v>
      </c>
      <c r="E76">
        <v>35000</v>
      </c>
      <c r="F76" t="s">
        <v>1001</v>
      </c>
      <c r="G76" t="s">
        <v>1002</v>
      </c>
    </row>
    <row r="77" spans="1:7">
      <c r="A77">
        <v>202604</v>
      </c>
      <c r="B77" t="s">
        <v>600</v>
      </c>
      <c r="C77">
        <v>6550</v>
      </c>
      <c r="D77" t="s">
        <v>979</v>
      </c>
      <c r="E77">
        <v>35000</v>
      </c>
      <c r="F77" t="s">
        <v>1001</v>
      </c>
      <c r="G77" t="s">
        <v>1002</v>
      </c>
    </row>
    <row r="78" spans="1:7">
      <c r="A78">
        <v>202605</v>
      </c>
      <c r="B78" t="s">
        <v>600</v>
      </c>
      <c r="C78">
        <v>6550</v>
      </c>
      <c r="D78" t="s">
        <v>979</v>
      </c>
      <c r="E78">
        <v>35000</v>
      </c>
      <c r="F78" t="s">
        <v>1001</v>
      </c>
      <c r="G78" t="s">
        <v>1002</v>
      </c>
    </row>
    <row r="79" spans="1:7">
      <c r="A79">
        <v>202606</v>
      </c>
      <c r="B79" t="s">
        <v>600</v>
      </c>
      <c r="C79">
        <v>6550</v>
      </c>
      <c r="D79" t="s">
        <v>979</v>
      </c>
      <c r="E79">
        <v>35000</v>
      </c>
      <c r="F79" t="s">
        <v>1001</v>
      </c>
      <c r="G79" t="s">
        <v>1002</v>
      </c>
    </row>
    <row r="80" spans="1:7">
      <c r="A80">
        <v>202607</v>
      </c>
      <c r="B80" t="s">
        <v>600</v>
      </c>
      <c r="C80">
        <v>6550</v>
      </c>
      <c r="D80" t="s">
        <v>979</v>
      </c>
      <c r="E80">
        <v>35000</v>
      </c>
      <c r="F80" t="s">
        <v>1001</v>
      </c>
      <c r="G80" t="s">
        <v>1002</v>
      </c>
    </row>
    <row r="81" spans="1:7">
      <c r="A81">
        <v>202608</v>
      </c>
      <c r="B81" t="s">
        <v>600</v>
      </c>
      <c r="C81">
        <v>6550</v>
      </c>
      <c r="D81" t="s">
        <v>979</v>
      </c>
      <c r="E81">
        <v>35000</v>
      </c>
      <c r="F81" t="s">
        <v>1001</v>
      </c>
      <c r="G81" t="s">
        <v>1002</v>
      </c>
    </row>
    <row r="82" spans="1:7">
      <c r="A82">
        <v>202609</v>
      </c>
      <c r="B82" t="s">
        <v>600</v>
      </c>
      <c r="C82">
        <v>6550</v>
      </c>
      <c r="D82" t="s">
        <v>979</v>
      </c>
      <c r="E82">
        <v>35000</v>
      </c>
      <c r="F82" t="s">
        <v>1001</v>
      </c>
      <c r="G82" t="s">
        <v>1002</v>
      </c>
    </row>
    <row r="83" spans="1:7">
      <c r="A83">
        <v>202610</v>
      </c>
      <c r="B83" t="s">
        <v>600</v>
      </c>
      <c r="C83">
        <v>6550</v>
      </c>
      <c r="D83" t="s">
        <v>979</v>
      </c>
      <c r="E83">
        <v>35000</v>
      </c>
      <c r="F83" t="s">
        <v>1001</v>
      </c>
      <c r="G83" t="s">
        <v>1002</v>
      </c>
    </row>
    <row r="84" spans="1:7">
      <c r="A84">
        <v>202611</v>
      </c>
      <c r="B84" t="s">
        <v>600</v>
      </c>
      <c r="C84">
        <v>6550</v>
      </c>
      <c r="D84" t="s">
        <v>979</v>
      </c>
      <c r="E84">
        <v>35000</v>
      </c>
      <c r="F84" t="s">
        <v>1001</v>
      </c>
      <c r="G84" t="s">
        <v>1002</v>
      </c>
    </row>
    <row r="85" spans="1:7">
      <c r="A85">
        <v>202612</v>
      </c>
      <c r="B85" t="s">
        <v>600</v>
      </c>
      <c r="C85">
        <v>6550</v>
      </c>
      <c r="D85" t="s">
        <v>979</v>
      </c>
      <c r="E85">
        <v>35000</v>
      </c>
      <c r="F85" t="s">
        <v>1001</v>
      </c>
      <c r="G85" t="s">
        <v>1002</v>
      </c>
    </row>
    <row r="86" spans="1:7">
      <c r="A86">
        <v>202601</v>
      </c>
      <c r="B86" t="s">
        <v>600</v>
      </c>
      <c r="C86">
        <v>6700</v>
      </c>
      <c r="D86" t="s">
        <v>979</v>
      </c>
      <c r="E86">
        <v>35000</v>
      </c>
      <c r="F86" t="s">
        <v>1001</v>
      </c>
      <c r="G86" t="s">
        <v>1002</v>
      </c>
    </row>
    <row r="87" spans="1:7">
      <c r="A87">
        <v>202602</v>
      </c>
      <c r="B87" t="s">
        <v>600</v>
      </c>
      <c r="C87">
        <v>6700</v>
      </c>
      <c r="D87" t="s">
        <v>979</v>
      </c>
      <c r="E87">
        <v>35000</v>
      </c>
      <c r="F87" t="s">
        <v>1001</v>
      </c>
      <c r="G87" t="s">
        <v>1002</v>
      </c>
    </row>
    <row r="88" spans="1:7">
      <c r="A88">
        <v>202603</v>
      </c>
      <c r="B88" t="s">
        <v>600</v>
      </c>
      <c r="C88">
        <v>6700</v>
      </c>
      <c r="D88" t="s">
        <v>979</v>
      </c>
      <c r="E88">
        <v>35000</v>
      </c>
      <c r="F88" t="s">
        <v>1001</v>
      </c>
      <c r="G88" t="s">
        <v>1002</v>
      </c>
    </row>
    <row r="89" spans="1:7">
      <c r="A89">
        <v>202604</v>
      </c>
      <c r="B89" t="s">
        <v>600</v>
      </c>
      <c r="C89">
        <v>6700</v>
      </c>
      <c r="D89" t="s">
        <v>979</v>
      </c>
      <c r="E89">
        <v>35000</v>
      </c>
      <c r="F89" t="s">
        <v>1001</v>
      </c>
      <c r="G89" t="s">
        <v>1002</v>
      </c>
    </row>
    <row r="90" spans="1:7">
      <c r="A90">
        <v>202605</v>
      </c>
      <c r="B90" t="s">
        <v>600</v>
      </c>
      <c r="C90">
        <v>6700</v>
      </c>
      <c r="D90" t="s">
        <v>979</v>
      </c>
      <c r="E90">
        <v>35000</v>
      </c>
      <c r="F90" t="s">
        <v>1001</v>
      </c>
      <c r="G90" t="s">
        <v>1002</v>
      </c>
    </row>
    <row r="91" spans="1:7">
      <c r="A91">
        <v>202606</v>
      </c>
      <c r="B91" t="s">
        <v>600</v>
      </c>
      <c r="C91">
        <v>6700</v>
      </c>
      <c r="D91" t="s">
        <v>979</v>
      </c>
      <c r="E91">
        <v>35000</v>
      </c>
      <c r="F91" t="s">
        <v>1001</v>
      </c>
      <c r="G91" t="s">
        <v>1002</v>
      </c>
    </row>
    <row r="92" spans="1:7">
      <c r="A92">
        <v>202607</v>
      </c>
      <c r="B92" t="s">
        <v>600</v>
      </c>
      <c r="C92">
        <v>6700</v>
      </c>
      <c r="D92" t="s">
        <v>979</v>
      </c>
      <c r="E92">
        <v>35000</v>
      </c>
      <c r="F92" t="s">
        <v>1001</v>
      </c>
      <c r="G92" t="s">
        <v>1002</v>
      </c>
    </row>
    <row r="93" spans="1:7">
      <c r="A93">
        <v>202608</v>
      </c>
      <c r="B93" t="s">
        <v>600</v>
      </c>
      <c r="C93">
        <v>6700</v>
      </c>
      <c r="D93" t="s">
        <v>979</v>
      </c>
      <c r="E93">
        <v>35000</v>
      </c>
      <c r="F93" t="s">
        <v>1001</v>
      </c>
      <c r="G93" t="s">
        <v>1002</v>
      </c>
    </row>
    <row r="94" spans="1:7">
      <c r="A94">
        <v>202609</v>
      </c>
      <c r="B94" t="s">
        <v>600</v>
      </c>
      <c r="C94">
        <v>6700</v>
      </c>
      <c r="D94" t="s">
        <v>979</v>
      </c>
      <c r="E94">
        <v>35000</v>
      </c>
      <c r="F94" t="s">
        <v>1001</v>
      </c>
      <c r="G94" t="s">
        <v>1002</v>
      </c>
    </row>
    <row r="95" spans="1:7">
      <c r="A95">
        <v>202610</v>
      </c>
      <c r="B95" t="s">
        <v>600</v>
      </c>
      <c r="C95">
        <v>6700</v>
      </c>
      <c r="D95" t="s">
        <v>979</v>
      </c>
      <c r="E95">
        <v>35000</v>
      </c>
      <c r="F95" t="s">
        <v>1001</v>
      </c>
      <c r="G95" t="s">
        <v>1002</v>
      </c>
    </row>
    <row r="96" spans="1:7">
      <c r="A96">
        <v>202611</v>
      </c>
      <c r="B96" t="s">
        <v>600</v>
      </c>
      <c r="C96">
        <v>6700</v>
      </c>
      <c r="D96" t="s">
        <v>979</v>
      </c>
      <c r="E96">
        <v>35000</v>
      </c>
      <c r="F96" t="s">
        <v>1001</v>
      </c>
      <c r="G96" t="s">
        <v>1002</v>
      </c>
    </row>
    <row r="97" spans="1:7">
      <c r="A97">
        <v>202612</v>
      </c>
      <c r="B97" t="s">
        <v>600</v>
      </c>
      <c r="C97">
        <v>6700</v>
      </c>
      <c r="D97" t="s">
        <v>979</v>
      </c>
      <c r="E97">
        <v>35000</v>
      </c>
      <c r="F97" t="s">
        <v>1001</v>
      </c>
      <c r="G97" t="s">
        <v>1002</v>
      </c>
    </row>
    <row r="98" spans="1:7">
      <c r="A98">
        <v>202601</v>
      </c>
      <c r="B98" t="s">
        <v>600</v>
      </c>
      <c r="C98">
        <v>7130</v>
      </c>
      <c r="D98" t="s">
        <v>979</v>
      </c>
      <c r="E98">
        <v>35000</v>
      </c>
      <c r="F98" t="s">
        <v>1001</v>
      </c>
      <c r="G98" t="s">
        <v>1002</v>
      </c>
    </row>
    <row r="99" spans="1:7">
      <c r="A99">
        <v>202602</v>
      </c>
      <c r="B99" t="s">
        <v>600</v>
      </c>
      <c r="C99">
        <v>7130</v>
      </c>
      <c r="D99" t="s">
        <v>979</v>
      </c>
      <c r="E99">
        <v>35000</v>
      </c>
      <c r="F99" t="s">
        <v>1001</v>
      </c>
      <c r="G99" t="s">
        <v>1002</v>
      </c>
    </row>
    <row r="100" spans="1:7">
      <c r="A100">
        <v>202603</v>
      </c>
      <c r="B100" t="s">
        <v>600</v>
      </c>
      <c r="C100">
        <v>7130</v>
      </c>
      <c r="D100" t="s">
        <v>979</v>
      </c>
      <c r="E100">
        <v>35000</v>
      </c>
      <c r="F100" t="s">
        <v>1001</v>
      </c>
      <c r="G100" t="s">
        <v>1002</v>
      </c>
    </row>
    <row r="101" spans="1:7">
      <c r="A101">
        <v>202604</v>
      </c>
      <c r="B101" t="s">
        <v>600</v>
      </c>
      <c r="C101">
        <v>7130</v>
      </c>
      <c r="D101" t="s">
        <v>979</v>
      </c>
      <c r="E101">
        <v>35000</v>
      </c>
      <c r="F101" t="s">
        <v>1001</v>
      </c>
      <c r="G101" t="s">
        <v>1002</v>
      </c>
    </row>
    <row r="102" spans="1:7">
      <c r="A102">
        <v>202605</v>
      </c>
      <c r="B102" t="s">
        <v>600</v>
      </c>
      <c r="C102">
        <v>7130</v>
      </c>
      <c r="D102" t="s">
        <v>979</v>
      </c>
      <c r="E102">
        <v>35000</v>
      </c>
      <c r="F102" t="s">
        <v>1001</v>
      </c>
      <c r="G102" t="s">
        <v>1002</v>
      </c>
    </row>
    <row r="103" spans="1:7">
      <c r="A103">
        <v>202606</v>
      </c>
      <c r="B103" t="s">
        <v>600</v>
      </c>
      <c r="C103">
        <v>7130</v>
      </c>
      <c r="D103" t="s">
        <v>979</v>
      </c>
      <c r="E103">
        <v>35000</v>
      </c>
      <c r="F103" t="s">
        <v>1001</v>
      </c>
      <c r="G103" t="s">
        <v>1002</v>
      </c>
    </row>
    <row r="104" spans="1:7">
      <c r="A104">
        <v>202607</v>
      </c>
      <c r="B104" t="s">
        <v>600</v>
      </c>
      <c r="C104">
        <v>7130</v>
      </c>
      <c r="D104" t="s">
        <v>979</v>
      </c>
      <c r="E104">
        <v>35000</v>
      </c>
      <c r="F104" t="s">
        <v>1001</v>
      </c>
      <c r="G104" t="s">
        <v>1002</v>
      </c>
    </row>
    <row r="105" spans="1:7">
      <c r="A105">
        <v>202608</v>
      </c>
      <c r="B105" t="s">
        <v>600</v>
      </c>
      <c r="C105">
        <v>7130</v>
      </c>
      <c r="D105" t="s">
        <v>979</v>
      </c>
      <c r="E105">
        <v>35000</v>
      </c>
      <c r="F105" t="s">
        <v>1001</v>
      </c>
      <c r="G105" t="s">
        <v>1002</v>
      </c>
    </row>
    <row r="106" spans="1:7">
      <c r="A106">
        <v>202609</v>
      </c>
      <c r="B106" t="s">
        <v>600</v>
      </c>
      <c r="C106">
        <v>7130</v>
      </c>
      <c r="D106" t="s">
        <v>979</v>
      </c>
      <c r="E106">
        <v>35000</v>
      </c>
      <c r="F106" t="s">
        <v>1001</v>
      </c>
      <c r="G106" t="s">
        <v>1002</v>
      </c>
    </row>
    <row r="107" spans="1:7">
      <c r="A107">
        <v>202610</v>
      </c>
      <c r="B107" t="s">
        <v>600</v>
      </c>
      <c r="C107">
        <v>7130</v>
      </c>
      <c r="D107" t="s">
        <v>979</v>
      </c>
      <c r="E107">
        <v>35000</v>
      </c>
      <c r="F107" t="s">
        <v>1001</v>
      </c>
      <c r="G107" t="s">
        <v>1002</v>
      </c>
    </row>
    <row r="108" spans="1:7">
      <c r="A108">
        <v>202611</v>
      </c>
      <c r="B108" t="s">
        <v>600</v>
      </c>
      <c r="C108">
        <v>7130</v>
      </c>
      <c r="D108" t="s">
        <v>979</v>
      </c>
      <c r="E108">
        <v>35000</v>
      </c>
      <c r="F108" t="s">
        <v>1001</v>
      </c>
      <c r="G108" t="s">
        <v>1002</v>
      </c>
    </row>
    <row r="109" spans="1:7">
      <c r="A109">
        <v>202612</v>
      </c>
      <c r="B109" t="s">
        <v>600</v>
      </c>
      <c r="C109">
        <v>7130</v>
      </c>
      <c r="D109" t="s">
        <v>979</v>
      </c>
      <c r="E109">
        <v>35000</v>
      </c>
      <c r="F109" t="s">
        <v>1001</v>
      </c>
      <c r="G109" t="s">
        <v>1002</v>
      </c>
    </row>
    <row r="110" spans="1:7">
      <c r="A110">
        <v>202601</v>
      </c>
      <c r="B110" t="s">
        <v>606</v>
      </c>
      <c r="C110">
        <v>5000</v>
      </c>
      <c r="D110" t="s">
        <v>979</v>
      </c>
      <c r="E110">
        <v>1860833</v>
      </c>
      <c r="F110" t="s">
        <v>1042</v>
      </c>
      <c r="G110" t="s">
        <v>1005</v>
      </c>
    </row>
    <row r="111" spans="1:7">
      <c r="A111">
        <v>202602</v>
      </c>
      <c r="B111" t="s">
        <v>606</v>
      </c>
      <c r="C111">
        <v>5000</v>
      </c>
      <c r="D111" t="s">
        <v>979</v>
      </c>
      <c r="E111">
        <v>1860833</v>
      </c>
      <c r="F111" t="s">
        <v>1042</v>
      </c>
      <c r="G111" t="s">
        <v>1005</v>
      </c>
    </row>
    <row r="112" spans="1:7">
      <c r="A112">
        <v>202603</v>
      </c>
      <c r="B112" t="s">
        <v>606</v>
      </c>
      <c r="C112">
        <v>5000</v>
      </c>
      <c r="D112" t="s">
        <v>979</v>
      </c>
      <c r="E112">
        <v>1860833</v>
      </c>
      <c r="F112" t="s">
        <v>1042</v>
      </c>
      <c r="G112" t="s">
        <v>1005</v>
      </c>
    </row>
    <row r="113" spans="1:7">
      <c r="A113">
        <v>202604</v>
      </c>
      <c r="B113" t="s">
        <v>606</v>
      </c>
      <c r="C113">
        <v>5000</v>
      </c>
      <c r="D113" t="s">
        <v>979</v>
      </c>
      <c r="E113">
        <v>1860833</v>
      </c>
      <c r="F113" t="s">
        <v>1042</v>
      </c>
      <c r="G113" t="s">
        <v>1005</v>
      </c>
    </row>
    <row r="114" spans="1:7">
      <c r="A114">
        <v>202605</v>
      </c>
      <c r="B114" t="s">
        <v>606</v>
      </c>
      <c r="C114">
        <v>5000</v>
      </c>
      <c r="D114" t="s">
        <v>979</v>
      </c>
      <c r="E114">
        <v>1860833</v>
      </c>
      <c r="F114" t="s">
        <v>1042</v>
      </c>
      <c r="G114" t="s">
        <v>1005</v>
      </c>
    </row>
    <row r="115" spans="1:7">
      <c r="A115">
        <v>202606</v>
      </c>
      <c r="B115" t="s">
        <v>606</v>
      </c>
      <c r="C115">
        <v>5000</v>
      </c>
      <c r="D115" t="s">
        <v>979</v>
      </c>
      <c r="E115">
        <v>1860833</v>
      </c>
      <c r="F115" t="s">
        <v>1042</v>
      </c>
      <c r="G115" t="s">
        <v>1005</v>
      </c>
    </row>
    <row r="116" spans="1:7">
      <c r="A116">
        <v>202607</v>
      </c>
      <c r="B116" t="s">
        <v>606</v>
      </c>
      <c r="C116">
        <v>5000</v>
      </c>
      <c r="D116" t="s">
        <v>979</v>
      </c>
      <c r="E116">
        <v>1860833</v>
      </c>
      <c r="F116" t="s">
        <v>1042</v>
      </c>
      <c r="G116" t="s">
        <v>1005</v>
      </c>
    </row>
    <row r="117" spans="1:7">
      <c r="A117">
        <v>202608</v>
      </c>
      <c r="B117" t="s">
        <v>606</v>
      </c>
      <c r="C117">
        <v>5000</v>
      </c>
      <c r="D117" t="s">
        <v>979</v>
      </c>
      <c r="E117">
        <v>1860833</v>
      </c>
      <c r="F117" t="s">
        <v>1042</v>
      </c>
      <c r="G117" t="s">
        <v>1005</v>
      </c>
    </row>
    <row r="118" spans="1:7">
      <c r="A118">
        <v>202609</v>
      </c>
      <c r="B118" t="s">
        <v>606</v>
      </c>
      <c r="C118">
        <v>5000</v>
      </c>
      <c r="D118" t="s">
        <v>979</v>
      </c>
      <c r="E118">
        <v>1860833</v>
      </c>
      <c r="F118" t="s">
        <v>1042</v>
      </c>
      <c r="G118" t="s">
        <v>1005</v>
      </c>
    </row>
    <row r="119" spans="1:7">
      <c r="A119">
        <v>202610</v>
      </c>
      <c r="B119" t="s">
        <v>606</v>
      </c>
      <c r="C119">
        <v>5000</v>
      </c>
      <c r="D119" t="s">
        <v>979</v>
      </c>
      <c r="E119">
        <v>1860833</v>
      </c>
      <c r="F119" t="s">
        <v>1042</v>
      </c>
      <c r="G119" t="s">
        <v>1005</v>
      </c>
    </row>
    <row r="120" spans="1:7">
      <c r="A120">
        <v>202611</v>
      </c>
      <c r="B120" t="s">
        <v>606</v>
      </c>
      <c r="C120">
        <v>5000</v>
      </c>
      <c r="D120" t="s">
        <v>979</v>
      </c>
      <c r="E120">
        <v>1860833</v>
      </c>
      <c r="F120" t="s">
        <v>1042</v>
      </c>
      <c r="G120" t="s">
        <v>1005</v>
      </c>
    </row>
    <row r="121" spans="1:7">
      <c r="A121">
        <v>202612</v>
      </c>
      <c r="B121" t="s">
        <v>606</v>
      </c>
      <c r="C121">
        <v>5000</v>
      </c>
      <c r="D121" t="s">
        <v>979</v>
      </c>
      <c r="E121">
        <v>1860837</v>
      </c>
      <c r="F121" t="s">
        <v>1042</v>
      </c>
      <c r="G121" t="s">
        <v>1005</v>
      </c>
    </row>
    <row r="122" spans="1:7">
      <c r="A122">
        <v>202601</v>
      </c>
      <c r="B122" t="s">
        <v>606</v>
      </c>
      <c r="C122">
        <v>5080</v>
      </c>
      <c r="D122" t="s">
        <v>979</v>
      </c>
      <c r="E122">
        <v>224583</v>
      </c>
      <c r="F122" t="s">
        <v>1042</v>
      </c>
      <c r="G122" t="s">
        <v>1005</v>
      </c>
    </row>
    <row r="123" spans="1:7">
      <c r="A123">
        <v>202602</v>
      </c>
      <c r="B123" t="s">
        <v>606</v>
      </c>
      <c r="C123">
        <v>5080</v>
      </c>
      <c r="D123" t="s">
        <v>979</v>
      </c>
      <c r="E123">
        <v>224583</v>
      </c>
      <c r="F123" t="s">
        <v>1042</v>
      </c>
      <c r="G123" t="s">
        <v>1005</v>
      </c>
    </row>
    <row r="124" spans="1:7">
      <c r="A124">
        <v>202603</v>
      </c>
      <c r="B124" t="s">
        <v>606</v>
      </c>
      <c r="C124">
        <v>5080</v>
      </c>
      <c r="D124" t="s">
        <v>979</v>
      </c>
      <c r="E124">
        <v>224583</v>
      </c>
      <c r="F124" t="s">
        <v>1042</v>
      </c>
      <c r="G124" t="s">
        <v>1005</v>
      </c>
    </row>
    <row r="125" spans="1:7">
      <c r="A125">
        <v>202604</v>
      </c>
      <c r="B125" t="s">
        <v>606</v>
      </c>
      <c r="C125">
        <v>5080</v>
      </c>
      <c r="D125" t="s">
        <v>979</v>
      </c>
      <c r="E125">
        <v>224583</v>
      </c>
      <c r="F125" t="s">
        <v>1042</v>
      </c>
      <c r="G125" t="s">
        <v>1005</v>
      </c>
    </row>
    <row r="126" spans="1:7">
      <c r="A126">
        <v>202605</v>
      </c>
      <c r="B126" t="s">
        <v>606</v>
      </c>
      <c r="C126">
        <v>5080</v>
      </c>
      <c r="D126" t="s">
        <v>979</v>
      </c>
      <c r="E126">
        <v>224583</v>
      </c>
      <c r="F126" t="s">
        <v>1042</v>
      </c>
      <c r="G126" t="s">
        <v>1005</v>
      </c>
    </row>
    <row r="127" spans="1:7">
      <c r="A127">
        <v>202606</v>
      </c>
      <c r="B127" t="s">
        <v>606</v>
      </c>
      <c r="C127">
        <v>5080</v>
      </c>
      <c r="D127" t="s">
        <v>979</v>
      </c>
      <c r="E127">
        <v>224583</v>
      </c>
      <c r="F127" t="s">
        <v>1042</v>
      </c>
      <c r="G127" t="s">
        <v>1005</v>
      </c>
    </row>
    <row r="128" spans="1:7">
      <c r="A128">
        <v>202607</v>
      </c>
      <c r="B128" t="s">
        <v>606</v>
      </c>
      <c r="C128">
        <v>5080</v>
      </c>
      <c r="D128" t="s">
        <v>979</v>
      </c>
      <c r="E128">
        <v>224583</v>
      </c>
      <c r="F128" t="s">
        <v>1042</v>
      </c>
      <c r="G128" t="s">
        <v>1005</v>
      </c>
    </row>
    <row r="129" spans="1:7">
      <c r="A129">
        <v>202608</v>
      </c>
      <c r="B129" t="s">
        <v>606</v>
      </c>
      <c r="C129">
        <v>5080</v>
      </c>
      <c r="D129" t="s">
        <v>979</v>
      </c>
      <c r="E129">
        <v>224583</v>
      </c>
      <c r="F129" t="s">
        <v>1042</v>
      </c>
      <c r="G129" t="s">
        <v>1005</v>
      </c>
    </row>
    <row r="130" spans="1:7">
      <c r="A130">
        <v>202609</v>
      </c>
      <c r="B130" t="s">
        <v>606</v>
      </c>
      <c r="C130">
        <v>5080</v>
      </c>
      <c r="D130" t="s">
        <v>979</v>
      </c>
      <c r="E130">
        <v>224583</v>
      </c>
      <c r="F130" t="s">
        <v>1042</v>
      </c>
      <c r="G130" t="s">
        <v>1005</v>
      </c>
    </row>
    <row r="131" spans="1:7">
      <c r="A131">
        <v>202610</v>
      </c>
      <c r="B131" t="s">
        <v>606</v>
      </c>
      <c r="C131">
        <v>5080</v>
      </c>
      <c r="D131" t="s">
        <v>979</v>
      </c>
      <c r="E131">
        <v>224583</v>
      </c>
      <c r="F131" t="s">
        <v>1042</v>
      </c>
      <c r="G131" t="s">
        <v>1005</v>
      </c>
    </row>
    <row r="132" spans="1:7">
      <c r="A132">
        <v>202611</v>
      </c>
      <c r="B132" t="s">
        <v>606</v>
      </c>
      <c r="C132">
        <v>5080</v>
      </c>
      <c r="D132" t="s">
        <v>979</v>
      </c>
      <c r="E132">
        <v>224583</v>
      </c>
      <c r="F132" t="s">
        <v>1042</v>
      </c>
      <c r="G132" t="s">
        <v>1005</v>
      </c>
    </row>
    <row r="133" spans="1:7">
      <c r="A133">
        <v>202612</v>
      </c>
      <c r="B133" t="s">
        <v>606</v>
      </c>
      <c r="C133">
        <v>5080</v>
      </c>
      <c r="D133" t="s">
        <v>979</v>
      </c>
      <c r="E133">
        <v>224587</v>
      </c>
      <c r="F133" t="s">
        <v>1042</v>
      </c>
      <c r="G133" t="s">
        <v>1005</v>
      </c>
    </row>
    <row r="134" spans="1:7">
      <c r="A134">
        <v>202601</v>
      </c>
      <c r="B134" t="s">
        <v>606</v>
      </c>
      <c r="C134">
        <v>5400</v>
      </c>
      <c r="D134" t="s">
        <v>979</v>
      </c>
      <c r="E134">
        <v>256666</v>
      </c>
      <c r="F134" t="s">
        <v>1042</v>
      </c>
      <c r="G134" t="s">
        <v>1005</v>
      </c>
    </row>
    <row r="135" spans="1:7">
      <c r="A135">
        <v>202602</v>
      </c>
      <c r="B135" t="s">
        <v>606</v>
      </c>
      <c r="C135">
        <v>5400</v>
      </c>
      <c r="D135" t="s">
        <v>979</v>
      </c>
      <c r="E135">
        <v>256666</v>
      </c>
      <c r="F135" t="s">
        <v>1042</v>
      </c>
      <c r="G135" t="s">
        <v>1005</v>
      </c>
    </row>
    <row r="136" spans="1:7">
      <c r="A136">
        <v>202603</v>
      </c>
      <c r="B136" t="s">
        <v>606</v>
      </c>
      <c r="C136">
        <v>5400</v>
      </c>
      <c r="D136" t="s">
        <v>979</v>
      </c>
      <c r="E136">
        <v>256666</v>
      </c>
      <c r="F136" t="s">
        <v>1042</v>
      </c>
      <c r="G136" t="s">
        <v>1005</v>
      </c>
    </row>
    <row r="137" spans="1:7">
      <c r="A137">
        <v>202604</v>
      </c>
      <c r="B137" t="s">
        <v>606</v>
      </c>
      <c r="C137">
        <v>5400</v>
      </c>
      <c r="D137" t="s">
        <v>979</v>
      </c>
      <c r="E137">
        <v>256666</v>
      </c>
      <c r="F137" t="s">
        <v>1042</v>
      </c>
      <c r="G137" t="s">
        <v>1005</v>
      </c>
    </row>
    <row r="138" spans="1:7">
      <c r="A138">
        <v>202605</v>
      </c>
      <c r="B138" t="s">
        <v>606</v>
      </c>
      <c r="C138">
        <v>5400</v>
      </c>
      <c r="D138" t="s">
        <v>979</v>
      </c>
      <c r="E138">
        <v>256666</v>
      </c>
      <c r="F138" t="s">
        <v>1042</v>
      </c>
      <c r="G138" t="s">
        <v>1005</v>
      </c>
    </row>
    <row r="139" spans="1:7">
      <c r="A139">
        <v>202606</v>
      </c>
      <c r="B139" t="s">
        <v>606</v>
      </c>
      <c r="C139">
        <v>5400</v>
      </c>
      <c r="D139" t="s">
        <v>979</v>
      </c>
      <c r="E139">
        <v>256666</v>
      </c>
      <c r="F139" t="s">
        <v>1042</v>
      </c>
      <c r="G139" t="s">
        <v>1005</v>
      </c>
    </row>
    <row r="140" spans="1:7">
      <c r="A140">
        <v>202607</v>
      </c>
      <c r="B140" t="s">
        <v>606</v>
      </c>
      <c r="C140">
        <v>5400</v>
      </c>
      <c r="D140" t="s">
        <v>979</v>
      </c>
      <c r="E140">
        <v>256666</v>
      </c>
      <c r="F140" t="s">
        <v>1042</v>
      </c>
      <c r="G140" t="s">
        <v>1005</v>
      </c>
    </row>
    <row r="141" spans="1:7">
      <c r="A141">
        <v>202608</v>
      </c>
      <c r="B141" t="s">
        <v>606</v>
      </c>
      <c r="C141">
        <v>5400</v>
      </c>
      <c r="D141" t="s">
        <v>979</v>
      </c>
      <c r="E141">
        <v>256666</v>
      </c>
      <c r="F141" t="s">
        <v>1042</v>
      </c>
      <c r="G141" t="s">
        <v>1005</v>
      </c>
    </row>
    <row r="142" spans="1:7">
      <c r="A142">
        <v>202609</v>
      </c>
      <c r="B142" t="s">
        <v>606</v>
      </c>
      <c r="C142">
        <v>5400</v>
      </c>
      <c r="D142" t="s">
        <v>979</v>
      </c>
      <c r="E142">
        <v>256666</v>
      </c>
      <c r="F142" t="s">
        <v>1042</v>
      </c>
      <c r="G142" t="s">
        <v>1005</v>
      </c>
    </row>
    <row r="143" spans="1:7">
      <c r="A143">
        <v>202610</v>
      </c>
      <c r="B143" t="s">
        <v>606</v>
      </c>
      <c r="C143">
        <v>5400</v>
      </c>
      <c r="D143" t="s">
        <v>979</v>
      </c>
      <c r="E143">
        <v>256666</v>
      </c>
      <c r="F143" t="s">
        <v>1042</v>
      </c>
      <c r="G143" t="s">
        <v>1005</v>
      </c>
    </row>
    <row r="144" spans="1:7">
      <c r="A144">
        <v>202611</v>
      </c>
      <c r="B144" t="s">
        <v>606</v>
      </c>
      <c r="C144">
        <v>5400</v>
      </c>
      <c r="D144" t="s">
        <v>979</v>
      </c>
      <c r="E144">
        <v>256666</v>
      </c>
      <c r="F144" t="s">
        <v>1042</v>
      </c>
      <c r="G144" t="s">
        <v>1005</v>
      </c>
    </row>
    <row r="145" spans="1:7">
      <c r="A145">
        <v>202612</v>
      </c>
      <c r="B145" t="s">
        <v>606</v>
      </c>
      <c r="C145">
        <v>5400</v>
      </c>
      <c r="D145" t="s">
        <v>979</v>
      </c>
      <c r="E145">
        <v>256674</v>
      </c>
      <c r="F145" t="s">
        <v>1042</v>
      </c>
      <c r="G145" t="s">
        <v>1005</v>
      </c>
    </row>
    <row r="146" spans="1:7">
      <c r="A146">
        <v>202601</v>
      </c>
      <c r="B146" t="s">
        <v>606</v>
      </c>
      <c r="C146">
        <v>5420</v>
      </c>
      <c r="D146" t="s">
        <v>979</v>
      </c>
      <c r="E146">
        <v>192500</v>
      </c>
      <c r="F146" t="s">
        <v>1042</v>
      </c>
      <c r="G146" t="s">
        <v>1005</v>
      </c>
    </row>
    <row r="147" spans="1:7">
      <c r="A147">
        <v>202602</v>
      </c>
      <c r="B147" t="s">
        <v>606</v>
      </c>
      <c r="C147">
        <v>5420</v>
      </c>
      <c r="D147" t="s">
        <v>979</v>
      </c>
      <c r="E147">
        <v>192500</v>
      </c>
      <c r="F147" t="s">
        <v>1042</v>
      </c>
      <c r="G147" t="s">
        <v>1005</v>
      </c>
    </row>
    <row r="148" spans="1:7">
      <c r="A148">
        <v>202603</v>
      </c>
      <c r="B148" t="s">
        <v>606</v>
      </c>
      <c r="C148">
        <v>5420</v>
      </c>
      <c r="D148" t="s">
        <v>979</v>
      </c>
      <c r="E148">
        <v>192500</v>
      </c>
      <c r="F148" t="s">
        <v>1042</v>
      </c>
      <c r="G148" t="s">
        <v>1005</v>
      </c>
    </row>
    <row r="149" spans="1:7">
      <c r="A149">
        <v>202604</v>
      </c>
      <c r="B149" t="s">
        <v>606</v>
      </c>
      <c r="C149">
        <v>5420</v>
      </c>
      <c r="D149" t="s">
        <v>979</v>
      </c>
      <c r="E149">
        <v>192500</v>
      </c>
      <c r="F149" t="s">
        <v>1042</v>
      </c>
      <c r="G149" t="s">
        <v>1005</v>
      </c>
    </row>
    <row r="150" spans="1:7">
      <c r="A150">
        <v>202605</v>
      </c>
      <c r="B150" t="s">
        <v>606</v>
      </c>
      <c r="C150">
        <v>5420</v>
      </c>
      <c r="D150" t="s">
        <v>979</v>
      </c>
      <c r="E150">
        <v>192500</v>
      </c>
      <c r="F150" t="s">
        <v>1042</v>
      </c>
      <c r="G150" t="s">
        <v>1005</v>
      </c>
    </row>
    <row r="151" spans="1:7">
      <c r="A151">
        <v>202606</v>
      </c>
      <c r="B151" t="s">
        <v>606</v>
      </c>
      <c r="C151">
        <v>5420</v>
      </c>
      <c r="D151" t="s">
        <v>979</v>
      </c>
      <c r="E151">
        <v>192500</v>
      </c>
      <c r="F151" t="s">
        <v>1042</v>
      </c>
      <c r="G151" t="s">
        <v>1005</v>
      </c>
    </row>
    <row r="152" spans="1:7">
      <c r="A152">
        <v>202607</v>
      </c>
      <c r="B152" t="s">
        <v>606</v>
      </c>
      <c r="C152">
        <v>5420</v>
      </c>
      <c r="D152" t="s">
        <v>979</v>
      </c>
      <c r="E152">
        <v>192500</v>
      </c>
      <c r="F152" t="s">
        <v>1042</v>
      </c>
      <c r="G152" t="s">
        <v>1005</v>
      </c>
    </row>
    <row r="153" spans="1:7">
      <c r="A153">
        <v>202608</v>
      </c>
      <c r="B153" t="s">
        <v>606</v>
      </c>
      <c r="C153">
        <v>5420</v>
      </c>
      <c r="D153" t="s">
        <v>979</v>
      </c>
      <c r="E153">
        <v>192500</v>
      </c>
      <c r="F153" t="s">
        <v>1042</v>
      </c>
      <c r="G153" t="s">
        <v>1005</v>
      </c>
    </row>
    <row r="154" spans="1:7">
      <c r="A154">
        <v>202609</v>
      </c>
      <c r="B154" t="s">
        <v>606</v>
      </c>
      <c r="C154">
        <v>5420</v>
      </c>
      <c r="D154" t="s">
        <v>979</v>
      </c>
      <c r="E154">
        <v>192500</v>
      </c>
      <c r="F154" t="s">
        <v>1042</v>
      </c>
      <c r="G154" t="s">
        <v>1005</v>
      </c>
    </row>
    <row r="155" spans="1:7">
      <c r="A155">
        <v>202610</v>
      </c>
      <c r="B155" t="s">
        <v>606</v>
      </c>
      <c r="C155">
        <v>5420</v>
      </c>
      <c r="D155" t="s">
        <v>979</v>
      </c>
      <c r="E155">
        <v>192500</v>
      </c>
      <c r="F155" t="s">
        <v>1042</v>
      </c>
      <c r="G155" t="s">
        <v>1005</v>
      </c>
    </row>
    <row r="156" spans="1:7">
      <c r="A156">
        <v>202611</v>
      </c>
      <c r="B156" t="s">
        <v>606</v>
      </c>
      <c r="C156">
        <v>5420</v>
      </c>
      <c r="D156" t="s">
        <v>979</v>
      </c>
      <c r="E156">
        <v>192500</v>
      </c>
      <c r="F156" t="s">
        <v>1042</v>
      </c>
      <c r="G156" t="s">
        <v>1005</v>
      </c>
    </row>
    <row r="157" spans="1:7">
      <c r="A157">
        <v>202612</v>
      </c>
      <c r="B157" t="s">
        <v>606</v>
      </c>
      <c r="C157">
        <v>5420</v>
      </c>
      <c r="D157" t="s">
        <v>979</v>
      </c>
      <c r="E157">
        <v>192500</v>
      </c>
      <c r="F157" t="s">
        <v>1042</v>
      </c>
      <c r="G157" t="s">
        <v>1005</v>
      </c>
    </row>
    <row r="158" spans="1:7">
      <c r="A158">
        <v>202601</v>
      </c>
      <c r="B158" t="s">
        <v>606</v>
      </c>
      <c r="C158">
        <v>5100</v>
      </c>
      <c r="D158" t="s">
        <v>979</v>
      </c>
      <c r="E158">
        <v>128333</v>
      </c>
      <c r="F158" t="s">
        <v>1042</v>
      </c>
      <c r="G158" t="s">
        <v>1005</v>
      </c>
    </row>
    <row r="159" spans="1:7">
      <c r="A159">
        <v>202602</v>
      </c>
      <c r="B159" t="s">
        <v>606</v>
      </c>
      <c r="C159">
        <v>5100</v>
      </c>
      <c r="D159" t="s">
        <v>979</v>
      </c>
      <c r="E159">
        <v>128333</v>
      </c>
      <c r="F159" t="s">
        <v>1042</v>
      </c>
      <c r="G159" t="s">
        <v>1005</v>
      </c>
    </row>
    <row r="160" spans="1:7">
      <c r="A160">
        <v>202603</v>
      </c>
      <c r="B160" t="s">
        <v>606</v>
      </c>
      <c r="C160">
        <v>5100</v>
      </c>
      <c r="D160" t="s">
        <v>979</v>
      </c>
      <c r="E160">
        <v>128333</v>
      </c>
      <c r="F160" t="s">
        <v>1042</v>
      </c>
      <c r="G160" t="s">
        <v>1005</v>
      </c>
    </row>
    <row r="161" spans="1:7">
      <c r="A161">
        <v>202604</v>
      </c>
      <c r="B161" t="s">
        <v>606</v>
      </c>
      <c r="C161">
        <v>5100</v>
      </c>
      <c r="D161" t="s">
        <v>979</v>
      </c>
      <c r="E161">
        <v>128333</v>
      </c>
      <c r="F161" t="s">
        <v>1042</v>
      </c>
      <c r="G161" t="s">
        <v>1005</v>
      </c>
    </row>
    <row r="162" spans="1:7">
      <c r="A162">
        <v>202605</v>
      </c>
      <c r="B162" t="s">
        <v>606</v>
      </c>
      <c r="C162">
        <v>5100</v>
      </c>
      <c r="D162" t="s">
        <v>979</v>
      </c>
      <c r="E162">
        <v>128333</v>
      </c>
      <c r="F162" t="s">
        <v>1042</v>
      </c>
      <c r="G162" t="s">
        <v>1005</v>
      </c>
    </row>
    <row r="163" spans="1:7">
      <c r="A163">
        <v>202606</v>
      </c>
      <c r="B163" t="s">
        <v>606</v>
      </c>
      <c r="C163">
        <v>5100</v>
      </c>
      <c r="D163" t="s">
        <v>979</v>
      </c>
      <c r="E163">
        <v>128333</v>
      </c>
      <c r="F163" t="s">
        <v>1042</v>
      </c>
      <c r="G163" t="s">
        <v>1005</v>
      </c>
    </row>
    <row r="164" spans="1:7">
      <c r="A164">
        <v>202607</v>
      </c>
      <c r="B164" t="s">
        <v>606</v>
      </c>
      <c r="C164">
        <v>5100</v>
      </c>
      <c r="D164" t="s">
        <v>979</v>
      </c>
      <c r="E164">
        <v>128333</v>
      </c>
      <c r="F164" t="s">
        <v>1042</v>
      </c>
      <c r="G164" t="s">
        <v>1005</v>
      </c>
    </row>
    <row r="165" spans="1:7">
      <c r="A165">
        <v>202608</v>
      </c>
      <c r="B165" t="s">
        <v>606</v>
      </c>
      <c r="C165">
        <v>5100</v>
      </c>
      <c r="D165" t="s">
        <v>979</v>
      </c>
      <c r="E165">
        <v>128333</v>
      </c>
      <c r="F165" t="s">
        <v>1042</v>
      </c>
      <c r="G165" t="s">
        <v>1005</v>
      </c>
    </row>
    <row r="166" spans="1:7">
      <c r="A166">
        <v>202609</v>
      </c>
      <c r="B166" t="s">
        <v>606</v>
      </c>
      <c r="C166">
        <v>5100</v>
      </c>
      <c r="D166" t="s">
        <v>979</v>
      </c>
      <c r="E166">
        <v>128333</v>
      </c>
      <c r="F166" t="s">
        <v>1042</v>
      </c>
      <c r="G166" t="s">
        <v>1005</v>
      </c>
    </row>
    <row r="167" spans="1:7">
      <c r="A167">
        <v>202610</v>
      </c>
      <c r="B167" t="s">
        <v>606</v>
      </c>
      <c r="C167">
        <v>5100</v>
      </c>
      <c r="D167" t="s">
        <v>979</v>
      </c>
      <c r="E167">
        <v>128333</v>
      </c>
      <c r="F167" t="s">
        <v>1042</v>
      </c>
      <c r="G167" t="s">
        <v>1005</v>
      </c>
    </row>
    <row r="168" spans="1:7">
      <c r="A168">
        <v>202611</v>
      </c>
      <c r="B168" t="s">
        <v>606</v>
      </c>
      <c r="C168">
        <v>5100</v>
      </c>
      <c r="D168" t="s">
        <v>979</v>
      </c>
      <c r="E168">
        <v>128333</v>
      </c>
      <c r="F168" t="s">
        <v>1042</v>
      </c>
      <c r="G168" t="s">
        <v>1005</v>
      </c>
    </row>
    <row r="169" spans="1:7">
      <c r="A169">
        <v>202612</v>
      </c>
      <c r="B169" t="s">
        <v>606</v>
      </c>
      <c r="C169">
        <v>5100</v>
      </c>
      <c r="D169" t="s">
        <v>979</v>
      </c>
      <c r="E169">
        <v>128337</v>
      </c>
      <c r="F169" t="s">
        <v>1042</v>
      </c>
      <c r="G169" t="s">
        <v>1005</v>
      </c>
    </row>
    <row r="170" spans="1:7">
      <c r="A170">
        <v>202601</v>
      </c>
      <c r="B170" t="s">
        <v>606</v>
      </c>
      <c r="C170">
        <v>6300</v>
      </c>
      <c r="D170" t="s">
        <v>979</v>
      </c>
      <c r="E170">
        <v>256666</v>
      </c>
      <c r="F170" t="s">
        <v>1042</v>
      </c>
      <c r="G170" t="s">
        <v>1005</v>
      </c>
    </row>
    <row r="171" spans="1:7">
      <c r="A171">
        <v>202602</v>
      </c>
      <c r="B171" t="s">
        <v>606</v>
      </c>
      <c r="C171">
        <v>6300</v>
      </c>
      <c r="D171" t="s">
        <v>979</v>
      </c>
      <c r="E171">
        <v>256666</v>
      </c>
      <c r="F171" t="s">
        <v>1042</v>
      </c>
      <c r="G171" t="s">
        <v>1005</v>
      </c>
    </row>
    <row r="172" spans="1:7">
      <c r="A172">
        <v>202603</v>
      </c>
      <c r="B172" t="s">
        <v>606</v>
      </c>
      <c r="C172">
        <v>6300</v>
      </c>
      <c r="D172" t="s">
        <v>979</v>
      </c>
      <c r="E172">
        <v>256666</v>
      </c>
      <c r="F172" t="s">
        <v>1042</v>
      </c>
      <c r="G172" t="s">
        <v>1005</v>
      </c>
    </row>
    <row r="173" spans="1:7">
      <c r="A173">
        <v>202604</v>
      </c>
      <c r="B173" t="s">
        <v>606</v>
      </c>
      <c r="C173">
        <v>6300</v>
      </c>
      <c r="D173" t="s">
        <v>979</v>
      </c>
      <c r="E173">
        <v>256666</v>
      </c>
      <c r="F173" t="s">
        <v>1042</v>
      </c>
      <c r="G173" t="s">
        <v>1005</v>
      </c>
    </row>
    <row r="174" spans="1:7">
      <c r="A174">
        <v>202605</v>
      </c>
      <c r="B174" t="s">
        <v>606</v>
      </c>
      <c r="C174">
        <v>6300</v>
      </c>
      <c r="D174" t="s">
        <v>979</v>
      </c>
      <c r="E174">
        <v>256666</v>
      </c>
      <c r="F174" t="s">
        <v>1042</v>
      </c>
      <c r="G174" t="s">
        <v>1005</v>
      </c>
    </row>
    <row r="175" spans="1:7">
      <c r="A175">
        <v>202606</v>
      </c>
      <c r="B175" t="s">
        <v>606</v>
      </c>
      <c r="C175">
        <v>6300</v>
      </c>
      <c r="D175" t="s">
        <v>979</v>
      </c>
      <c r="E175">
        <v>256666</v>
      </c>
      <c r="F175" t="s">
        <v>1042</v>
      </c>
      <c r="G175" t="s">
        <v>1005</v>
      </c>
    </row>
    <row r="176" spans="1:7">
      <c r="A176">
        <v>202607</v>
      </c>
      <c r="B176" t="s">
        <v>606</v>
      </c>
      <c r="C176">
        <v>6300</v>
      </c>
      <c r="D176" t="s">
        <v>979</v>
      </c>
      <c r="E176">
        <v>256666</v>
      </c>
      <c r="F176" t="s">
        <v>1042</v>
      </c>
      <c r="G176" t="s">
        <v>1005</v>
      </c>
    </row>
    <row r="177" spans="1:7">
      <c r="A177">
        <v>202608</v>
      </c>
      <c r="B177" t="s">
        <v>606</v>
      </c>
      <c r="C177">
        <v>6300</v>
      </c>
      <c r="D177" t="s">
        <v>979</v>
      </c>
      <c r="E177">
        <v>256666</v>
      </c>
      <c r="F177" t="s">
        <v>1042</v>
      </c>
      <c r="G177" t="s">
        <v>1005</v>
      </c>
    </row>
    <row r="178" spans="1:7">
      <c r="A178">
        <v>202609</v>
      </c>
      <c r="B178" t="s">
        <v>606</v>
      </c>
      <c r="C178">
        <v>6300</v>
      </c>
      <c r="D178" t="s">
        <v>979</v>
      </c>
      <c r="E178">
        <v>256666</v>
      </c>
      <c r="F178" t="s">
        <v>1042</v>
      </c>
      <c r="G178" t="s">
        <v>1005</v>
      </c>
    </row>
    <row r="179" spans="1:7">
      <c r="A179">
        <v>202610</v>
      </c>
      <c r="B179" t="s">
        <v>606</v>
      </c>
      <c r="C179">
        <v>6300</v>
      </c>
      <c r="D179" t="s">
        <v>979</v>
      </c>
      <c r="E179">
        <v>256666</v>
      </c>
      <c r="F179" t="s">
        <v>1042</v>
      </c>
      <c r="G179" t="s">
        <v>1005</v>
      </c>
    </row>
    <row r="180" spans="1:7">
      <c r="A180">
        <v>202611</v>
      </c>
      <c r="B180" t="s">
        <v>606</v>
      </c>
      <c r="C180">
        <v>6300</v>
      </c>
      <c r="D180" t="s">
        <v>979</v>
      </c>
      <c r="E180">
        <v>256666</v>
      </c>
      <c r="F180" t="s">
        <v>1042</v>
      </c>
      <c r="G180" t="s">
        <v>1005</v>
      </c>
    </row>
    <row r="181" spans="1:7">
      <c r="A181">
        <v>202612</v>
      </c>
      <c r="B181" t="s">
        <v>606</v>
      </c>
      <c r="C181">
        <v>6300</v>
      </c>
      <c r="D181" t="s">
        <v>979</v>
      </c>
      <c r="E181">
        <v>256674</v>
      </c>
      <c r="F181" t="s">
        <v>1042</v>
      </c>
      <c r="G181" t="s">
        <v>1005</v>
      </c>
    </row>
    <row r="182" spans="1:7">
      <c r="A182">
        <v>202601</v>
      </c>
      <c r="B182" t="s">
        <v>606</v>
      </c>
      <c r="C182">
        <v>6550</v>
      </c>
      <c r="D182" t="s">
        <v>979</v>
      </c>
      <c r="E182">
        <v>96250</v>
      </c>
      <c r="F182" t="s">
        <v>1042</v>
      </c>
      <c r="G182" t="s">
        <v>1005</v>
      </c>
    </row>
    <row r="183" spans="1:7">
      <c r="A183">
        <v>202602</v>
      </c>
      <c r="B183" t="s">
        <v>606</v>
      </c>
      <c r="C183">
        <v>6550</v>
      </c>
      <c r="D183" t="s">
        <v>979</v>
      </c>
      <c r="E183">
        <v>96250</v>
      </c>
      <c r="F183" t="s">
        <v>1042</v>
      </c>
      <c r="G183" t="s">
        <v>1005</v>
      </c>
    </row>
    <row r="184" spans="1:7">
      <c r="A184">
        <v>202603</v>
      </c>
      <c r="B184" t="s">
        <v>606</v>
      </c>
      <c r="C184">
        <v>6550</v>
      </c>
      <c r="D184" t="s">
        <v>979</v>
      </c>
      <c r="E184">
        <v>96250</v>
      </c>
      <c r="F184" t="s">
        <v>1042</v>
      </c>
      <c r="G184" t="s">
        <v>1005</v>
      </c>
    </row>
    <row r="185" spans="1:7">
      <c r="A185">
        <v>202604</v>
      </c>
      <c r="B185" t="s">
        <v>606</v>
      </c>
      <c r="C185">
        <v>6550</v>
      </c>
      <c r="D185" t="s">
        <v>979</v>
      </c>
      <c r="E185">
        <v>96250</v>
      </c>
      <c r="F185" t="s">
        <v>1042</v>
      </c>
      <c r="G185" t="s">
        <v>1005</v>
      </c>
    </row>
    <row r="186" spans="1:7">
      <c r="A186">
        <v>202605</v>
      </c>
      <c r="B186" t="s">
        <v>606</v>
      </c>
      <c r="C186">
        <v>6550</v>
      </c>
      <c r="D186" t="s">
        <v>979</v>
      </c>
      <c r="E186">
        <v>96250</v>
      </c>
      <c r="F186" t="s">
        <v>1042</v>
      </c>
      <c r="G186" t="s">
        <v>1005</v>
      </c>
    </row>
    <row r="187" spans="1:7">
      <c r="A187">
        <v>202606</v>
      </c>
      <c r="B187" t="s">
        <v>606</v>
      </c>
      <c r="C187">
        <v>6550</v>
      </c>
      <c r="D187" t="s">
        <v>979</v>
      </c>
      <c r="E187">
        <v>96250</v>
      </c>
      <c r="F187" t="s">
        <v>1042</v>
      </c>
      <c r="G187" t="s">
        <v>1005</v>
      </c>
    </row>
    <row r="188" spans="1:7">
      <c r="A188">
        <v>202607</v>
      </c>
      <c r="B188" t="s">
        <v>606</v>
      </c>
      <c r="C188">
        <v>6550</v>
      </c>
      <c r="D188" t="s">
        <v>979</v>
      </c>
      <c r="E188">
        <v>96250</v>
      </c>
      <c r="F188" t="s">
        <v>1042</v>
      </c>
      <c r="G188" t="s">
        <v>1005</v>
      </c>
    </row>
    <row r="189" spans="1:7">
      <c r="A189">
        <v>202608</v>
      </c>
      <c r="B189" t="s">
        <v>606</v>
      </c>
      <c r="C189">
        <v>6550</v>
      </c>
      <c r="D189" t="s">
        <v>979</v>
      </c>
      <c r="E189">
        <v>96250</v>
      </c>
      <c r="F189" t="s">
        <v>1042</v>
      </c>
      <c r="G189" t="s">
        <v>1005</v>
      </c>
    </row>
    <row r="190" spans="1:7">
      <c r="A190">
        <v>202609</v>
      </c>
      <c r="B190" t="s">
        <v>606</v>
      </c>
      <c r="C190">
        <v>6550</v>
      </c>
      <c r="D190" t="s">
        <v>979</v>
      </c>
      <c r="E190">
        <v>96250</v>
      </c>
      <c r="F190" t="s">
        <v>1042</v>
      </c>
      <c r="G190" t="s">
        <v>1005</v>
      </c>
    </row>
    <row r="191" spans="1:7">
      <c r="A191">
        <v>202610</v>
      </c>
      <c r="B191" t="s">
        <v>606</v>
      </c>
      <c r="C191">
        <v>6550</v>
      </c>
      <c r="D191" t="s">
        <v>979</v>
      </c>
      <c r="E191">
        <v>96250</v>
      </c>
      <c r="F191" t="s">
        <v>1042</v>
      </c>
      <c r="G191" t="s">
        <v>1005</v>
      </c>
    </row>
    <row r="192" spans="1:7">
      <c r="A192">
        <v>202611</v>
      </c>
      <c r="B192" t="s">
        <v>606</v>
      </c>
      <c r="C192">
        <v>6550</v>
      </c>
      <c r="D192" t="s">
        <v>979</v>
      </c>
      <c r="E192">
        <v>96250</v>
      </c>
      <c r="F192" t="s">
        <v>1042</v>
      </c>
      <c r="G192" t="s">
        <v>1005</v>
      </c>
    </row>
    <row r="193" spans="1:7">
      <c r="A193">
        <v>202612</v>
      </c>
      <c r="B193" t="s">
        <v>606</v>
      </c>
      <c r="C193">
        <v>6550</v>
      </c>
      <c r="D193" t="s">
        <v>979</v>
      </c>
      <c r="E193">
        <v>96250</v>
      </c>
      <c r="F193" t="s">
        <v>1042</v>
      </c>
      <c r="G193" t="s">
        <v>1005</v>
      </c>
    </row>
    <row r="194" spans="1:7">
      <c r="A194">
        <v>202601</v>
      </c>
      <c r="B194" t="s">
        <v>606</v>
      </c>
      <c r="C194">
        <v>6700</v>
      </c>
      <c r="D194" t="s">
        <v>979</v>
      </c>
      <c r="E194">
        <v>96250</v>
      </c>
      <c r="F194" t="s">
        <v>1042</v>
      </c>
      <c r="G194" t="s">
        <v>1005</v>
      </c>
    </row>
    <row r="195" spans="1:7">
      <c r="A195">
        <v>202602</v>
      </c>
      <c r="B195" t="s">
        <v>606</v>
      </c>
      <c r="C195">
        <v>6700</v>
      </c>
      <c r="D195" t="s">
        <v>979</v>
      </c>
      <c r="E195">
        <v>96250</v>
      </c>
      <c r="F195" t="s">
        <v>1042</v>
      </c>
      <c r="G195" t="s">
        <v>1005</v>
      </c>
    </row>
    <row r="196" spans="1:7">
      <c r="A196">
        <v>202603</v>
      </c>
      <c r="B196" t="s">
        <v>606</v>
      </c>
      <c r="C196">
        <v>6700</v>
      </c>
      <c r="D196" t="s">
        <v>979</v>
      </c>
      <c r="E196">
        <v>96250</v>
      </c>
      <c r="F196" t="s">
        <v>1042</v>
      </c>
      <c r="G196" t="s">
        <v>1005</v>
      </c>
    </row>
    <row r="197" spans="1:7">
      <c r="A197">
        <v>202604</v>
      </c>
      <c r="B197" t="s">
        <v>606</v>
      </c>
      <c r="C197">
        <v>6700</v>
      </c>
      <c r="D197" t="s">
        <v>979</v>
      </c>
      <c r="E197">
        <v>96250</v>
      </c>
      <c r="F197" t="s">
        <v>1042</v>
      </c>
      <c r="G197" t="s">
        <v>1005</v>
      </c>
    </row>
    <row r="198" spans="1:7">
      <c r="A198">
        <v>202605</v>
      </c>
      <c r="B198" t="s">
        <v>606</v>
      </c>
      <c r="C198">
        <v>6700</v>
      </c>
      <c r="D198" t="s">
        <v>979</v>
      </c>
      <c r="E198">
        <v>96250</v>
      </c>
      <c r="F198" t="s">
        <v>1042</v>
      </c>
      <c r="G198" t="s">
        <v>1005</v>
      </c>
    </row>
    <row r="199" spans="1:7">
      <c r="A199">
        <v>202606</v>
      </c>
      <c r="B199" t="s">
        <v>606</v>
      </c>
      <c r="C199">
        <v>6700</v>
      </c>
      <c r="D199" t="s">
        <v>979</v>
      </c>
      <c r="E199">
        <v>96250</v>
      </c>
      <c r="F199" t="s">
        <v>1042</v>
      </c>
      <c r="G199" t="s">
        <v>1005</v>
      </c>
    </row>
    <row r="200" spans="1:7">
      <c r="A200">
        <v>202607</v>
      </c>
      <c r="B200" t="s">
        <v>606</v>
      </c>
      <c r="C200">
        <v>6700</v>
      </c>
      <c r="D200" t="s">
        <v>979</v>
      </c>
      <c r="E200">
        <v>96250</v>
      </c>
      <c r="F200" t="s">
        <v>1042</v>
      </c>
      <c r="G200" t="s">
        <v>1005</v>
      </c>
    </row>
    <row r="201" spans="1:7">
      <c r="A201">
        <v>202608</v>
      </c>
      <c r="B201" t="s">
        <v>606</v>
      </c>
      <c r="C201">
        <v>6700</v>
      </c>
      <c r="D201" t="s">
        <v>979</v>
      </c>
      <c r="E201">
        <v>96250</v>
      </c>
      <c r="F201" t="s">
        <v>1042</v>
      </c>
      <c r="G201" t="s">
        <v>1005</v>
      </c>
    </row>
    <row r="202" spans="1:7">
      <c r="A202">
        <v>202609</v>
      </c>
      <c r="B202" t="s">
        <v>606</v>
      </c>
      <c r="C202">
        <v>6700</v>
      </c>
      <c r="D202" t="s">
        <v>979</v>
      </c>
      <c r="E202">
        <v>96250</v>
      </c>
      <c r="F202" t="s">
        <v>1042</v>
      </c>
      <c r="G202" t="s">
        <v>1005</v>
      </c>
    </row>
    <row r="203" spans="1:7">
      <c r="A203">
        <v>202610</v>
      </c>
      <c r="B203" t="s">
        <v>606</v>
      </c>
      <c r="C203">
        <v>6700</v>
      </c>
      <c r="D203" t="s">
        <v>979</v>
      </c>
      <c r="E203">
        <v>96250</v>
      </c>
      <c r="F203" t="s">
        <v>1042</v>
      </c>
      <c r="G203" t="s">
        <v>1005</v>
      </c>
    </row>
    <row r="204" spans="1:7">
      <c r="A204">
        <v>202611</v>
      </c>
      <c r="B204" t="s">
        <v>606</v>
      </c>
      <c r="C204">
        <v>6700</v>
      </c>
      <c r="D204" t="s">
        <v>979</v>
      </c>
      <c r="E204">
        <v>96250</v>
      </c>
      <c r="F204" t="s">
        <v>1042</v>
      </c>
      <c r="G204" t="s">
        <v>1005</v>
      </c>
    </row>
    <row r="205" spans="1:7">
      <c r="A205">
        <v>202612</v>
      </c>
      <c r="B205" t="s">
        <v>606</v>
      </c>
      <c r="C205">
        <v>6700</v>
      </c>
      <c r="D205" t="s">
        <v>979</v>
      </c>
      <c r="E205">
        <v>96250</v>
      </c>
      <c r="F205" t="s">
        <v>1042</v>
      </c>
      <c r="G205" t="s">
        <v>1005</v>
      </c>
    </row>
    <row r="206" spans="1:7">
      <c r="A206">
        <v>202601</v>
      </c>
      <c r="B206" t="s">
        <v>606</v>
      </c>
      <c r="C206">
        <v>7130</v>
      </c>
      <c r="D206" t="s">
        <v>979</v>
      </c>
      <c r="E206">
        <v>96250</v>
      </c>
      <c r="F206" t="s">
        <v>1042</v>
      </c>
      <c r="G206" t="s">
        <v>1005</v>
      </c>
    </row>
    <row r="207" spans="1:7">
      <c r="A207">
        <v>202602</v>
      </c>
      <c r="B207" t="s">
        <v>606</v>
      </c>
      <c r="C207">
        <v>7130</v>
      </c>
      <c r="D207" t="s">
        <v>979</v>
      </c>
      <c r="E207">
        <v>96250</v>
      </c>
      <c r="F207" t="s">
        <v>1042</v>
      </c>
      <c r="G207" t="s">
        <v>1005</v>
      </c>
    </row>
    <row r="208" spans="1:7">
      <c r="A208">
        <v>202603</v>
      </c>
      <c r="B208" t="s">
        <v>606</v>
      </c>
      <c r="C208">
        <v>7130</v>
      </c>
      <c r="D208" t="s">
        <v>979</v>
      </c>
      <c r="E208">
        <v>96250</v>
      </c>
      <c r="F208" t="s">
        <v>1042</v>
      </c>
      <c r="G208" t="s">
        <v>1005</v>
      </c>
    </row>
    <row r="209" spans="1:7">
      <c r="A209">
        <v>202604</v>
      </c>
      <c r="B209" t="s">
        <v>606</v>
      </c>
      <c r="C209">
        <v>7130</v>
      </c>
      <c r="D209" t="s">
        <v>979</v>
      </c>
      <c r="E209">
        <v>96250</v>
      </c>
      <c r="F209" t="s">
        <v>1042</v>
      </c>
      <c r="G209" t="s">
        <v>1005</v>
      </c>
    </row>
    <row r="210" spans="1:7">
      <c r="A210">
        <v>202605</v>
      </c>
      <c r="B210" t="s">
        <v>606</v>
      </c>
      <c r="C210">
        <v>7130</v>
      </c>
      <c r="D210" t="s">
        <v>979</v>
      </c>
      <c r="E210">
        <v>96250</v>
      </c>
      <c r="F210" t="s">
        <v>1042</v>
      </c>
      <c r="G210" t="s">
        <v>1005</v>
      </c>
    </row>
    <row r="211" spans="1:7">
      <c r="A211">
        <v>202606</v>
      </c>
      <c r="B211" t="s">
        <v>606</v>
      </c>
      <c r="C211">
        <v>7130</v>
      </c>
      <c r="D211" t="s">
        <v>979</v>
      </c>
      <c r="E211">
        <v>96250</v>
      </c>
      <c r="F211" t="s">
        <v>1042</v>
      </c>
      <c r="G211" t="s">
        <v>1005</v>
      </c>
    </row>
    <row r="212" spans="1:7">
      <c r="A212">
        <v>202607</v>
      </c>
      <c r="B212" t="s">
        <v>606</v>
      </c>
      <c r="C212">
        <v>7130</v>
      </c>
      <c r="D212" t="s">
        <v>979</v>
      </c>
      <c r="E212">
        <v>96250</v>
      </c>
      <c r="F212" t="s">
        <v>1042</v>
      </c>
      <c r="G212" t="s">
        <v>1005</v>
      </c>
    </row>
    <row r="213" spans="1:7">
      <c r="A213">
        <v>202608</v>
      </c>
      <c r="B213" t="s">
        <v>606</v>
      </c>
      <c r="C213">
        <v>7130</v>
      </c>
      <c r="D213" t="s">
        <v>979</v>
      </c>
      <c r="E213">
        <v>96250</v>
      </c>
      <c r="F213" t="s">
        <v>1042</v>
      </c>
      <c r="G213" t="s">
        <v>1005</v>
      </c>
    </row>
    <row r="214" spans="1:7">
      <c r="A214">
        <v>202609</v>
      </c>
      <c r="B214" t="s">
        <v>606</v>
      </c>
      <c r="C214">
        <v>7130</v>
      </c>
      <c r="D214" t="s">
        <v>979</v>
      </c>
      <c r="E214">
        <v>96250</v>
      </c>
      <c r="F214" t="s">
        <v>1042</v>
      </c>
      <c r="G214" t="s">
        <v>1005</v>
      </c>
    </row>
    <row r="215" spans="1:7">
      <c r="A215">
        <v>202610</v>
      </c>
      <c r="B215" t="s">
        <v>606</v>
      </c>
      <c r="C215">
        <v>7130</v>
      </c>
      <c r="D215" t="s">
        <v>979</v>
      </c>
      <c r="E215">
        <v>96250</v>
      </c>
      <c r="F215" t="s">
        <v>1042</v>
      </c>
      <c r="G215" t="s">
        <v>1005</v>
      </c>
    </row>
    <row r="216" spans="1:7">
      <c r="A216">
        <v>202611</v>
      </c>
      <c r="B216" t="s">
        <v>606</v>
      </c>
      <c r="C216">
        <v>7130</v>
      </c>
      <c r="D216" t="s">
        <v>979</v>
      </c>
      <c r="E216">
        <v>96250</v>
      </c>
      <c r="F216" t="s">
        <v>1042</v>
      </c>
      <c r="G216" t="s">
        <v>1005</v>
      </c>
    </row>
    <row r="217" spans="1:7">
      <c r="A217">
        <v>202612</v>
      </c>
      <c r="B217" t="s">
        <v>606</v>
      </c>
      <c r="C217">
        <v>7130</v>
      </c>
      <c r="D217" t="s">
        <v>979</v>
      </c>
      <c r="E217">
        <v>96250</v>
      </c>
      <c r="F217" t="s">
        <v>1042</v>
      </c>
      <c r="G217" t="s">
        <v>1005</v>
      </c>
    </row>
    <row r="218" spans="1:7">
      <c r="A218">
        <v>202601</v>
      </c>
      <c r="B218" t="s">
        <v>611</v>
      </c>
      <c r="C218">
        <v>5000</v>
      </c>
      <c r="D218" t="s">
        <v>979</v>
      </c>
      <c r="E218">
        <v>1413750</v>
      </c>
      <c r="F218" t="s">
        <v>1045</v>
      </c>
      <c r="G218" t="s">
        <v>1008</v>
      </c>
    </row>
    <row r="219" spans="1:7">
      <c r="A219">
        <v>202602</v>
      </c>
      <c r="B219" t="s">
        <v>611</v>
      </c>
      <c r="C219">
        <v>5000</v>
      </c>
      <c r="D219" t="s">
        <v>979</v>
      </c>
      <c r="E219">
        <v>1413750</v>
      </c>
      <c r="F219" t="s">
        <v>1045</v>
      </c>
      <c r="G219" t="s">
        <v>1008</v>
      </c>
    </row>
    <row r="220" spans="1:7">
      <c r="A220">
        <v>202603</v>
      </c>
      <c r="B220" t="s">
        <v>611</v>
      </c>
      <c r="C220">
        <v>5000</v>
      </c>
      <c r="D220" t="s">
        <v>979</v>
      </c>
      <c r="E220">
        <v>1413750</v>
      </c>
      <c r="F220" t="s">
        <v>1045</v>
      </c>
      <c r="G220" t="s">
        <v>1008</v>
      </c>
    </row>
    <row r="221" spans="1:7">
      <c r="A221">
        <v>202604</v>
      </c>
      <c r="B221" t="s">
        <v>611</v>
      </c>
      <c r="C221">
        <v>5000</v>
      </c>
      <c r="D221" t="s">
        <v>979</v>
      </c>
      <c r="E221">
        <v>1413750</v>
      </c>
      <c r="F221" t="s">
        <v>1045</v>
      </c>
      <c r="G221" t="s">
        <v>1008</v>
      </c>
    </row>
    <row r="222" spans="1:7">
      <c r="A222">
        <v>202605</v>
      </c>
      <c r="B222" t="s">
        <v>611</v>
      </c>
      <c r="C222">
        <v>5000</v>
      </c>
      <c r="D222" t="s">
        <v>979</v>
      </c>
      <c r="E222">
        <v>1413750</v>
      </c>
      <c r="F222" t="s">
        <v>1045</v>
      </c>
      <c r="G222" t="s">
        <v>1008</v>
      </c>
    </row>
    <row r="223" spans="1:7">
      <c r="A223">
        <v>202606</v>
      </c>
      <c r="B223" t="s">
        <v>611</v>
      </c>
      <c r="C223">
        <v>5000</v>
      </c>
      <c r="D223" t="s">
        <v>979</v>
      </c>
      <c r="E223">
        <v>1413750</v>
      </c>
      <c r="F223" t="s">
        <v>1045</v>
      </c>
      <c r="G223" t="s">
        <v>1008</v>
      </c>
    </row>
    <row r="224" spans="1:7">
      <c r="A224">
        <v>202607</v>
      </c>
      <c r="B224" t="s">
        <v>611</v>
      </c>
      <c r="C224">
        <v>5000</v>
      </c>
      <c r="D224" t="s">
        <v>979</v>
      </c>
      <c r="E224">
        <v>1413750</v>
      </c>
      <c r="F224" t="s">
        <v>1045</v>
      </c>
      <c r="G224" t="s">
        <v>1008</v>
      </c>
    </row>
    <row r="225" spans="1:7">
      <c r="A225">
        <v>202608</v>
      </c>
      <c r="B225" t="s">
        <v>611</v>
      </c>
      <c r="C225">
        <v>5000</v>
      </c>
      <c r="D225" t="s">
        <v>979</v>
      </c>
      <c r="E225">
        <v>1413750</v>
      </c>
      <c r="F225" t="s">
        <v>1045</v>
      </c>
      <c r="G225" t="s">
        <v>1008</v>
      </c>
    </row>
    <row r="226" spans="1:7">
      <c r="A226">
        <v>202609</v>
      </c>
      <c r="B226" t="s">
        <v>611</v>
      </c>
      <c r="C226">
        <v>5000</v>
      </c>
      <c r="D226" t="s">
        <v>979</v>
      </c>
      <c r="E226">
        <v>1413750</v>
      </c>
      <c r="F226" t="s">
        <v>1045</v>
      </c>
      <c r="G226" t="s">
        <v>1008</v>
      </c>
    </row>
    <row r="227" spans="1:7">
      <c r="A227">
        <v>202610</v>
      </c>
      <c r="B227" t="s">
        <v>611</v>
      </c>
      <c r="C227">
        <v>5000</v>
      </c>
      <c r="D227" t="s">
        <v>979</v>
      </c>
      <c r="E227">
        <v>1413750</v>
      </c>
      <c r="F227" t="s">
        <v>1045</v>
      </c>
      <c r="G227" t="s">
        <v>1008</v>
      </c>
    </row>
    <row r="228" spans="1:7">
      <c r="A228">
        <v>202611</v>
      </c>
      <c r="B228" t="s">
        <v>611</v>
      </c>
      <c r="C228">
        <v>5000</v>
      </c>
      <c r="D228" t="s">
        <v>979</v>
      </c>
      <c r="E228">
        <v>1413750</v>
      </c>
      <c r="F228" t="s">
        <v>1045</v>
      </c>
      <c r="G228" t="s">
        <v>1008</v>
      </c>
    </row>
    <row r="229" spans="1:7">
      <c r="A229">
        <v>202612</v>
      </c>
      <c r="B229" t="s">
        <v>611</v>
      </c>
      <c r="C229">
        <v>5000</v>
      </c>
      <c r="D229" t="s">
        <v>979</v>
      </c>
      <c r="E229">
        <v>1413750</v>
      </c>
      <c r="F229" t="s">
        <v>1045</v>
      </c>
      <c r="G229" t="s">
        <v>1008</v>
      </c>
    </row>
    <row r="230" spans="1:7">
      <c r="A230">
        <v>202601</v>
      </c>
      <c r="B230" t="s">
        <v>611</v>
      </c>
      <c r="C230">
        <v>5080</v>
      </c>
      <c r="D230" t="s">
        <v>979</v>
      </c>
      <c r="E230">
        <v>170625</v>
      </c>
      <c r="F230" t="s">
        <v>1045</v>
      </c>
      <c r="G230" t="s">
        <v>1008</v>
      </c>
    </row>
    <row r="231" spans="1:7">
      <c r="A231">
        <v>202602</v>
      </c>
      <c r="B231" t="s">
        <v>611</v>
      </c>
      <c r="C231">
        <v>5080</v>
      </c>
      <c r="D231" t="s">
        <v>979</v>
      </c>
      <c r="E231">
        <v>170625</v>
      </c>
      <c r="F231" t="s">
        <v>1045</v>
      </c>
      <c r="G231" t="s">
        <v>1008</v>
      </c>
    </row>
    <row r="232" spans="1:7">
      <c r="A232">
        <v>202603</v>
      </c>
      <c r="B232" t="s">
        <v>611</v>
      </c>
      <c r="C232">
        <v>5080</v>
      </c>
      <c r="D232" t="s">
        <v>979</v>
      </c>
      <c r="E232">
        <v>170625</v>
      </c>
      <c r="F232" t="s">
        <v>1045</v>
      </c>
      <c r="G232" t="s">
        <v>1008</v>
      </c>
    </row>
    <row r="233" spans="1:7">
      <c r="A233">
        <v>202604</v>
      </c>
      <c r="B233" t="s">
        <v>611</v>
      </c>
      <c r="C233">
        <v>5080</v>
      </c>
      <c r="D233" t="s">
        <v>979</v>
      </c>
      <c r="E233">
        <v>170625</v>
      </c>
      <c r="F233" t="s">
        <v>1045</v>
      </c>
      <c r="G233" t="s">
        <v>1008</v>
      </c>
    </row>
    <row r="234" spans="1:7">
      <c r="A234">
        <v>202605</v>
      </c>
      <c r="B234" t="s">
        <v>611</v>
      </c>
      <c r="C234">
        <v>5080</v>
      </c>
      <c r="D234" t="s">
        <v>979</v>
      </c>
      <c r="E234">
        <v>170625</v>
      </c>
      <c r="F234" t="s">
        <v>1045</v>
      </c>
      <c r="G234" t="s">
        <v>1008</v>
      </c>
    </row>
    <row r="235" spans="1:7">
      <c r="A235">
        <v>202606</v>
      </c>
      <c r="B235" t="s">
        <v>611</v>
      </c>
      <c r="C235">
        <v>5080</v>
      </c>
      <c r="D235" t="s">
        <v>979</v>
      </c>
      <c r="E235">
        <v>170625</v>
      </c>
      <c r="F235" t="s">
        <v>1045</v>
      </c>
      <c r="G235" t="s">
        <v>1008</v>
      </c>
    </row>
    <row r="236" spans="1:7">
      <c r="A236">
        <v>202607</v>
      </c>
      <c r="B236" t="s">
        <v>611</v>
      </c>
      <c r="C236">
        <v>5080</v>
      </c>
      <c r="D236" t="s">
        <v>979</v>
      </c>
      <c r="E236">
        <v>170625</v>
      </c>
      <c r="F236" t="s">
        <v>1045</v>
      </c>
      <c r="G236" t="s">
        <v>1008</v>
      </c>
    </row>
    <row r="237" spans="1:7">
      <c r="A237">
        <v>202608</v>
      </c>
      <c r="B237" t="s">
        <v>611</v>
      </c>
      <c r="C237">
        <v>5080</v>
      </c>
      <c r="D237" t="s">
        <v>979</v>
      </c>
      <c r="E237">
        <v>170625</v>
      </c>
      <c r="F237" t="s">
        <v>1045</v>
      </c>
      <c r="G237" t="s">
        <v>1008</v>
      </c>
    </row>
    <row r="238" spans="1:7">
      <c r="A238">
        <v>202609</v>
      </c>
      <c r="B238" t="s">
        <v>611</v>
      </c>
      <c r="C238">
        <v>5080</v>
      </c>
      <c r="D238" t="s">
        <v>979</v>
      </c>
      <c r="E238">
        <v>170625</v>
      </c>
      <c r="F238" t="s">
        <v>1045</v>
      </c>
      <c r="G238" t="s">
        <v>1008</v>
      </c>
    </row>
    <row r="239" spans="1:7">
      <c r="A239">
        <v>202610</v>
      </c>
      <c r="B239" t="s">
        <v>611</v>
      </c>
      <c r="C239">
        <v>5080</v>
      </c>
      <c r="D239" t="s">
        <v>979</v>
      </c>
      <c r="E239">
        <v>170625</v>
      </c>
      <c r="F239" t="s">
        <v>1045</v>
      </c>
      <c r="G239" t="s">
        <v>1008</v>
      </c>
    </row>
    <row r="240" spans="1:7">
      <c r="A240">
        <v>202611</v>
      </c>
      <c r="B240" t="s">
        <v>611</v>
      </c>
      <c r="C240">
        <v>5080</v>
      </c>
      <c r="D240" t="s">
        <v>979</v>
      </c>
      <c r="E240">
        <v>170625</v>
      </c>
      <c r="F240" t="s">
        <v>1045</v>
      </c>
      <c r="G240" t="s">
        <v>1008</v>
      </c>
    </row>
    <row r="241" spans="1:7">
      <c r="A241">
        <v>202612</v>
      </c>
      <c r="B241" t="s">
        <v>611</v>
      </c>
      <c r="C241">
        <v>5080</v>
      </c>
      <c r="D241" t="s">
        <v>979</v>
      </c>
      <c r="E241">
        <v>170625</v>
      </c>
      <c r="F241" t="s">
        <v>1045</v>
      </c>
      <c r="G241" t="s">
        <v>1008</v>
      </c>
    </row>
    <row r="242" spans="1:7">
      <c r="A242">
        <v>202601</v>
      </c>
      <c r="B242" t="s">
        <v>611</v>
      </c>
      <c r="C242">
        <v>5400</v>
      </c>
      <c r="D242" t="s">
        <v>979</v>
      </c>
      <c r="E242">
        <v>195000</v>
      </c>
      <c r="F242" t="s">
        <v>1045</v>
      </c>
      <c r="G242" t="s">
        <v>1008</v>
      </c>
    </row>
    <row r="243" spans="1:7">
      <c r="A243">
        <v>202602</v>
      </c>
      <c r="B243" t="s">
        <v>611</v>
      </c>
      <c r="C243">
        <v>5400</v>
      </c>
      <c r="D243" t="s">
        <v>979</v>
      </c>
      <c r="E243">
        <v>195000</v>
      </c>
      <c r="F243" t="s">
        <v>1045</v>
      </c>
      <c r="G243" t="s">
        <v>1008</v>
      </c>
    </row>
    <row r="244" spans="1:7">
      <c r="A244">
        <v>202603</v>
      </c>
      <c r="B244" t="s">
        <v>611</v>
      </c>
      <c r="C244">
        <v>5400</v>
      </c>
      <c r="D244" t="s">
        <v>979</v>
      </c>
      <c r="E244">
        <v>195000</v>
      </c>
      <c r="F244" t="s">
        <v>1045</v>
      </c>
      <c r="G244" t="s">
        <v>1008</v>
      </c>
    </row>
    <row r="245" spans="1:7">
      <c r="A245">
        <v>202604</v>
      </c>
      <c r="B245" t="s">
        <v>611</v>
      </c>
      <c r="C245">
        <v>5400</v>
      </c>
      <c r="D245" t="s">
        <v>979</v>
      </c>
      <c r="E245">
        <v>195000</v>
      </c>
      <c r="F245" t="s">
        <v>1045</v>
      </c>
      <c r="G245" t="s">
        <v>1008</v>
      </c>
    </row>
    <row r="246" spans="1:7">
      <c r="A246">
        <v>202605</v>
      </c>
      <c r="B246" t="s">
        <v>611</v>
      </c>
      <c r="C246">
        <v>5400</v>
      </c>
      <c r="D246" t="s">
        <v>979</v>
      </c>
      <c r="E246">
        <v>195000</v>
      </c>
      <c r="F246" t="s">
        <v>1045</v>
      </c>
      <c r="G246" t="s">
        <v>1008</v>
      </c>
    </row>
    <row r="247" spans="1:7">
      <c r="A247">
        <v>202606</v>
      </c>
      <c r="B247" t="s">
        <v>611</v>
      </c>
      <c r="C247">
        <v>5400</v>
      </c>
      <c r="D247" t="s">
        <v>979</v>
      </c>
      <c r="E247">
        <v>195000</v>
      </c>
      <c r="F247" t="s">
        <v>1045</v>
      </c>
      <c r="G247" t="s">
        <v>1008</v>
      </c>
    </row>
    <row r="248" spans="1:7">
      <c r="A248">
        <v>202607</v>
      </c>
      <c r="B248" t="s">
        <v>611</v>
      </c>
      <c r="C248">
        <v>5400</v>
      </c>
      <c r="D248" t="s">
        <v>979</v>
      </c>
      <c r="E248">
        <v>195000</v>
      </c>
      <c r="F248" t="s">
        <v>1045</v>
      </c>
      <c r="G248" t="s">
        <v>1008</v>
      </c>
    </row>
    <row r="249" spans="1:7">
      <c r="A249">
        <v>202608</v>
      </c>
      <c r="B249" t="s">
        <v>611</v>
      </c>
      <c r="C249">
        <v>5400</v>
      </c>
      <c r="D249" t="s">
        <v>979</v>
      </c>
      <c r="E249">
        <v>195000</v>
      </c>
      <c r="F249" t="s">
        <v>1045</v>
      </c>
      <c r="G249" t="s">
        <v>1008</v>
      </c>
    </row>
    <row r="250" spans="1:7">
      <c r="A250">
        <v>202609</v>
      </c>
      <c r="B250" t="s">
        <v>611</v>
      </c>
      <c r="C250">
        <v>5400</v>
      </c>
      <c r="D250" t="s">
        <v>979</v>
      </c>
      <c r="E250">
        <v>195000</v>
      </c>
      <c r="F250" t="s">
        <v>1045</v>
      </c>
      <c r="G250" t="s">
        <v>1008</v>
      </c>
    </row>
    <row r="251" spans="1:7">
      <c r="A251">
        <v>202610</v>
      </c>
      <c r="B251" t="s">
        <v>611</v>
      </c>
      <c r="C251">
        <v>5400</v>
      </c>
      <c r="D251" t="s">
        <v>979</v>
      </c>
      <c r="E251">
        <v>195000</v>
      </c>
      <c r="F251" t="s">
        <v>1045</v>
      </c>
      <c r="G251" t="s">
        <v>1008</v>
      </c>
    </row>
    <row r="252" spans="1:7">
      <c r="A252">
        <v>202611</v>
      </c>
      <c r="B252" t="s">
        <v>611</v>
      </c>
      <c r="C252">
        <v>5400</v>
      </c>
      <c r="D252" t="s">
        <v>979</v>
      </c>
      <c r="E252">
        <v>195000</v>
      </c>
      <c r="F252" t="s">
        <v>1045</v>
      </c>
      <c r="G252" t="s">
        <v>1008</v>
      </c>
    </row>
    <row r="253" spans="1:7">
      <c r="A253">
        <v>202612</v>
      </c>
      <c r="B253" t="s">
        <v>611</v>
      </c>
      <c r="C253">
        <v>5400</v>
      </c>
      <c r="D253" t="s">
        <v>979</v>
      </c>
      <c r="E253">
        <v>195000</v>
      </c>
      <c r="F253" t="s">
        <v>1045</v>
      </c>
      <c r="G253" t="s">
        <v>1008</v>
      </c>
    </row>
    <row r="254" spans="1:7">
      <c r="A254">
        <v>202601</v>
      </c>
      <c r="B254" t="s">
        <v>611</v>
      </c>
      <c r="C254">
        <v>5420</v>
      </c>
      <c r="D254" t="s">
        <v>979</v>
      </c>
      <c r="E254">
        <v>146250</v>
      </c>
      <c r="F254" t="s">
        <v>1045</v>
      </c>
      <c r="G254" t="s">
        <v>1008</v>
      </c>
    </row>
    <row r="255" spans="1:7">
      <c r="A255">
        <v>202602</v>
      </c>
      <c r="B255" t="s">
        <v>611</v>
      </c>
      <c r="C255">
        <v>5420</v>
      </c>
      <c r="D255" t="s">
        <v>979</v>
      </c>
      <c r="E255">
        <v>146250</v>
      </c>
      <c r="F255" t="s">
        <v>1045</v>
      </c>
      <c r="G255" t="s">
        <v>1008</v>
      </c>
    </row>
    <row r="256" spans="1:7">
      <c r="A256">
        <v>202603</v>
      </c>
      <c r="B256" t="s">
        <v>611</v>
      </c>
      <c r="C256">
        <v>5420</v>
      </c>
      <c r="D256" t="s">
        <v>979</v>
      </c>
      <c r="E256">
        <v>146250</v>
      </c>
      <c r="F256" t="s">
        <v>1045</v>
      </c>
      <c r="G256" t="s">
        <v>1008</v>
      </c>
    </row>
    <row r="257" spans="1:7">
      <c r="A257">
        <v>202604</v>
      </c>
      <c r="B257" t="s">
        <v>611</v>
      </c>
      <c r="C257">
        <v>5420</v>
      </c>
      <c r="D257" t="s">
        <v>979</v>
      </c>
      <c r="E257">
        <v>146250</v>
      </c>
      <c r="F257" t="s">
        <v>1045</v>
      </c>
      <c r="G257" t="s">
        <v>1008</v>
      </c>
    </row>
    <row r="258" spans="1:7">
      <c r="A258">
        <v>202605</v>
      </c>
      <c r="B258" t="s">
        <v>611</v>
      </c>
      <c r="C258">
        <v>5420</v>
      </c>
      <c r="D258" t="s">
        <v>979</v>
      </c>
      <c r="E258">
        <v>146250</v>
      </c>
      <c r="F258" t="s">
        <v>1045</v>
      </c>
      <c r="G258" t="s">
        <v>1008</v>
      </c>
    </row>
    <row r="259" spans="1:7">
      <c r="A259">
        <v>202606</v>
      </c>
      <c r="B259" t="s">
        <v>611</v>
      </c>
      <c r="C259">
        <v>5420</v>
      </c>
      <c r="D259" t="s">
        <v>979</v>
      </c>
      <c r="E259">
        <v>146250</v>
      </c>
      <c r="F259" t="s">
        <v>1045</v>
      </c>
      <c r="G259" t="s">
        <v>1008</v>
      </c>
    </row>
    <row r="260" spans="1:7">
      <c r="A260">
        <v>202607</v>
      </c>
      <c r="B260" t="s">
        <v>611</v>
      </c>
      <c r="C260">
        <v>5420</v>
      </c>
      <c r="D260" t="s">
        <v>979</v>
      </c>
      <c r="E260">
        <v>146250</v>
      </c>
      <c r="F260" t="s">
        <v>1045</v>
      </c>
      <c r="G260" t="s">
        <v>1008</v>
      </c>
    </row>
    <row r="261" spans="1:7">
      <c r="A261">
        <v>202608</v>
      </c>
      <c r="B261" t="s">
        <v>611</v>
      </c>
      <c r="C261">
        <v>5420</v>
      </c>
      <c r="D261" t="s">
        <v>979</v>
      </c>
      <c r="E261">
        <v>146250</v>
      </c>
      <c r="F261" t="s">
        <v>1045</v>
      </c>
      <c r="G261" t="s">
        <v>1008</v>
      </c>
    </row>
    <row r="262" spans="1:7">
      <c r="A262">
        <v>202609</v>
      </c>
      <c r="B262" t="s">
        <v>611</v>
      </c>
      <c r="C262">
        <v>5420</v>
      </c>
      <c r="D262" t="s">
        <v>979</v>
      </c>
      <c r="E262">
        <v>146250</v>
      </c>
      <c r="F262" t="s">
        <v>1045</v>
      </c>
      <c r="G262" t="s">
        <v>1008</v>
      </c>
    </row>
    <row r="263" spans="1:7">
      <c r="A263">
        <v>202610</v>
      </c>
      <c r="B263" t="s">
        <v>611</v>
      </c>
      <c r="C263">
        <v>5420</v>
      </c>
      <c r="D263" t="s">
        <v>979</v>
      </c>
      <c r="E263">
        <v>146250</v>
      </c>
      <c r="F263" t="s">
        <v>1045</v>
      </c>
      <c r="G263" t="s">
        <v>1008</v>
      </c>
    </row>
    <row r="264" spans="1:7">
      <c r="A264">
        <v>202611</v>
      </c>
      <c r="B264" t="s">
        <v>611</v>
      </c>
      <c r="C264">
        <v>5420</v>
      </c>
      <c r="D264" t="s">
        <v>979</v>
      </c>
      <c r="E264">
        <v>146250</v>
      </c>
      <c r="F264" t="s">
        <v>1045</v>
      </c>
      <c r="G264" t="s">
        <v>1008</v>
      </c>
    </row>
    <row r="265" spans="1:7">
      <c r="A265">
        <v>202612</v>
      </c>
      <c r="B265" t="s">
        <v>611</v>
      </c>
      <c r="C265">
        <v>5420</v>
      </c>
      <c r="D265" t="s">
        <v>979</v>
      </c>
      <c r="E265">
        <v>146250</v>
      </c>
      <c r="F265" t="s">
        <v>1045</v>
      </c>
      <c r="G265" t="s">
        <v>1008</v>
      </c>
    </row>
    <row r="266" spans="1:7">
      <c r="A266">
        <v>202601</v>
      </c>
      <c r="B266" t="s">
        <v>611</v>
      </c>
      <c r="C266">
        <v>5100</v>
      </c>
      <c r="D266" t="s">
        <v>979</v>
      </c>
      <c r="E266">
        <v>97500</v>
      </c>
      <c r="F266" t="s">
        <v>1045</v>
      </c>
      <c r="G266" t="s">
        <v>1008</v>
      </c>
    </row>
    <row r="267" spans="1:7">
      <c r="A267">
        <v>202602</v>
      </c>
      <c r="B267" t="s">
        <v>611</v>
      </c>
      <c r="C267">
        <v>5100</v>
      </c>
      <c r="D267" t="s">
        <v>979</v>
      </c>
      <c r="E267">
        <v>97500</v>
      </c>
      <c r="F267" t="s">
        <v>1045</v>
      </c>
      <c r="G267" t="s">
        <v>1008</v>
      </c>
    </row>
    <row r="268" spans="1:7">
      <c r="A268">
        <v>202603</v>
      </c>
      <c r="B268" t="s">
        <v>611</v>
      </c>
      <c r="C268">
        <v>5100</v>
      </c>
      <c r="D268" t="s">
        <v>979</v>
      </c>
      <c r="E268">
        <v>97500</v>
      </c>
      <c r="F268" t="s">
        <v>1045</v>
      </c>
      <c r="G268" t="s">
        <v>1008</v>
      </c>
    </row>
    <row r="269" spans="1:7">
      <c r="A269">
        <v>202604</v>
      </c>
      <c r="B269" t="s">
        <v>611</v>
      </c>
      <c r="C269">
        <v>5100</v>
      </c>
      <c r="D269" t="s">
        <v>979</v>
      </c>
      <c r="E269">
        <v>97500</v>
      </c>
      <c r="F269" t="s">
        <v>1045</v>
      </c>
      <c r="G269" t="s">
        <v>1008</v>
      </c>
    </row>
    <row r="270" spans="1:7">
      <c r="A270">
        <v>202605</v>
      </c>
      <c r="B270" t="s">
        <v>611</v>
      </c>
      <c r="C270">
        <v>5100</v>
      </c>
      <c r="D270" t="s">
        <v>979</v>
      </c>
      <c r="E270">
        <v>97500</v>
      </c>
      <c r="F270" t="s">
        <v>1045</v>
      </c>
      <c r="G270" t="s">
        <v>1008</v>
      </c>
    </row>
    <row r="271" spans="1:7">
      <c r="A271">
        <v>202606</v>
      </c>
      <c r="B271" t="s">
        <v>611</v>
      </c>
      <c r="C271">
        <v>5100</v>
      </c>
      <c r="D271" t="s">
        <v>979</v>
      </c>
      <c r="E271">
        <v>97500</v>
      </c>
      <c r="F271" t="s">
        <v>1045</v>
      </c>
      <c r="G271" t="s">
        <v>1008</v>
      </c>
    </row>
    <row r="272" spans="1:7">
      <c r="A272">
        <v>202607</v>
      </c>
      <c r="B272" t="s">
        <v>611</v>
      </c>
      <c r="C272">
        <v>5100</v>
      </c>
      <c r="D272" t="s">
        <v>979</v>
      </c>
      <c r="E272">
        <v>97500</v>
      </c>
      <c r="F272" t="s">
        <v>1045</v>
      </c>
      <c r="G272" t="s">
        <v>1008</v>
      </c>
    </row>
    <row r="273" spans="1:7">
      <c r="A273">
        <v>202608</v>
      </c>
      <c r="B273" t="s">
        <v>611</v>
      </c>
      <c r="C273">
        <v>5100</v>
      </c>
      <c r="D273" t="s">
        <v>979</v>
      </c>
      <c r="E273">
        <v>97500</v>
      </c>
      <c r="F273" t="s">
        <v>1045</v>
      </c>
      <c r="G273" t="s">
        <v>1008</v>
      </c>
    </row>
    <row r="274" spans="1:7">
      <c r="A274">
        <v>202609</v>
      </c>
      <c r="B274" t="s">
        <v>611</v>
      </c>
      <c r="C274">
        <v>5100</v>
      </c>
      <c r="D274" t="s">
        <v>979</v>
      </c>
      <c r="E274">
        <v>97500</v>
      </c>
      <c r="F274" t="s">
        <v>1045</v>
      </c>
      <c r="G274" t="s">
        <v>1008</v>
      </c>
    </row>
    <row r="275" spans="1:7">
      <c r="A275">
        <v>202610</v>
      </c>
      <c r="B275" t="s">
        <v>611</v>
      </c>
      <c r="C275">
        <v>5100</v>
      </c>
      <c r="D275" t="s">
        <v>979</v>
      </c>
      <c r="E275">
        <v>97500</v>
      </c>
      <c r="F275" t="s">
        <v>1045</v>
      </c>
      <c r="G275" t="s">
        <v>1008</v>
      </c>
    </row>
    <row r="276" spans="1:7">
      <c r="A276">
        <v>202611</v>
      </c>
      <c r="B276" t="s">
        <v>611</v>
      </c>
      <c r="C276">
        <v>5100</v>
      </c>
      <c r="D276" t="s">
        <v>979</v>
      </c>
      <c r="E276">
        <v>97500</v>
      </c>
      <c r="F276" t="s">
        <v>1045</v>
      </c>
      <c r="G276" t="s">
        <v>1008</v>
      </c>
    </row>
    <row r="277" spans="1:7">
      <c r="A277">
        <v>202612</v>
      </c>
      <c r="B277" t="s">
        <v>611</v>
      </c>
      <c r="C277">
        <v>5100</v>
      </c>
      <c r="D277" t="s">
        <v>979</v>
      </c>
      <c r="E277">
        <v>97500</v>
      </c>
      <c r="F277" t="s">
        <v>1045</v>
      </c>
      <c r="G277" t="s">
        <v>1008</v>
      </c>
    </row>
    <row r="278" spans="1:7">
      <c r="A278">
        <v>202601</v>
      </c>
      <c r="B278" t="s">
        <v>611</v>
      </c>
      <c r="C278">
        <v>6300</v>
      </c>
      <c r="D278" t="s">
        <v>979</v>
      </c>
      <c r="E278">
        <v>195000</v>
      </c>
      <c r="F278" t="s">
        <v>1045</v>
      </c>
      <c r="G278" t="s">
        <v>1008</v>
      </c>
    </row>
    <row r="279" spans="1:7">
      <c r="A279">
        <v>202602</v>
      </c>
      <c r="B279" t="s">
        <v>611</v>
      </c>
      <c r="C279">
        <v>6300</v>
      </c>
      <c r="D279" t="s">
        <v>979</v>
      </c>
      <c r="E279">
        <v>195000</v>
      </c>
      <c r="F279" t="s">
        <v>1045</v>
      </c>
      <c r="G279" t="s">
        <v>1008</v>
      </c>
    </row>
    <row r="280" spans="1:7">
      <c r="A280">
        <v>202603</v>
      </c>
      <c r="B280" t="s">
        <v>611</v>
      </c>
      <c r="C280">
        <v>6300</v>
      </c>
      <c r="D280" t="s">
        <v>979</v>
      </c>
      <c r="E280">
        <v>195000</v>
      </c>
      <c r="F280" t="s">
        <v>1045</v>
      </c>
      <c r="G280" t="s">
        <v>1008</v>
      </c>
    </row>
    <row r="281" spans="1:7">
      <c r="A281">
        <v>202604</v>
      </c>
      <c r="B281" t="s">
        <v>611</v>
      </c>
      <c r="C281">
        <v>6300</v>
      </c>
      <c r="D281" t="s">
        <v>979</v>
      </c>
      <c r="E281">
        <v>195000</v>
      </c>
      <c r="F281" t="s">
        <v>1045</v>
      </c>
      <c r="G281" t="s">
        <v>1008</v>
      </c>
    </row>
    <row r="282" spans="1:7">
      <c r="A282">
        <v>202605</v>
      </c>
      <c r="B282" t="s">
        <v>611</v>
      </c>
      <c r="C282">
        <v>6300</v>
      </c>
      <c r="D282" t="s">
        <v>979</v>
      </c>
      <c r="E282">
        <v>195000</v>
      </c>
      <c r="F282" t="s">
        <v>1045</v>
      </c>
      <c r="G282" t="s">
        <v>1008</v>
      </c>
    </row>
    <row r="283" spans="1:7">
      <c r="A283">
        <v>202606</v>
      </c>
      <c r="B283" t="s">
        <v>611</v>
      </c>
      <c r="C283">
        <v>6300</v>
      </c>
      <c r="D283" t="s">
        <v>979</v>
      </c>
      <c r="E283">
        <v>195000</v>
      </c>
      <c r="F283" t="s">
        <v>1045</v>
      </c>
      <c r="G283" t="s">
        <v>1008</v>
      </c>
    </row>
    <row r="284" spans="1:7">
      <c r="A284">
        <v>202607</v>
      </c>
      <c r="B284" t="s">
        <v>611</v>
      </c>
      <c r="C284">
        <v>6300</v>
      </c>
      <c r="D284" t="s">
        <v>979</v>
      </c>
      <c r="E284">
        <v>195000</v>
      </c>
      <c r="F284" t="s">
        <v>1045</v>
      </c>
      <c r="G284" t="s">
        <v>1008</v>
      </c>
    </row>
    <row r="285" spans="1:7">
      <c r="A285">
        <v>202608</v>
      </c>
      <c r="B285" t="s">
        <v>611</v>
      </c>
      <c r="C285">
        <v>6300</v>
      </c>
      <c r="D285" t="s">
        <v>979</v>
      </c>
      <c r="E285">
        <v>195000</v>
      </c>
      <c r="F285" t="s">
        <v>1045</v>
      </c>
      <c r="G285" t="s">
        <v>1008</v>
      </c>
    </row>
    <row r="286" spans="1:7">
      <c r="A286">
        <v>202609</v>
      </c>
      <c r="B286" t="s">
        <v>611</v>
      </c>
      <c r="C286">
        <v>6300</v>
      </c>
      <c r="D286" t="s">
        <v>979</v>
      </c>
      <c r="E286">
        <v>195000</v>
      </c>
      <c r="F286" t="s">
        <v>1045</v>
      </c>
      <c r="G286" t="s">
        <v>1008</v>
      </c>
    </row>
    <row r="287" spans="1:7">
      <c r="A287">
        <v>202610</v>
      </c>
      <c r="B287" t="s">
        <v>611</v>
      </c>
      <c r="C287">
        <v>6300</v>
      </c>
      <c r="D287" t="s">
        <v>979</v>
      </c>
      <c r="E287">
        <v>195000</v>
      </c>
      <c r="F287" t="s">
        <v>1045</v>
      </c>
      <c r="G287" t="s">
        <v>1008</v>
      </c>
    </row>
    <row r="288" spans="1:7">
      <c r="A288">
        <v>202611</v>
      </c>
      <c r="B288" t="s">
        <v>611</v>
      </c>
      <c r="C288">
        <v>6300</v>
      </c>
      <c r="D288" t="s">
        <v>979</v>
      </c>
      <c r="E288">
        <v>195000</v>
      </c>
      <c r="F288" t="s">
        <v>1045</v>
      </c>
      <c r="G288" t="s">
        <v>1008</v>
      </c>
    </row>
    <row r="289" spans="1:7">
      <c r="A289">
        <v>202612</v>
      </c>
      <c r="B289" t="s">
        <v>611</v>
      </c>
      <c r="C289">
        <v>6300</v>
      </c>
      <c r="D289" t="s">
        <v>979</v>
      </c>
      <c r="E289">
        <v>195000</v>
      </c>
      <c r="F289" t="s">
        <v>1045</v>
      </c>
      <c r="G289" t="s">
        <v>1008</v>
      </c>
    </row>
    <row r="290" spans="1:7">
      <c r="A290">
        <v>202601</v>
      </c>
      <c r="B290" t="s">
        <v>611</v>
      </c>
      <c r="C290">
        <v>6550</v>
      </c>
      <c r="D290" t="s">
        <v>979</v>
      </c>
      <c r="E290">
        <v>73125</v>
      </c>
      <c r="F290" t="s">
        <v>1045</v>
      </c>
      <c r="G290" t="s">
        <v>1008</v>
      </c>
    </row>
    <row r="291" spans="1:7">
      <c r="A291">
        <v>202602</v>
      </c>
      <c r="B291" t="s">
        <v>611</v>
      </c>
      <c r="C291">
        <v>6550</v>
      </c>
      <c r="D291" t="s">
        <v>979</v>
      </c>
      <c r="E291">
        <v>73125</v>
      </c>
      <c r="F291" t="s">
        <v>1045</v>
      </c>
      <c r="G291" t="s">
        <v>1008</v>
      </c>
    </row>
    <row r="292" spans="1:7">
      <c r="A292">
        <v>202603</v>
      </c>
      <c r="B292" t="s">
        <v>611</v>
      </c>
      <c r="C292">
        <v>6550</v>
      </c>
      <c r="D292" t="s">
        <v>979</v>
      </c>
      <c r="E292">
        <v>73125</v>
      </c>
      <c r="F292" t="s">
        <v>1045</v>
      </c>
      <c r="G292" t="s">
        <v>1008</v>
      </c>
    </row>
    <row r="293" spans="1:7">
      <c r="A293">
        <v>202604</v>
      </c>
      <c r="B293" t="s">
        <v>611</v>
      </c>
      <c r="C293">
        <v>6550</v>
      </c>
      <c r="D293" t="s">
        <v>979</v>
      </c>
      <c r="E293">
        <v>73125</v>
      </c>
      <c r="F293" t="s">
        <v>1045</v>
      </c>
      <c r="G293" t="s">
        <v>1008</v>
      </c>
    </row>
    <row r="294" spans="1:7">
      <c r="A294">
        <v>202605</v>
      </c>
      <c r="B294" t="s">
        <v>611</v>
      </c>
      <c r="C294">
        <v>6550</v>
      </c>
      <c r="D294" t="s">
        <v>979</v>
      </c>
      <c r="E294">
        <v>73125</v>
      </c>
      <c r="F294" t="s">
        <v>1045</v>
      </c>
      <c r="G294" t="s">
        <v>1008</v>
      </c>
    </row>
    <row r="295" spans="1:7">
      <c r="A295">
        <v>202606</v>
      </c>
      <c r="B295" t="s">
        <v>611</v>
      </c>
      <c r="C295">
        <v>6550</v>
      </c>
      <c r="D295" t="s">
        <v>979</v>
      </c>
      <c r="E295">
        <v>73125</v>
      </c>
      <c r="F295" t="s">
        <v>1045</v>
      </c>
      <c r="G295" t="s">
        <v>1008</v>
      </c>
    </row>
    <row r="296" spans="1:7">
      <c r="A296">
        <v>202607</v>
      </c>
      <c r="B296" t="s">
        <v>611</v>
      </c>
      <c r="C296">
        <v>6550</v>
      </c>
      <c r="D296" t="s">
        <v>979</v>
      </c>
      <c r="E296">
        <v>73125</v>
      </c>
      <c r="F296" t="s">
        <v>1045</v>
      </c>
      <c r="G296" t="s">
        <v>1008</v>
      </c>
    </row>
    <row r="297" spans="1:7">
      <c r="A297">
        <v>202608</v>
      </c>
      <c r="B297" t="s">
        <v>611</v>
      </c>
      <c r="C297">
        <v>6550</v>
      </c>
      <c r="D297" t="s">
        <v>979</v>
      </c>
      <c r="E297">
        <v>73125</v>
      </c>
      <c r="F297" t="s">
        <v>1045</v>
      </c>
      <c r="G297" t="s">
        <v>1008</v>
      </c>
    </row>
    <row r="298" spans="1:7">
      <c r="A298">
        <v>202609</v>
      </c>
      <c r="B298" t="s">
        <v>611</v>
      </c>
      <c r="C298">
        <v>6550</v>
      </c>
      <c r="D298" t="s">
        <v>979</v>
      </c>
      <c r="E298">
        <v>73125</v>
      </c>
      <c r="F298" t="s">
        <v>1045</v>
      </c>
      <c r="G298" t="s">
        <v>1008</v>
      </c>
    </row>
    <row r="299" spans="1:7">
      <c r="A299">
        <v>202610</v>
      </c>
      <c r="B299" t="s">
        <v>611</v>
      </c>
      <c r="C299">
        <v>6550</v>
      </c>
      <c r="D299" t="s">
        <v>979</v>
      </c>
      <c r="E299">
        <v>73125</v>
      </c>
      <c r="F299" t="s">
        <v>1045</v>
      </c>
      <c r="G299" t="s">
        <v>1008</v>
      </c>
    </row>
    <row r="300" spans="1:7">
      <c r="A300">
        <v>202611</v>
      </c>
      <c r="B300" t="s">
        <v>611</v>
      </c>
      <c r="C300">
        <v>6550</v>
      </c>
      <c r="D300" t="s">
        <v>979</v>
      </c>
      <c r="E300">
        <v>73125</v>
      </c>
      <c r="F300" t="s">
        <v>1045</v>
      </c>
      <c r="G300" t="s">
        <v>1008</v>
      </c>
    </row>
    <row r="301" spans="1:7">
      <c r="A301">
        <v>202612</v>
      </c>
      <c r="B301" t="s">
        <v>611</v>
      </c>
      <c r="C301">
        <v>6550</v>
      </c>
      <c r="D301" t="s">
        <v>979</v>
      </c>
      <c r="E301">
        <v>73125</v>
      </c>
      <c r="F301" t="s">
        <v>1045</v>
      </c>
      <c r="G301" t="s">
        <v>1008</v>
      </c>
    </row>
    <row r="302" spans="1:7">
      <c r="A302">
        <v>202601</v>
      </c>
      <c r="B302" t="s">
        <v>611</v>
      </c>
      <c r="C302">
        <v>6700</v>
      </c>
      <c r="D302" t="s">
        <v>979</v>
      </c>
      <c r="E302">
        <v>73125</v>
      </c>
      <c r="F302" t="s">
        <v>1045</v>
      </c>
      <c r="G302" t="s">
        <v>1008</v>
      </c>
    </row>
    <row r="303" spans="1:7">
      <c r="A303">
        <v>202602</v>
      </c>
      <c r="B303" t="s">
        <v>611</v>
      </c>
      <c r="C303">
        <v>6700</v>
      </c>
      <c r="D303" t="s">
        <v>979</v>
      </c>
      <c r="E303">
        <v>73125</v>
      </c>
      <c r="F303" t="s">
        <v>1045</v>
      </c>
      <c r="G303" t="s">
        <v>1008</v>
      </c>
    </row>
    <row r="304" spans="1:7">
      <c r="A304">
        <v>202603</v>
      </c>
      <c r="B304" t="s">
        <v>611</v>
      </c>
      <c r="C304">
        <v>6700</v>
      </c>
      <c r="D304" t="s">
        <v>979</v>
      </c>
      <c r="E304">
        <v>73125</v>
      </c>
      <c r="F304" t="s">
        <v>1045</v>
      </c>
      <c r="G304" t="s">
        <v>1008</v>
      </c>
    </row>
    <row r="305" spans="1:7">
      <c r="A305">
        <v>202604</v>
      </c>
      <c r="B305" t="s">
        <v>611</v>
      </c>
      <c r="C305">
        <v>6700</v>
      </c>
      <c r="D305" t="s">
        <v>979</v>
      </c>
      <c r="E305">
        <v>73125</v>
      </c>
      <c r="F305" t="s">
        <v>1045</v>
      </c>
      <c r="G305" t="s">
        <v>1008</v>
      </c>
    </row>
    <row r="306" spans="1:7">
      <c r="A306">
        <v>202605</v>
      </c>
      <c r="B306" t="s">
        <v>611</v>
      </c>
      <c r="C306">
        <v>6700</v>
      </c>
      <c r="D306" t="s">
        <v>979</v>
      </c>
      <c r="E306">
        <v>73125</v>
      </c>
      <c r="F306" t="s">
        <v>1045</v>
      </c>
      <c r="G306" t="s">
        <v>1008</v>
      </c>
    </row>
    <row r="307" spans="1:7">
      <c r="A307">
        <v>202606</v>
      </c>
      <c r="B307" t="s">
        <v>611</v>
      </c>
      <c r="C307">
        <v>6700</v>
      </c>
      <c r="D307" t="s">
        <v>979</v>
      </c>
      <c r="E307">
        <v>73125</v>
      </c>
      <c r="F307" t="s">
        <v>1045</v>
      </c>
      <c r="G307" t="s">
        <v>1008</v>
      </c>
    </row>
    <row r="308" spans="1:7">
      <c r="A308">
        <v>202607</v>
      </c>
      <c r="B308" t="s">
        <v>611</v>
      </c>
      <c r="C308">
        <v>6700</v>
      </c>
      <c r="D308" t="s">
        <v>979</v>
      </c>
      <c r="E308">
        <v>73125</v>
      </c>
      <c r="F308" t="s">
        <v>1045</v>
      </c>
      <c r="G308" t="s">
        <v>1008</v>
      </c>
    </row>
    <row r="309" spans="1:7">
      <c r="A309">
        <v>202608</v>
      </c>
      <c r="B309" t="s">
        <v>611</v>
      </c>
      <c r="C309">
        <v>6700</v>
      </c>
      <c r="D309" t="s">
        <v>979</v>
      </c>
      <c r="E309">
        <v>73125</v>
      </c>
      <c r="F309" t="s">
        <v>1045</v>
      </c>
      <c r="G309" t="s">
        <v>1008</v>
      </c>
    </row>
    <row r="310" spans="1:7">
      <c r="A310">
        <v>202609</v>
      </c>
      <c r="B310" t="s">
        <v>611</v>
      </c>
      <c r="C310">
        <v>6700</v>
      </c>
      <c r="D310" t="s">
        <v>979</v>
      </c>
      <c r="E310">
        <v>73125</v>
      </c>
      <c r="F310" t="s">
        <v>1045</v>
      </c>
      <c r="G310" t="s">
        <v>1008</v>
      </c>
    </row>
    <row r="311" spans="1:7">
      <c r="A311">
        <v>202610</v>
      </c>
      <c r="B311" t="s">
        <v>611</v>
      </c>
      <c r="C311">
        <v>6700</v>
      </c>
      <c r="D311" t="s">
        <v>979</v>
      </c>
      <c r="E311">
        <v>73125</v>
      </c>
      <c r="F311" t="s">
        <v>1045</v>
      </c>
      <c r="G311" t="s">
        <v>1008</v>
      </c>
    </row>
    <row r="312" spans="1:7">
      <c r="A312">
        <v>202611</v>
      </c>
      <c r="B312" t="s">
        <v>611</v>
      </c>
      <c r="C312">
        <v>6700</v>
      </c>
      <c r="D312" t="s">
        <v>979</v>
      </c>
      <c r="E312">
        <v>73125</v>
      </c>
      <c r="F312" t="s">
        <v>1045</v>
      </c>
      <c r="G312" t="s">
        <v>1008</v>
      </c>
    </row>
    <row r="313" spans="1:7">
      <c r="A313">
        <v>202612</v>
      </c>
      <c r="B313" t="s">
        <v>611</v>
      </c>
      <c r="C313">
        <v>6700</v>
      </c>
      <c r="D313" t="s">
        <v>979</v>
      </c>
      <c r="E313">
        <v>73125</v>
      </c>
      <c r="F313" t="s">
        <v>1045</v>
      </c>
      <c r="G313" t="s">
        <v>1008</v>
      </c>
    </row>
    <row r="314" spans="1:7">
      <c r="A314">
        <v>202601</v>
      </c>
      <c r="B314" t="s">
        <v>611</v>
      </c>
      <c r="C314">
        <v>7130</v>
      </c>
      <c r="D314" t="s">
        <v>979</v>
      </c>
      <c r="E314">
        <v>73125</v>
      </c>
      <c r="F314" t="s">
        <v>1045</v>
      </c>
      <c r="G314" t="s">
        <v>1008</v>
      </c>
    </row>
    <row r="315" spans="1:7">
      <c r="A315">
        <v>202602</v>
      </c>
      <c r="B315" t="s">
        <v>611</v>
      </c>
      <c r="C315">
        <v>7130</v>
      </c>
      <c r="D315" t="s">
        <v>979</v>
      </c>
      <c r="E315">
        <v>73125</v>
      </c>
      <c r="F315" t="s">
        <v>1045</v>
      </c>
      <c r="G315" t="s">
        <v>1008</v>
      </c>
    </row>
    <row r="316" spans="1:7">
      <c r="A316">
        <v>202603</v>
      </c>
      <c r="B316" t="s">
        <v>611</v>
      </c>
      <c r="C316">
        <v>7130</v>
      </c>
      <c r="D316" t="s">
        <v>979</v>
      </c>
      <c r="E316">
        <v>73125</v>
      </c>
      <c r="F316" t="s">
        <v>1045</v>
      </c>
      <c r="G316" t="s">
        <v>1008</v>
      </c>
    </row>
    <row r="317" spans="1:7">
      <c r="A317">
        <v>202604</v>
      </c>
      <c r="B317" t="s">
        <v>611</v>
      </c>
      <c r="C317">
        <v>7130</v>
      </c>
      <c r="D317" t="s">
        <v>979</v>
      </c>
      <c r="E317">
        <v>73125</v>
      </c>
      <c r="F317" t="s">
        <v>1045</v>
      </c>
      <c r="G317" t="s">
        <v>1008</v>
      </c>
    </row>
    <row r="318" spans="1:7">
      <c r="A318">
        <v>202605</v>
      </c>
      <c r="B318" t="s">
        <v>611</v>
      </c>
      <c r="C318">
        <v>7130</v>
      </c>
      <c r="D318" t="s">
        <v>979</v>
      </c>
      <c r="E318">
        <v>73125</v>
      </c>
      <c r="F318" t="s">
        <v>1045</v>
      </c>
      <c r="G318" t="s">
        <v>1008</v>
      </c>
    </row>
    <row r="319" spans="1:7">
      <c r="A319">
        <v>202606</v>
      </c>
      <c r="B319" t="s">
        <v>611</v>
      </c>
      <c r="C319">
        <v>7130</v>
      </c>
      <c r="D319" t="s">
        <v>979</v>
      </c>
      <c r="E319">
        <v>73125</v>
      </c>
      <c r="F319" t="s">
        <v>1045</v>
      </c>
      <c r="G319" t="s">
        <v>1008</v>
      </c>
    </row>
    <row r="320" spans="1:7">
      <c r="A320">
        <v>202607</v>
      </c>
      <c r="B320" t="s">
        <v>611</v>
      </c>
      <c r="C320">
        <v>7130</v>
      </c>
      <c r="D320" t="s">
        <v>979</v>
      </c>
      <c r="E320">
        <v>73125</v>
      </c>
      <c r="F320" t="s">
        <v>1045</v>
      </c>
      <c r="G320" t="s">
        <v>1008</v>
      </c>
    </row>
    <row r="321" spans="1:7">
      <c r="A321">
        <v>202608</v>
      </c>
      <c r="B321" t="s">
        <v>611</v>
      </c>
      <c r="C321">
        <v>7130</v>
      </c>
      <c r="D321" t="s">
        <v>979</v>
      </c>
      <c r="E321">
        <v>73125</v>
      </c>
      <c r="F321" t="s">
        <v>1045</v>
      </c>
      <c r="G321" t="s">
        <v>1008</v>
      </c>
    </row>
    <row r="322" spans="1:7">
      <c r="A322">
        <v>202609</v>
      </c>
      <c r="B322" t="s">
        <v>611</v>
      </c>
      <c r="C322">
        <v>7130</v>
      </c>
      <c r="D322" t="s">
        <v>979</v>
      </c>
      <c r="E322">
        <v>73125</v>
      </c>
      <c r="F322" t="s">
        <v>1045</v>
      </c>
      <c r="G322" t="s">
        <v>1008</v>
      </c>
    </row>
    <row r="323" spans="1:7">
      <c r="A323">
        <v>202610</v>
      </c>
      <c r="B323" t="s">
        <v>611</v>
      </c>
      <c r="C323">
        <v>7130</v>
      </c>
      <c r="D323" t="s">
        <v>979</v>
      </c>
      <c r="E323">
        <v>73125</v>
      </c>
      <c r="F323" t="s">
        <v>1045</v>
      </c>
      <c r="G323" t="s">
        <v>1008</v>
      </c>
    </row>
    <row r="324" spans="1:7">
      <c r="A324">
        <v>202611</v>
      </c>
      <c r="B324" t="s">
        <v>611</v>
      </c>
      <c r="C324">
        <v>7130</v>
      </c>
      <c r="D324" t="s">
        <v>979</v>
      </c>
      <c r="E324">
        <v>73125</v>
      </c>
      <c r="F324" t="s">
        <v>1045</v>
      </c>
      <c r="G324" t="s">
        <v>1008</v>
      </c>
    </row>
    <row r="325" spans="1:7">
      <c r="A325">
        <v>202612</v>
      </c>
      <c r="B325" t="s">
        <v>611</v>
      </c>
      <c r="C325">
        <v>7130</v>
      </c>
      <c r="D325" t="s">
        <v>979</v>
      </c>
      <c r="E325">
        <v>73125</v>
      </c>
      <c r="F325" t="s">
        <v>1045</v>
      </c>
      <c r="G325" t="s">
        <v>1008</v>
      </c>
    </row>
    <row r="326" spans="1:7">
      <c r="A326">
        <v>202601</v>
      </c>
      <c r="B326" t="s">
        <v>616</v>
      </c>
      <c r="C326">
        <v>5000</v>
      </c>
      <c r="D326" t="s">
        <v>979</v>
      </c>
      <c r="E326">
        <v>2339518</v>
      </c>
      <c r="F326" t="s">
        <v>1038</v>
      </c>
      <c r="G326" t="s">
        <v>1009</v>
      </c>
    </row>
    <row r="327" spans="1:7">
      <c r="A327">
        <v>202602</v>
      </c>
      <c r="B327" t="s">
        <v>616</v>
      </c>
      <c r="C327">
        <v>5000</v>
      </c>
      <c r="D327" t="s">
        <v>979</v>
      </c>
      <c r="E327">
        <v>2339518</v>
      </c>
      <c r="F327" t="s">
        <v>1038</v>
      </c>
      <c r="G327" t="s">
        <v>1009</v>
      </c>
    </row>
    <row r="328" spans="1:7">
      <c r="A328">
        <v>202603</v>
      </c>
      <c r="B328" t="s">
        <v>616</v>
      </c>
      <c r="C328">
        <v>5000</v>
      </c>
      <c r="D328" t="s">
        <v>979</v>
      </c>
      <c r="E328">
        <v>2339518</v>
      </c>
      <c r="F328" t="s">
        <v>1038</v>
      </c>
      <c r="G328" t="s">
        <v>1009</v>
      </c>
    </row>
    <row r="329" spans="1:7">
      <c r="A329">
        <v>202604</v>
      </c>
      <c r="B329" t="s">
        <v>616</v>
      </c>
      <c r="C329">
        <v>5000</v>
      </c>
      <c r="D329" t="s">
        <v>979</v>
      </c>
      <c r="E329">
        <v>2339518</v>
      </c>
      <c r="F329" t="s">
        <v>1038</v>
      </c>
      <c r="G329" t="s">
        <v>1009</v>
      </c>
    </row>
    <row r="330" spans="1:7">
      <c r="A330">
        <v>202605</v>
      </c>
      <c r="B330" t="s">
        <v>616</v>
      </c>
      <c r="C330">
        <v>5000</v>
      </c>
      <c r="D330" t="s">
        <v>979</v>
      </c>
      <c r="E330">
        <v>2339518</v>
      </c>
      <c r="F330" t="s">
        <v>1038</v>
      </c>
      <c r="G330" t="s">
        <v>1009</v>
      </c>
    </row>
    <row r="331" spans="1:7">
      <c r="A331">
        <v>202606</v>
      </c>
      <c r="B331" t="s">
        <v>616</v>
      </c>
      <c r="C331">
        <v>5000</v>
      </c>
      <c r="D331" t="s">
        <v>979</v>
      </c>
      <c r="E331">
        <v>2339518</v>
      </c>
      <c r="F331" t="s">
        <v>1038</v>
      </c>
      <c r="G331" t="s">
        <v>1009</v>
      </c>
    </row>
    <row r="332" spans="1:7">
      <c r="A332">
        <v>202607</v>
      </c>
      <c r="B332" t="s">
        <v>616</v>
      </c>
      <c r="C332">
        <v>5000</v>
      </c>
      <c r="D332" t="s">
        <v>979</v>
      </c>
      <c r="E332">
        <v>2339518</v>
      </c>
      <c r="F332" t="s">
        <v>1038</v>
      </c>
      <c r="G332" t="s">
        <v>1009</v>
      </c>
    </row>
    <row r="333" spans="1:7">
      <c r="A333">
        <v>202608</v>
      </c>
      <c r="B333" t="s">
        <v>616</v>
      </c>
      <c r="C333">
        <v>5000</v>
      </c>
      <c r="D333" t="s">
        <v>979</v>
      </c>
      <c r="E333">
        <v>2339518</v>
      </c>
      <c r="F333" t="s">
        <v>1038</v>
      </c>
      <c r="G333" t="s">
        <v>1009</v>
      </c>
    </row>
    <row r="334" spans="1:7">
      <c r="A334">
        <v>202609</v>
      </c>
      <c r="B334" t="s">
        <v>616</v>
      </c>
      <c r="C334">
        <v>5000</v>
      </c>
      <c r="D334" t="s">
        <v>979</v>
      </c>
      <c r="E334">
        <v>2339518</v>
      </c>
      <c r="F334" t="s">
        <v>1038</v>
      </c>
      <c r="G334" t="s">
        <v>1009</v>
      </c>
    </row>
    <row r="335" spans="1:7">
      <c r="A335">
        <v>202610</v>
      </c>
      <c r="B335" t="s">
        <v>616</v>
      </c>
      <c r="C335">
        <v>5000</v>
      </c>
      <c r="D335" t="s">
        <v>979</v>
      </c>
      <c r="E335">
        <v>2339518</v>
      </c>
      <c r="F335" t="s">
        <v>1038</v>
      </c>
      <c r="G335" t="s">
        <v>1009</v>
      </c>
    </row>
    <row r="336" spans="1:7">
      <c r="A336">
        <v>202611</v>
      </c>
      <c r="B336" t="s">
        <v>616</v>
      </c>
      <c r="C336">
        <v>5000</v>
      </c>
      <c r="D336" t="s">
        <v>979</v>
      </c>
      <c r="E336">
        <v>2339518</v>
      </c>
      <c r="F336" t="s">
        <v>1038</v>
      </c>
      <c r="G336" t="s">
        <v>1009</v>
      </c>
    </row>
    <row r="337" spans="1:7">
      <c r="A337">
        <v>202612</v>
      </c>
      <c r="B337" t="s">
        <v>616</v>
      </c>
      <c r="C337">
        <v>5000</v>
      </c>
      <c r="D337" t="s">
        <v>979</v>
      </c>
      <c r="E337">
        <v>2339520</v>
      </c>
      <c r="F337" t="s">
        <v>1038</v>
      </c>
      <c r="G337" t="s">
        <v>1009</v>
      </c>
    </row>
    <row r="338" spans="1:7">
      <c r="A338">
        <v>202601</v>
      </c>
      <c r="B338" t="s">
        <v>616</v>
      </c>
      <c r="C338">
        <v>5080</v>
      </c>
      <c r="D338" t="s">
        <v>979</v>
      </c>
      <c r="E338">
        <v>282355</v>
      </c>
      <c r="F338" t="s">
        <v>1038</v>
      </c>
      <c r="G338" t="s">
        <v>1009</v>
      </c>
    </row>
    <row r="339" spans="1:7">
      <c r="A339">
        <v>202602</v>
      </c>
      <c r="B339" t="s">
        <v>616</v>
      </c>
      <c r="C339">
        <v>5080</v>
      </c>
      <c r="D339" t="s">
        <v>979</v>
      </c>
      <c r="E339">
        <v>282355</v>
      </c>
      <c r="F339" t="s">
        <v>1038</v>
      </c>
      <c r="G339" t="s">
        <v>1009</v>
      </c>
    </row>
    <row r="340" spans="1:7">
      <c r="A340">
        <v>202603</v>
      </c>
      <c r="B340" t="s">
        <v>616</v>
      </c>
      <c r="C340">
        <v>5080</v>
      </c>
      <c r="D340" t="s">
        <v>979</v>
      </c>
      <c r="E340">
        <v>282355</v>
      </c>
      <c r="F340" t="s">
        <v>1038</v>
      </c>
      <c r="G340" t="s">
        <v>1009</v>
      </c>
    </row>
    <row r="341" spans="1:7">
      <c r="A341">
        <v>202604</v>
      </c>
      <c r="B341" t="s">
        <v>616</v>
      </c>
      <c r="C341">
        <v>5080</v>
      </c>
      <c r="D341" t="s">
        <v>979</v>
      </c>
      <c r="E341">
        <v>282355</v>
      </c>
      <c r="F341" t="s">
        <v>1038</v>
      </c>
      <c r="G341" t="s">
        <v>1009</v>
      </c>
    </row>
    <row r="342" spans="1:7">
      <c r="A342">
        <v>202605</v>
      </c>
      <c r="B342" t="s">
        <v>616</v>
      </c>
      <c r="C342">
        <v>5080</v>
      </c>
      <c r="D342" t="s">
        <v>979</v>
      </c>
      <c r="E342">
        <v>282355</v>
      </c>
      <c r="F342" t="s">
        <v>1038</v>
      </c>
      <c r="G342" t="s">
        <v>1009</v>
      </c>
    </row>
    <row r="343" spans="1:7">
      <c r="A343">
        <v>202606</v>
      </c>
      <c r="B343" t="s">
        <v>616</v>
      </c>
      <c r="C343">
        <v>5080</v>
      </c>
      <c r="D343" t="s">
        <v>979</v>
      </c>
      <c r="E343">
        <v>282355</v>
      </c>
      <c r="F343" t="s">
        <v>1038</v>
      </c>
      <c r="G343" t="s">
        <v>1009</v>
      </c>
    </row>
    <row r="344" spans="1:7">
      <c r="A344">
        <v>202607</v>
      </c>
      <c r="B344" t="s">
        <v>616</v>
      </c>
      <c r="C344">
        <v>5080</v>
      </c>
      <c r="D344" t="s">
        <v>979</v>
      </c>
      <c r="E344">
        <v>282355</v>
      </c>
      <c r="F344" t="s">
        <v>1038</v>
      </c>
      <c r="G344" t="s">
        <v>1009</v>
      </c>
    </row>
    <row r="345" spans="1:7">
      <c r="A345">
        <v>202608</v>
      </c>
      <c r="B345" t="s">
        <v>616</v>
      </c>
      <c r="C345">
        <v>5080</v>
      </c>
      <c r="D345" t="s">
        <v>979</v>
      </c>
      <c r="E345">
        <v>282355</v>
      </c>
      <c r="F345" t="s">
        <v>1038</v>
      </c>
      <c r="G345" t="s">
        <v>1009</v>
      </c>
    </row>
    <row r="346" spans="1:7">
      <c r="A346">
        <v>202609</v>
      </c>
      <c r="B346" t="s">
        <v>616</v>
      </c>
      <c r="C346">
        <v>5080</v>
      </c>
      <c r="D346" t="s">
        <v>979</v>
      </c>
      <c r="E346">
        <v>282355</v>
      </c>
      <c r="F346" t="s">
        <v>1038</v>
      </c>
      <c r="G346" t="s">
        <v>1009</v>
      </c>
    </row>
    <row r="347" spans="1:7">
      <c r="A347">
        <v>202610</v>
      </c>
      <c r="B347" t="s">
        <v>616</v>
      </c>
      <c r="C347">
        <v>5080</v>
      </c>
      <c r="D347" t="s">
        <v>979</v>
      </c>
      <c r="E347">
        <v>282355</v>
      </c>
      <c r="F347" t="s">
        <v>1038</v>
      </c>
      <c r="G347" t="s">
        <v>1009</v>
      </c>
    </row>
    <row r="348" spans="1:7">
      <c r="A348">
        <v>202611</v>
      </c>
      <c r="B348" t="s">
        <v>616</v>
      </c>
      <c r="C348">
        <v>5080</v>
      </c>
      <c r="D348" t="s">
        <v>979</v>
      </c>
      <c r="E348">
        <v>282355</v>
      </c>
      <c r="F348" t="s">
        <v>1038</v>
      </c>
      <c r="G348" t="s">
        <v>1009</v>
      </c>
    </row>
    <row r="349" spans="1:7">
      <c r="A349">
        <v>202612</v>
      </c>
      <c r="B349" t="s">
        <v>616</v>
      </c>
      <c r="C349">
        <v>5080</v>
      </c>
      <c r="D349" t="s">
        <v>979</v>
      </c>
      <c r="E349">
        <v>282363</v>
      </c>
      <c r="F349" t="s">
        <v>1038</v>
      </c>
      <c r="G349" t="s">
        <v>1009</v>
      </c>
    </row>
    <row r="350" spans="1:7">
      <c r="A350">
        <v>202601</v>
      </c>
      <c r="B350" t="s">
        <v>616</v>
      </c>
      <c r="C350">
        <v>5400</v>
      </c>
      <c r="D350" t="s">
        <v>979</v>
      </c>
      <c r="E350">
        <v>322692</v>
      </c>
      <c r="F350" t="s">
        <v>1038</v>
      </c>
      <c r="G350" t="s">
        <v>1009</v>
      </c>
    </row>
    <row r="351" spans="1:7">
      <c r="A351">
        <v>202602</v>
      </c>
      <c r="B351" t="s">
        <v>616</v>
      </c>
      <c r="C351">
        <v>5400</v>
      </c>
      <c r="D351" t="s">
        <v>979</v>
      </c>
      <c r="E351">
        <v>322692</v>
      </c>
      <c r="F351" t="s">
        <v>1038</v>
      </c>
      <c r="G351" t="s">
        <v>1009</v>
      </c>
    </row>
    <row r="352" spans="1:7">
      <c r="A352">
        <v>202603</v>
      </c>
      <c r="B352" t="s">
        <v>616</v>
      </c>
      <c r="C352">
        <v>5400</v>
      </c>
      <c r="D352" t="s">
        <v>979</v>
      </c>
      <c r="E352">
        <v>322692</v>
      </c>
      <c r="F352" t="s">
        <v>1038</v>
      </c>
      <c r="G352" t="s">
        <v>1009</v>
      </c>
    </row>
    <row r="353" spans="1:7">
      <c r="A353">
        <v>202604</v>
      </c>
      <c r="B353" t="s">
        <v>616</v>
      </c>
      <c r="C353">
        <v>5400</v>
      </c>
      <c r="D353" t="s">
        <v>979</v>
      </c>
      <c r="E353">
        <v>322692</v>
      </c>
      <c r="F353" t="s">
        <v>1038</v>
      </c>
      <c r="G353" t="s">
        <v>1009</v>
      </c>
    </row>
    <row r="354" spans="1:7">
      <c r="A354">
        <v>202605</v>
      </c>
      <c r="B354" t="s">
        <v>616</v>
      </c>
      <c r="C354">
        <v>5400</v>
      </c>
      <c r="D354" t="s">
        <v>979</v>
      </c>
      <c r="E354">
        <v>322692</v>
      </c>
      <c r="F354" t="s">
        <v>1038</v>
      </c>
      <c r="G354" t="s">
        <v>1009</v>
      </c>
    </row>
    <row r="355" spans="1:7">
      <c r="A355">
        <v>202606</v>
      </c>
      <c r="B355" t="s">
        <v>616</v>
      </c>
      <c r="C355">
        <v>5400</v>
      </c>
      <c r="D355" t="s">
        <v>979</v>
      </c>
      <c r="E355">
        <v>322692</v>
      </c>
      <c r="F355" t="s">
        <v>1038</v>
      </c>
      <c r="G355" t="s">
        <v>1009</v>
      </c>
    </row>
    <row r="356" spans="1:7">
      <c r="A356">
        <v>202607</v>
      </c>
      <c r="B356" t="s">
        <v>616</v>
      </c>
      <c r="C356">
        <v>5400</v>
      </c>
      <c r="D356" t="s">
        <v>979</v>
      </c>
      <c r="E356">
        <v>322692</v>
      </c>
      <c r="F356" t="s">
        <v>1038</v>
      </c>
      <c r="G356" t="s">
        <v>1009</v>
      </c>
    </row>
    <row r="357" spans="1:7">
      <c r="A357">
        <v>202608</v>
      </c>
      <c r="B357" t="s">
        <v>616</v>
      </c>
      <c r="C357">
        <v>5400</v>
      </c>
      <c r="D357" t="s">
        <v>979</v>
      </c>
      <c r="E357">
        <v>322692</v>
      </c>
      <c r="F357" t="s">
        <v>1038</v>
      </c>
      <c r="G357" t="s">
        <v>1009</v>
      </c>
    </row>
    <row r="358" spans="1:7">
      <c r="A358">
        <v>202609</v>
      </c>
      <c r="B358" t="s">
        <v>616</v>
      </c>
      <c r="C358">
        <v>5400</v>
      </c>
      <c r="D358" t="s">
        <v>979</v>
      </c>
      <c r="E358">
        <v>322692</v>
      </c>
      <c r="F358" t="s">
        <v>1038</v>
      </c>
      <c r="G358" t="s">
        <v>1009</v>
      </c>
    </row>
    <row r="359" spans="1:7">
      <c r="A359">
        <v>202610</v>
      </c>
      <c r="B359" t="s">
        <v>616</v>
      </c>
      <c r="C359">
        <v>5400</v>
      </c>
      <c r="D359" t="s">
        <v>979</v>
      </c>
      <c r="E359">
        <v>322692</v>
      </c>
      <c r="F359" t="s">
        <v>1038</v>
      </c>
      <c r="G359" t="s">
        <v>1009</v>
      </c>
    </row>
    <row r="360" spans="1:7">
      <c r="A360">
        <v>202611</v>
      </c>
      <c r="B360" t="s">
        <v>616</v>
      </c>
      <c r="C360">
        <v>5400</v>
      </c>
      <c r="D360" t="s">
        <v>979</v>
      </c>
      <c r="E360">
        <v>322692</v>
      </c>
      <c r="F360" t="s">
        <v>1038</v>
      </c>
      <c r="G360" t="s">
        <v>1009</v>
      </c>
    </row>
    <row r="361" spans="1:7">
      <c r="A361">
        <v>202612</v>
      </c>
      <c r="B361" t="s">
        <v>616</v>
      </c>
      <c r="C361">
        <v>5400</v>
      </c>
      <c r="D361" t="s">
        <v>979</v>
      </c>
      <c r="E361">
        <v>322694</v>
      </c>
      <c r="F361" t="s">
        <v>1038</v>
      </c>
      <c r="G361" t="s">
        <v>1009</v>
      </c>
    </row>
    <row r="362" spans="1:7">
      <c r="A362">
        <v>202601</v>
      </c>
      <c r="B362" t="s">
        <v>616</v>
      </c>
      <c r="C362">
        <v>5420</v>
      </c>
      <c r="D362" t="s">
        <v>979</v>
      </c>
      <c r="E362">
        <v>242019</v>
      </c>
      <c r="F362" t="s">
        <v>1038</v>
      </c>
      <c r="G362" t="s">
        <v>1009</v>
      </c>
    </row>
    <row r="363" spans="1:7">
      <c r="A363">
        <v>202602</v>
      </c>
      <c r="B363" t="s">
        <v>616</v>
      </c>
      <c r="C363">
        <v>5420</v>
      </c>
      <c r="D363" t="s">
        <v>979</v>
      </c>
      <c r="E363">
        <v>242019</v>
      </c>
      <c r="F363" t="s">
        <v>1038</v>
      </c>
      <c r="G363" t="s">
        <v>1009</v>
      </c>
    </row>
    <row r="364" spans="1:7">
      <c r="A364">
        <v>202603</v>
      </c>
      <c r="B364" t="s">
        <v>616</v>
      </c>
      <c r="C364">
        <v>5420</v>
      </c>
      <c r="D364" t="s">
        <v>979</v>
      </c>
      <c r="E364">
        <v>242019</v>
      </c>
      <c r="F364" t="s">
        <v>1038</v>
      </c>
      <c r="G364" t="s">
        <v>1009</v>
      </c>
    </row>
    <row r="365" spans="1:7">
      <c r="A365">
        <v>202604</v>
      </c>
      <c r="B365" t="s">
        <v>616</v>
      </c>
      <c r="C365">
        <v>5420</v>
      </c>
      <c r="D365" t="s">
        <v>979</v>
      </c>
      <c r="E365">
        <v>242019</v>
      </c>
      <c r="F365" t="s">
        <v>1038</v>
      </c>
      <c r="G365" t="s">
        <v>1009</v>
      </c>
    </row>
    <row r="366" spans="1:7">
      <c r="A366">
        <v>202605</v>
      </c>
      <c r="B366" t="s">
        <v>616</v>
      </c>
      <c r="C366">
        <v>5420</v>
      </c>
      <c r="D366" t="s">
        <v>979</v>
      </c>
      <c r="E366">
        <v>242019</v>
      </c>
      <c r="F366" t="s">
        <v>1038</v>
      </c>
      <c r="G366" t="s">
        <v>1009</v>
      </c>
    </row>
    <row r="367" spans="1:7">
      <c r="A367">
        <v>202606</v>
      </c>
      <c r="B367" t="s">
        <v>616</v>
      </c>
      <c r="C367">
        <v>5420</v>
      </c>
      <c r="D367" t="s">
        <v>979</v>
      </c>
      <c r="E367">
        <v>242019</v>
      </c>
      <c r="F367" t="s">
        <v>1038</v>
      </c>
      <c r="G367" t="s">
        <v>1009</v>
      </c>
    </row>
    <row r="368" spans="1:7">
      <c r="A368">
        <v>202607</v>
      </c>
      <c r="B368" t="s">
        <v>616</v>
      </c>
      <c r="C368">
        <v>5420</v>
      </c>
      <c r="D368" t="s">
        <v>979</v>
      </c>
      <c r="E368">
        <v>242019</v>
      </c>
      <c r="F368" t="s">
        <v>1038</v>
      </c>
      <c r="G368" t="s">
        <v>1009</v>
      </c>
    </row>
    <row r="369" spans="1:7">
      <c r="A369">
        <v>202608</v>
      </c>
      <c r="B369" t="s">
        <v>616</v>
      </c>
      <c r="C369">
        <v>5420</v>
      </c>
      <c r="D369" t="s">
        <v>979</v>
      </c>
      <c r="E369">
        <v>242019</v>
      </c>
      <c r="F369" t="s">
        <v>1038</v>
      </c>
      <c r="G369" t="s">
        <v>1009</v>
      </c>
    </row>
    <row r="370" spans="1:7">
      <c r="A370">
        <v>202609</v>
      </c>
      <c r="B370" t="s">
        <v>616</v>
      </c>
      <c r="C370">
        <v>5420</v>
      </c>
      <c r="D370" t="s">
        <v>979</v>
      </c>
      <c r="E370">
        <v>242019</v>
      </c>
      <c r="F370" t="s">
        <v>1038</v>
      </c>
      <c r="G370" t="s">
        <v>1009</v>
      </c>
    </row>
    <row r="371" spans="1:7">
      <c r="A371">
        <v>202610</v>
      </c>
      <c r="B371" t="s">
        <v>616</v>
      </c>
      <c r="C371">
        <v>5420</v>
      </c>
      <c r="D371" t="s">
        <v>979</v>
      </c>
      <c r="E371">
        <v>242019</v>
      </c>
      <c r="F371" t="s">
        <v>1038</v>
      </c>
      <c r="G371" t="s">
        <v>1009</v>
      </c>
    </row>
    <row r="372" spans="1:7">
      <c r="A372">
        <v>202611</v>
      </c>
      <c r="B372" t="s">
        <v>616</v>
      </c>
      <c r="C372">
        <v>5420</v>
      </c>
      <c r="D372" t="s">
        <v>979</v>
      </c>
      <c r="E372">
        <v>242019</v>
      </c>
      <c r="F372" t="s">
        <v>1038</v>
      </c>
      <c r="G372" t="s">
        <v>1009</v>
      </c>
    </row>
    <row r="373" spans="1:7">
      <c r="A373">
        <v>202612</v>
      </c>
      <c r="B373" t="s">
        <v>616</v>
      </c>
      <c r="C373">
        <v>5420</v>
      </c>
      <c r="D373" t="s">
        <v>979</v>
      </c>
      <c r="E373">
        <v>242021</v>
      </c>
      <c r="F373" t="s">
        <v>1038</v>
      </c>
      <c r="G373" t="s">
        <v>1009</v>
      </c>
    </row>
    <row r="374" spans="1:7">
      <c r="A374">
        <v>202601</v>
      </c>
      <c r="B374" t="s">
        <v>616</v>
      </c>
      <c r="C374">
        <v>5100</v>
      </c>
      <c r="D374" t="s">
        <v>979</v>
      </c>
      <c r="E374">
        <v>161346</v>
      </c>
      <c r="F374" t="s">
        <v>1038</v>
      </c>
      <c r="G374" t="s">
        <v>1009</v>
      </c>
    </row>
    <row r="375" spans="1:7">
      <c r="A375">
        <v>202602</v>
      </c>
      <c r="B375" t="s">
        <v>616</v>
      </c>
      <c r="C375">
        <v>5100</v>
      </c>
      <c r="D375" t="s">
        <v>979</v>
      </c>
      <c r="E375">
        <v>161346</v>
      </c>
      <c r="F375" t="s">
        <v>1038</v>
      </c>
      <c r="G375" t="s">
        <v>1009</v>
      </c>
    </row>
    <row r="376" spans="1:7">
      <c r="A376">
        <v>202603</v>
      </c>
      <c r="B376" t="s">
        <v>616</v>
      </c>
      <c r="C376">
        <v>5100</v>
      </c>
      <c r="D376" t="s">
        <v>979</v>
      </c>
      <c r="E376">
        <v>161346</v>
      </c>
      <c r="F376" t="s">
        <v>1038</v>
      </c>
      <c r="G376" t="s">
        <v>1009</v>
      </c>
    </row>
    <row r="377" spans="1:7">
      <c r="A377">
        <v>202604</v>
      </c>
      <c r="B377" t="s">
        <v>616</v>
      </c>
      <c r="C377">
        <v>5100</v>
      </c>
      <c r="D377" t="s">
        <v>979</v>
      </c>
      <c r="E377">
        <v>161346</v>
      </c>
      <c r="F377" t="s">
        <v>1038</v>
      </c>
      <c r="G377" t="s">
        <v>1009</v>
      </c>
    </row>
    <row r="378" spans="1:7">
      <c r="A378">
        <v>202605</v>
      </c>
      <c r="B378" t="s">
        <v>616</v>
      </c>
      <c r="C378">
        <v>5100</v>
      </c>
      <c r="D378" t="s">
        <v>979</v>
      </c>
      <c r="E378">
        <v>161346</v>
      </c>
      <c r="F378" t="s">
        <v>1038</v>
      </c>
      <c r="G378" t="s">
        <v>1009</v>
      </c>
    </row>
    <row r="379" spans="1:7">
      <c r="A379">
        <v>202606</v>
      </c>
      <c r="B379" t="s">
        <v>616</v>
      </c>
      <c r="C379">
        <v>5100</v>
      </c>
      <c r="D379" t="s">
        <v>979</v>
      </c>
      <c r="E379">
        <v>161346</v>
      </c>
      <c r="F379" t="s">
        <v>1038</v>
      </c>
      <c r="G379" t="s">
        <v>1009</v>
      </c>
    </row>
    <row r="380" spans="1:7">
      <c r="A380">
        <v>202607</v>
      </c>
      <c r="B380" t="s">
        <v>616</v>
      </c>
      <c r="C380">
        <v>5100</v>
      </c>
      <c r="D380" t="s">
        <v>979</v>
      </c>
      <c r="E380">
        <v>161346</v>
      </c>
      <c r="F380" t="s">
        <v>1038</v>
      </c>
      <c r="G380" t="s">
        <v>1009</v>
      </c>
    </row>
    <row r="381" spans="1:7">
      <c r="A381">
        <v>202608</v>
      </c>
      <c r="B381" t="s">
        <v>616</v>
      </c>
      <c r="C381">
        <v>5100</v>
      </c>
      <c r="D381" t="s">
        <v>979</v>
      </c>
      <c r="E381">
        <v>161346</v>
      </c>
      <c r="F381" t="s">
        <v>1038</v>
      </c>
      <c r="G381" t="s">
        <v>1009</v>
      </c>
    </row>
    <row r="382" spans="1:7">
      <c r="A382">
        <v>202609</v>
      </c>
      <c r="B382" t="s">
        <v>616</v>
      </c>
      <c r="C382">
        <v>5100</v>
      </c>
      <c r="D382" t="s">
        <v>979</v>
      </c>
      <c r="E382">
        <v>161346</v>
      </c>
      <c r="F382" t="s">
        <v>1038</v>
      </c>
      <c r="G382" t="s">
        <v>1009</v>
      </c>
    </row>
    <row r="383" spans="1:7">
      <c r="A383">
        <v>202610</v>
      </c>
      <c r="B383" t="s">
        <v>616</v>
      </c>
      <c r="C383">
        <v>5100</v>
      </c>
      <c r="D383" t="s">
        <v>979</v>
      </c>
      <c r="E383">
        <v>161346</v>
      </c>
      <c r="F383" t="s">
        <v>1038</v>
      </c>
      <c r="G383" t="s">
        <v>1009</v>
      </c>
    </row>
    <row r="384" spans="1:7">
      <c r="A384">
        <v>202611</v>
      </c>
      <c r="B384" t="s">
        <v>616</v>
      </c>
      <c r="C384">
        <v>5100</v>
      </c>
      <c r="D384" t="s">
        <v>979</v>
      </c>
      <c r="E384">
        <v>161346</v>
      </c>
      <c r="F384" t="s">
        <v>1038</v>
      </c>
      <c r="G384" t="s">
        <v>1009</v>
      </c>
    </row>
    <row r="385" spans="1:7">
      <c r="A385">
        <v>202612</v>
      </c>
      <c r="B385" t="s">
        <v>616</v>
      </c>
      <c r="C385">
        <v>5100</v>
      </c>
      <c r="D385" t="s">
        <v>979</v>
      </c>
      <c r="E385">
        <v>161347</v>
      </c>
      <c r="F385" t="s">
        <v>1038</v>
      </c>
      <c r="G385" t="s">
        <v>1009</v>
      </c>
    </row>
    <row r="386" spans="1:7">
      <c r="A386">
        <v>202601</v>
      </c>
      <c r="B386" t="s">
        <v>616</v>
      </c>
      <c r="C386">
        <v>6300</v>
      </c>
      <c r="D386" t="s">
        <v>979</v>
      </c>
      <c r="E386">
        <v>322692</v>
      </c>
      <c r="F386" t="s">
        <v>1038</v>
      </c>
      <c r="G386" t="s">
        <v>1009</v>
      </c>
    </row>
    <row r="387" spans="1:7">
      <c r="A387">
        <v>202602</v>
      </c>
      <c r="B387" t="s">
        <v>616</v>
      </c>
      <c r="C387">
        <v>6300</v>
      </c>
      <c r="D387" t="s">
        <v>979</v>
      </c>
      <c r="E387">
        <v>322692</v>
      </c>
      <c r="F387" t="s">
        <v>1038</v>
      </c>
      <c r="G387" t="s">
        <v>1009</v>
      </c>
    </row>
    <row r="388" spans="1:7">
      <c r="A388">
        <v>202603</v>
      </c>
      <c r="B388" t="s">
        <v>616</v>
      </c>
      <c r="C388">
        <v>6300</v>
      </c>
      <c r="D388" t="s">
        <v>979</v>
      </c>
      <c r="E388">
        <v>322692</v>
      </c>
      <c r="F388" t="s">
        <v>1038</v>
      </c>
      <c r="G388" t="s">
        <v>1009</v>
      </c>
    </row>
    <row r="389" spans="1:7">
      <c r="A389">
        <v>202604</v>
      </c>
      <c r="B389" t="s">
        <v>616</v>
      </c>
      <c r="C389">
        <v>6300</v>
      </c>
      <c r="D389" t="s">
        <v>979</v>
      </c>
      <c r="E389">
        <v>322692</v>
      </c>
      <c r="F389" t="s">
        <v>1038</v>
      </c>
      <c r="G389" t="s">
        <v>1009</v>
      </c>
    </row>
    <row r="390" spans="1:7">
      <c r="A390">
        <v>202605</v>
      </c>
      <c r="B390" t="s">
        <v>616</v>
      </c>
      <c r="C390">
        <v>6300</v>
      </c>
      <c r="D390" t="s">
        <v>979</v>
      </c>
      <c r="E390">
        <v>322692</v>
      </c>
      <c r="F390" t="s">
        <v>1038</v>
      </c>
      <c r="G390" t="s">
        <v>1009</v>
      </c>
    </row>
    <row r="391" spans="1:7">
      <c r="A391">
        <v>202606</v>
      </c>
      <c r="B391" t="s">
        <v>616</v>
      </c>
      <c r="C391">
        <v>6300</v>
      </c>
      <c r="D391" t="s">
        <v>979</v>
      </c>
      <c r="E391">
        <v>322692</v>
      </c>
      <c r="F391" t="s">
        <v>1038</v>
      </c>
      <c r="G391" t="s">
        <v>1009</v>
      </c>
    </row>
    <row r="392" spans="1:7">
      <c r="A392">
        <v>202607</v>
      </c>
      <c r="B392" t="s">
        <v>616</v>
      </c>
      <c r="C392">
        <v>6300</v>
      </c>
      <c r="D392" t="s">
        <v>979</v>
      </c>
      <c r="E392">
        <v>322692</v>
      </c>
      <c r="F392" t="s">
        <v>1038</v>
      </c>
      <c r="G392" t="s">
        <v>1009</v>
      </c>
    </row>
    <row r="393" spans="1:7">
      <c r="A393">
        <v>202608</v>
      </c>
      <c r="B393" t="s">
        <v>616</v>
      </c>
      <c r="C393">
        <v>6300</v>
      </c>
      <c r="D393" t="s">
        <v>979</v>
      </c>
      <c r="E393">
        <v>322692</v>
      </c>
      <c r="F393" t="s">
        <v>1038</v>
      </c>
      <c r="G393" t="s">
        <v>1009</v>
      </c>
    </row>
    <row r="394" spans="1:7">
      <c r="A394">
        <v>202609</v>
      </c>
      <c r="B394" t="s">
        <v>616</v>
      </c>
      <c r="C394">
        <v>6300</v>
      </c>
      <c r="D394" t="s">
        <v>979</v>
      </c>
      <c r="E394">
        <v>322692</v>
      </c>
      <c r="F394" t="s">
        <v>1038</v>
      </c>
      <c r="G394" t="s">
        <v>1009</v>
      </c>
    </row>
    <row r="395" spans="1:7">
      <c r="A395">
        <v>202610</v>
      </c>
      <c r="B395" t="s">
        <v>616</v>
      </c>
      <c r="C395">
        <v>6300</v>
      </c>
      <c r="D395" t="s">
        <v>979</v>
      </c>
      <c r="E395">
        <v>322692</v>
      </c>
      <c r="F395" t="s">
        <v>1038</v>
      </c>
      <c r="G395" t="s">
        <v>1009</v>
      </c>
    </row>
    <row r="396" spans="1:7">
      <c r="A396">
        <v>202611</v>
      </c>
      <c r="B396" t="s">
        <v>616</v>
      </c>
      <c r="C396">
        <v>6300</v>
      </c>
      <c r="D396" t="s">
        <v>979</v>
      </c>
      <c r="E396">
        <v>322692</v>
      </c>
      <c r="F396" t="s">
        <v>1038</v>
      </c>
      <c r="G396" t="s">
        <v>1009</v>
      </c>
    </row>
    <row r="397" spans="1:7">
      <c r="A397">
        <v>202612</v>
      </c>
      <c r="B397" t="s">
        <v>616</v>
      </c>
      <c r="C397">
        <v>6300</v>
      </c>
      <c r="D397" t="s">
        <v>979</v>
      </c>
      <c r="E397">
        <v>322694</v>
      </c>
      <c r="F397" t="s">
        <v>1038</v>
      </c>
      <c r="G397" t="s">
        <v>1009</v>
      </c>
    </row>
    <row r="398" spans="1:7">
      <c r="A398">
        <v>202601</v>
      </c>
      <c r="B398" t="s">
        <v>616</v>
      </c>
      <c r="C398">
        <v>6550</v>
      </c>
      <c r="D398" t="s">
        <v>979</v>
      </c>
      <c r="E398">
        <v>121009</v>
      </c>
      <c r="F398" t="s">
        <v>1038</v>
      </c>
      <c r="G398" t="s">
        <v>1009</v>
      </c>
    </row>
    <row r="399" spans="1:7">
      <c r="A399">
        <v>202602</v>
      </c>
      <c r="B399" t="s">
        <v>616</v>
      </c>
      <c r="C399">
        <v>6550</v>
      </c>
      <c r="D399" t="s">
        <v>979</v>
      </c>
      <c r="E399">
        <v>121009</v>
      </c>
      <c r="F399" t="s">
        <v>1038</v>
      </c>
      <c r="G399" t="s">
        <v>1009</v>
      </c>
    </row>
    <row r="400" spans="1:7">
      <c r="A400">
        <v>202603</v>
      </c>
      <c r="B400" t="s">
        <v>616</v>
      </c>
      <c r="C400">
        <v>6550</v>
      </c>
      <c r="D400" t="s">
        <v>979</v>
      </c>
      <c r="E400">
        <v>121009</v>
      </c>
      <c r="F400" t="s">
        <v>1038</v>
      </c>
      <c r="G400" t="s">
        <v>1009</v>
      </c>
    </row>
    <row r="401" spans="1:7">
      <c r="A401">
        <v>202604</v>
      </c>
      <c r="B401" t="s">
        <v>616</v>
      </c>
      <c r="C401">
        <v>6550</v>
      </c>
      <c r="D401" t="s">
        <v>979</v>
      </c>
      <c r="E401">
        <v>121009</v>
      </c>
      <c r="F401" t="s">
        <v>1038</v>
      </c>
      <c r="G401" t="s">
        <v>1009</v>
      </c>
    </row>
    <row r="402" spans="1:7">
      <c r="A402">
        <v>202605</v>
      </c>
      <c r="B402" t="s">
        <v>616</v>
      </c>
      <c r="C402">
        <v>6550</v>
      </c>
      <c r="D402" t="s">
        <v>979</v>
      </c>
      <c r="E402">
        <v>121009</v>
      </c>
      <c r="F402" t="s">
        <v>1038</v>
      </c>
      <c r="G402" t="s">
        <v>1009</v>
      </c>
    </row>
    <row r="403" spans="1:7">
      <c r="A403">
        <v>202606</v>
      </c>
      <c r="B403" t="s">
        <v>616</v>
      </c>
      <c r="C403">
        <v>6550</v>
      </c>
      <c r="D403" t="s">
        <v>979</v>
      </c>
      <c r="E403">
        <v>121009</v>
      </c>
      <c r="F403" t="s">
        <v>1038</v>
      </c>
      <c r="G403" t="s">
        <v>1009</v>
      </c>
    </row>
    <row r="404" spans="1:7">
      <c r="A404">
        <v>202607</v>
      </c>
      <c r="B404" t="s">
        <v>616</v>
      </c>
      <c r="C404">
        <v>6550</v>
      </c>
      <c r="D404" t="s">
        <v>979</v>
      </c>
      <c r="E404">
        <v>121009</v>
      </c>
      <c r="F404" t="s">
        <v>1038</v>
      </c>
      <c r="G404" t="s">
        <v>1009</v>
      </c>
    </row>
    <row r="405" spans="1:7">
      <c r="A405">
        <v>202608</v>
      </c>
      <c r="B405" t="s">
        <v>616</v>
      </c>
      <c r="C405">
        <v>6550</v>
      </c>
      <c r="D405" t="s">
        <v>979</v>
      </c>
      <c r="E405">
        <v>121009</v>
      </c>
      <c r="F405" t="s">
        <v>1038</v>
      </c>
      <c r="G405" t="s">
        <v>1009</v>
      </c>
    </row>
    <row r="406" spans="1:7">
      <c r="A406">
        <v>202609</v>
      </c>
      <c r="B406" t="s">
        <v>616</v>
      </c>
      <c r="C406">
        <v>6550</v>
      </c>
      <c r="D406" t="s">
        <v>979</v>
      </c>
      <c r="E406">
        <v>121009</v>
      </c>
      <c r="F406" t="s">
        <v>1038</v>
      </c>
      <c r="G406" t="s">
        <v>1009</v>
      </c>
    </row>
    <row r="407" spans="1:7">
      <c r="A407">
        <v>202610</v>
      </c>
      <c r="B407" t="s">
        <v>616</v>
      </c>
      <c r="C407">
        <v>6550</v>
      </c>
      <c r="D407" t="s">
        <v>979</v>
      </c>
      <c r="E407">
        <v>121009</v>
      </c>
      <c r="F407" t="s">
        <v>1038</v>
      </c>
      <c r="G407" t="s">
        <v>1009</v>
      </c>
    </row>
    <row r="408" spans="1:7">
      <c r="A408">
        <v>202611</v>
      </c>
      <c r="B408" t="s">
        <v>616</v>
      </c>
      <c r="C408">
        <v>6550</v>
      </c>
      <c r="D408" t="s">
        <v>979</v>
      </c>
      <c r="E408">
        <v>121009</v>
      </c>
      <c r="F408" t="s">
        <v>1038</v>
      </c>
      <c r="G408" t="s">
        <v>1009</v>
      </c>
    </row>
    <row r="409" spans="1:7">
      <c r="A409">
        <v>202612</v>
      </c>
      <c r="B409" t="s">
        <v>616</v>
      </c>
      <c r="C409">
        <v>6550</v>
      </c>
      <c r="D409" t="s">
        <v>979</v>
      </c>
      <c r="E409">
        <v>121016</v>
      </c>
      <c r="F409" t="s">
        <v>1038</v>
      </c>
      <c r="G409" t="s">
        <v>1009</v>
      </c>
    </row>
    <row r="410" spans="1:7">
      <c r="A410">
        <v>202601</v>
      </c>
      <c r="B410" t="s">
        <v>616</v>
      </c>
      <c r="C410">
        <v>6700</v>
      </c>
      <c r="D410" t="s">
        <v>979</v>
      </c>
      <c r="E410">
        <v>121009</v>
      </c>
      <c r="F410" t="s">
        <v>1038</v>
      </c>
      <c r="G410" t="s">
        <v>1009</v>
      </c>
    </row>
    <row r="411" spans="1:7">
      <c r="A411">
        <v>202602</v>
      </c>
      <c r="B411" t="s">
        <v>616</v>
      </c>
      <c r="C411">
        <v>6700</v>
      </c>
      <c r="D411" t="s">
        <v>979</v>
      </c>
      <c r="E411">
        <v>121009</v>
      </c>
      <c r="F411" t="s">
        <v>1038</v>
      </c>
      <c r="G411" t="s">
        <v>1009</v>
      </c>
    </row>
    <row r="412" spans="1:7">
      <c r="A412">
        <v>202603</v>
      </c>
      <c r="B412" t="s">
        <v>616</v>
      </c>
      <c r="C412">
        <v>6700</v>
      </c>
      <c r="D412" t="s">
        <v>979</v>
      </c>
      <c r="E412">
        <v>121009</v>
      </c>
      <c r="F412" t="s">
        <v>1038</v>
      </c>
      <c r="G412" t="s">
        <v>1009</v>
      </c>
    </row>
    <row r="413" spans="1:7">
      <c r="A413">
        <v>202604</v>
      </c>
      <c r="B413" t="s">
        <v>616</v>
      </c>
      <c r="C413">
        <v>6700</v>
      </c>
      <c r="D413" t="s">
        <v>979</v>
      </c>
      <c r="E413">
        <v>121009</v>
      </c>
      <c r="F413" t="s">
        <v>1038</v>
      </c>
      <c r="G413" t="s">
        <v>1009</v>
      </c>
    </row>
    <row r="414" spans="1:7">
      <c r="A414">
        <v>202605</v>
      </c>
      <c r="B414" t="s">
        <v>616</v>
      </c>
      <c r="C414">
        <v>6700</v>
      </c>
      <c r="D414" t="s">
        <v>979</v>
      </c>
      <c r="E414">
        <v>121009</v>
      </c>
      <c r="F414" t="s">
        <v>1038</v>
      </c>
      <c r="G414" t="s">
        <v>1009</v>
      </c>
    </row>
    <row r="415" spans="1:7">
      <c r="A415">
        <v>202606</v>
      </c>
      <c r="B415" t="s">
        <v>616</v>
      </c>
      <c r="C415">
        <v>6700</v>
      </c>
      <c r="D415" t="s">
        <v>979</v>
      </c>
      <c r="E415">
        <v>121009</v>
      </c>
      <c r="F415" t="s">
        <v>1038</v>
      </c>
      <c r="G415" t="s">
        <v>1009</v>
      </c>
    </row>
    <row r="416" spans="1:7">
      <c r="A416">
        <v>202607</v>
      </c>
      <c r="B416" t="s">
        <v>616</v>
      </c>
      <c r="C416">
        <v>6700</v>
      </c>
      <c r="D416" t="s">
        <v>979</v>
      </c>
      <c r="E416">
        <v>121009</v>
      </c>
      <c r="F416" t="s">
        <v>1038</v>
      </c>
      <c r="G416" t="s">
        <v>1009</v>
      </c>
    </row>
    <row r="417" spans="1:7">
      <c r="A417">
        <v>202608</v>
      </c>
      <c r="B417" t="s">
        <v>616</v>
      </c>
      <c r="C417">
        <v>6700</v>
      </c>
      <c r="D417" t="s">
        <v>979</v>
      </c>
      <c r="E417">
        <v>121009</v>
      </c>
      <c r="F417" t="s">
        <v>1038</v>
      </c>
      <c r="G417" t="s">
        <v>1009</v>
      </c>
    </row>
    <row r="418" spans="1:7">
      <c r="A418">
        <v>202609</v>
      </c>
      <c r="B418" t="s">
        <v>616</v>
      </c>
      <c r="C418">
        <v>6700</v>
      </c>
      <c r="D418" t="s">
        <v>979</v>
      </c>
      <c r="E418">
        <v>121009</v>
      </c>
      <c r="F418" t="s">
        <v>1038</v>
      </c>
      <c r="G418" t="s">
        <v>1009</v>
      </c>
    </row>
    <row r="419" spans="1:7">
      <c r="A419">
        <v>202610</v>
      </c>
      <c r="B419" t="s">
        <v>616</v>
      </c>
      <c r="C419">
        <v>6700</v>
      </c>
      <c r="D419" t="s">
        <v>979</v>
      </c>
      <c r="E419">
        <v>121009</v>
      </c>
      <c r="F419" t="s">
        <v>1038</v>
      </c>
      <c r="G419" t="s">
        <v>1009</v>
      </c>
    </row>
    <row r="420" spans="1:7">
      <c r="A420">
        <v>202611</v>
      </c>
      <c r="B420" t="s">
        <v>616</v>
      </c>
      <c r="C420">
        <v>6700</v>
      </c>
      <c r="D420" t="s">
        <v>979</v>
      </c>
      <c r="E420">
        <v>121009</v>
      </c>
      <c r="F420" t="s">
        <v>1038</v>
      </c>
      <c r="G420" t="s">
        <v>1009</v>
      </c>
    </row>
    <row r="421" spans="1:7">
      <c r="A421">
        <v>202612</v>
      </c>
      <c r="B421" t="s">
        <v>616</v>
      </c>
      <c r="C421">
        <v>6700</v>
      </c>
      <c r="D421" t="s">
        <v>979</v>
      </c>
      <c r="E421">
        <v>121016</v>
      </c>
      <c r="F421" t="s">
        <v>1038</v>
      </c>
      <c r="G421" t="s">
        <v>1009</v>
      </c>
    </row>
    <row r="422" spans="1:7">
      <c r="A422">
        <v>202601</v>
      </c>
      <c r="B422" t="s">
        <v>616</v>
      </c>
      <c r="C422">
        <v>7130</v>
      </c>
      <c r="D422" t="s">
        <v>979</v>
      </c>
      <c r="E422">
        <v>121009</v>
      </c>
      <c r="F422" t="s">
        <v>1038</v>
      </c>
      <c r="G422" t="s">
        <v>1009</v>
      </c>
    </row>
    <row r="423" spans="1:7">
      <c r="A423">
        <v>202602</v>
      </c>
      <c r="B423" t="s">
        <v>616</v>
      </c>
      <c r="C423">
        <v>7130</v>
      </c>
      <c r="D423" t="s">
        <v>979</v>
      </c>
      <c r="E423">
        <v>121009</v>
      </c>
      <c r="F423" t="s">
        <v>1038</v>
      </c>
      <c r="G423" t="s">
        <v>1009</v>
      </c>
    </row>
    <row r="424" spans="1:7">
      <c r="A424">
        <v>202603</v>
      </c>
      <c r="B424" t="s">
        <v>616</v>
      </c>
      <c r="C424">
        <v>7130</v>
      </c>
      <c r="D424" t="s">
        <v>979</v>
      </c>
      <c r="E424">
        <v>121009</v>
      </c>
      <c r="F424" t="s">
        <v>1038</v>
      </c>
      <c r="G424" t="s">
        <v>1009</v>
      </c>
    </row>
    <row r="425" spans="1:7">
      <c r="A425">
        <v>202604</v>
      </c>
      <c r="B425" t="s">
        <v>616</v>
      </c>
      <c r="C425">
        <v>7130</v>
      </c>
      <c r="D425" t="s">
        <v>979</v>
      </c>
      <c r="E425">
        <v>121009</v>
      </c>
      <c r="F425" t="s">
        <v>1038</v>
      </c>
      <c r="G425" t="s">
        <v>1009</v>
      </c>
    </row>
    <row r="426" spans="1:7">
      <c r="A426">
        <v>202605</v>
      </c>
      <c r="B426" t="s">
        <v>616</v>
      </c>
      <c r="C426">
        <v>7130</v>
      </c>
      <c r="D426" t="s">
        <v>979</v>
      </c>
      <c r="E426">
        <v>121009</v>
      </c>
      <c r="F426" t="s">
        <v>1038</v>
      </c>
      <c r="G426" t="s">
        <v>1009</v>
      </c>
    </row>
    <row r="427" spans="1:7">
      <c r="A427">
        <v>202606</v>
      </c>
      <c r="B427" t="s">
        <v>616</v>
      </c>
      <c r="C427">
        <v>7130</v>
      </c>
      <c r="D427" t="s">
        <v>979</v>
      </c>
      <c r="E427">
        <v>121009</v>
      </c>
      <c r="F427" t="s">
        <v>1038</v>
      </c>
      <c r="G427" t="s">
        <v>1009</v>
      </c>
    </row>
    <row r="428" spans="1:7">
      <c r="A428">
        <v>202607</v>
      </c>
      <c r="B428" t="s">
        <v>616</v>
      </c>
      <c r="C428">
        <v>7130</v>
      </c>
      <c r="D428" t="s">
        <v>979</v>
      </c>
      <c r="E428">
        <v>121009</v>
      </c>
      <c r="F428" t="s">
        <v>1038</v>
      </c>
      <c r="G428" t="s">
        <v>1009</v>
      </c>
    </row>
    <row r="429" spans="1:7">
      <c r="A429">
        <v>202608</v>
      </c>
      <c r="B429" t="s">
        <v>616</v>
      </c>
      <c r="C429">
        <v>7130</v>
      </c>
      <c r="D429" t="s">
        <v>979</v>
      </c>
      <c r="E429">
        <v>121009</v>
      </c>
      <c r="F429" t="s">
        <v>1038</v>
      </c>
      <c r="G429" t="s">
        <v>1009</v>
      </c>
    </row>
    <row r="430" spans="1:7">
      <c r="A430">
        <v>202609</v>
      </c>
      <c r="B430" t="s">
        <v>616</v>
      </c>
      <c r="C430">
        <v>7130</v>
      </c>
      <c r="D430" t="s">
        <v>979</v>
      </c>
      <c r="E430">
        <v>121009</v>
      </c>
      <c r="F430" t="s">
        <v>1038</v>
      </c>
      <c r="G430" t="s">
        <v>1009</v>
      </c>
    </row>
    <row r="431" spans="1:7">
      <c r="A431">
        <v>202610</v>
      </c>
      <c r="B431" t="s">
        <v>616</v>
      </c>
      <c r="C431">
        <v>7130</v>
      </c>
      <c r="D431" t="s">
        <v>979</v>
      </c>
      <c r="E431">
        <v>121009</v>
      </c>
      <c r="F431" t="s">
        <v>1038</v>
      </c>
      <c r="G431" t="s">
        <v>1009</v>
      </c>
    </row>
    <row r="432" spans="1:7">
      <c r="A432">
        <v>202611</v>
      </c>
      <c r="B432" t="s">
        <v>616</v>
      </c>
      <c r="C432">
        <v>7130</v>
      </c>
      <c r="D432" t="s">
        <v>979</v>
      </c>
      <c r="E432">
        <v>121009</v>
      </c>
      <c r="F432" t="s">
        <v>1038</v>
      </c>
      <c r="G432" t="s">
        <v>1009</v>
      </c>
    </row>
    <row r="433" spans="1:7">
      <c r="A433">
        <v>202612</v>
      </c>
      <c r="B433" t="s">
        <v>616</v>
      </c>
      <c r="C433">
        <v>7130</v>
      </c>
      <c r="D433" t="s">
        <v>979</v>
      </c>
      <c r="E433">
        <v>121015</v>
      </c>
      <c r="F433" t="s">
        <v>1038</v>
      </c>
      <c r="G433" t="s">
        <v>1009</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3547F-5BF0-49C0-9EC8-84657EFCE854}">
  <dimension ref="A1:H385"/>
  <sheetViews>
    <sheetView workbookViewId="0">
      <selection sqref="A1:A148"/>
    </sheetView>
  </sheetViews>
  <sheetFormatPr defaultRowHeight="14.5"/>
  <cols>
    <col min="1" max="1" width="29.36328125" bestFit="1" customWidth="1"/>
    <col min="2" max="2" width="13.36328125" bestFit="1" customWidth="1"/>
    <col min="3" max="3" width="10.6328125" bestFit="1" customWidth="1"/>
    <col min="4" max="4" width="8.26953125" bestFit="1" customWidth="1"/>
    <col min="5" max="5" width="14.1796875" bestFit="1" customWidth="1"/>
    <col min="6" max="6" width="15.54296875" bestFit="1" customWidth="1"/>
    <col min="7" max="7" width="8.54296875" bestFit="1" customWidth="1"/>
    <col min="8" max="8" width="49.7265625" bestFit="1" customWidth="1"/>
  </cols>
  <sheetData>
    <row r="1" spans="1:8">
      <c r="A1" t="s">
        <v>1165</v>
      </c>
      <c r="B1" t="s">
        <v>926</v>
      </c>
      <c r="C1" t="s">
        <v>991</v>
      </c>
      <c r="D1" t="s">
        <v>895</v>
      </c>
      <c r="E1" t="s">
        <v>975</v>
      </c>
      <c r="F1" t="s">
        <v>1164</v>
      </c>
      <c r="G1" t="s">
        <v>1166</v>
      </c>
      <c r="H1" t="s">
        <v>1167</v>
      </c>
    </row>
    <row r="2" spans="1:8">
      <c r="A2" t="s">
        <v>1168</v>
      </c>
      <c r="B2">
        <v>20270131</v>
      </c>
      <c r="C2" t="s">
        <v>600</v>
      </c>
      <c r="D2">
        <v>3900</v>
      </c>
      <c r="E2" t="s">
        <v>1169</v>
      </c>
      <c r="F2">
        <v>1125000</v>
      </c>
      <c r="G2" t="s">
        <v>1170</v>
      </c>
      <c r="H2" t="s">
        <v>1171</v>
      </c>
    </row>
    <row r="3" spans="1:8">
      <c r="A3" t="s">
        <v>1172</v>
      </c>
      <c r="B3">
        <v>20270131</v>
      </c>
      <c r="C3" t="s">
        <v>600</v>
      </c>
      <c r="D3">
        <v>3670</v>
      </c>
      <c r="E3" t="s">
        <v>1169</v>
      </c>
      <c r="F3">
        <v>105820.83</v>
      </c>
      <c r="G3" t="s">
        <v>1170</v>
      </c>
      <c r="H3" t="s">
        <v>1173</v>
      </c>
    </row>
    <row r="4" spans="1:8">
      <c r="A4" t="s">
        <v>1174</v>
      </c>
      <c r="B4">
        <v>20270131</v>
      </c>
      <c r="C4" t="s">
        <v>600</v>
      </c>
      <c r="D4">
        <v>5000</v>
      </c>
      <c r="E4" t="s">
        <v>1169</v>
      </c>
      <c r="F4">
        <v>666666.67000000004</v>
      </c>
      <c r="G4" t="s">
        <v>1170</v>
      </c>
      <c r="H4" t="s">
        <v>1175</v>
      </c>
    </row>
    <row r="5" spans="1:8">
      <c r="A5" t="s">
        <v>1176</v>
      </c>
      <c r="B5">
        <v>20270131</v>
      </c>
      <c r="C5" t="s">
        <v>600</v>
      </c>
      <c r="D5">
        <v>5400</v>
      </c>
      <c r="E5" t="s">
        <v>1169</v>
      </c>
      <c r="F5">
        <v>150000</v>
      </c>
      <c r="G5" t="s">
        <v>1170</v>
      </c>
      <c r="H5" t="s">
        <v>1177</v>
      </c>
    </row>
    <row r="6" spans="1:8">
      <c r="A6" t="s">
        <v>1178</v>
      </c>
      <c r="B6">
        <v>20270131</v>
      </c>
      <c r="C6" t="s">
        <v>600</v>
      </c>
      <c r="D6">
        <v>6420</v>
      </c>
      <c r="E6" t="s">
        <v>1169</v>
      </c>
      <c r="F6">
        <v>208333.33</v>
      </c>
      <c r="G6" t="s">
        <v>1170</v>
      </c>
      <c r="H6" t="s">
        <v>1179</v>
      </c>
    </row>
    <row r="7" spans="1:8">
      <c r="A7" t="s">
        <v>1180</v>
      </c>
      <c r="B7">
        <v>20270131</v>
      </c>
      <c r="C7" t="s">
        <v>600</v>
      </c>
      <c r="D7">
        <v>6700</v>
      </c>
      <c r="E7" t="s">
        <v>1169</v>
      </c>
      <c r="F7">
        <v>100000</v>
      </c>
      <c r="G7" t="s">
        <v>1170</v>
      </c>
      <c r="H7" t="s">
        <v>1181</v>
      </c>
    </row>
    <row r="8" spans="1:8">
      <c r="A8" t="s">
        <v>1182</v>
      </c>
      <c r="B8">
        <v>20270131</v>
      </c>
      <c r="C8" t="s">
        <v>600</v>
      </c>
      <c r="D8">
        <v>1250</v>
      </c>
      <c r="E8" t="s">
        <v>1169</v>
      </c>
      <c r="F8">
        <v>83333.33</v>
      </c>
      <c r="G8" t="s">
        <v>1170</v>
      </c>
      <c r="H8" t="s">
        <v>1183</v>
      </c>
    </row>
    <row r="9" spans="1:8">
      <c r="A9" t="s">
        <v>1184</v>
      </c>
      <c r="B9">
        <v>20270131</v>
      </c>
      <c r="C9" t="s">
        <v>606</v>
      </c>
      <c r="D9">
        <v>3900</v>
      </c>
      <c r="E9" t="s">
        <v>1169</v>
      </c>
      <c r="F9">
        <v>5666666.6699999999</v>
      </c>
      <c r="G9" t="s">
        <v>1170</v>
      </c>
      <c r="H9" t="s">
        <v>1185</v>
      </c>
    </row>
    <row r="10" spans="1:8">
      <c r="A10" t="s">
        <v>1186</v>
      </c>
      <c r="B10">
        <v>20270131</v>
      </c>
      <c r="C10" t="s">
        <v>606</v>
      </c>
      <c r="D10">
        <v>3600</v>
      </c>
      <c r="E10" t="s">
        <v>1169</v>
      </c>
      <c r="F10">
        <v>666666.67000000004</v>
      </c>
      <c r="G10" t="s">
        <v>1170</v>
      </c>
      <c r="H10" t="s">
        <v>1187</v>
      </c>
    </row>
    <row r="11" spans="1:8">
      <c r="A11" t="s">
        <v>1188</v>
      </c>
      <c r="B11">
        <v>20270131</v>
      </c>
      <c r="C11" t="s">
        <v>606</v>
      </c>
      <c r="D11">
        <v>3630</v>
      </c>
      <c r="E11" t="s">
        <v>1169</v>
      </c>
      <c r="F11">
        <v>333333.33</v>
      </c>
      <c r="G11" t="s">
        <v>1170</v>
      </c>
      <c r="H11" t="s">
        <v>1189</v>
      </c>
    </row>
    <row r="12" spans="1:8">
      <c r="A12" t="s">
        <v>1190</v>
      </c>
      <c r="B12">
        <v>20270131</v>
      </c>
      <c r="C12" t="s">
        <v>606</v>
      </c>
      <c r="D12">
        <v>5000</v>
      </c>
      <c r="E12" t="s">
        <v>1169</v>
      </c>
      <c r="F12">
        <v>4000000</v>
      </c>
      <c r="G12" t="s">
        <v>1170</v>
      </c>
      <c r="H12" t="s">
        <v>1191</v>
      </c>
    </row>
    <row r="13" spans="1:8">
      <c r="A13" t="s">
        <v>1192</v>
      </c>
      <c r="B13">
        <v>20270131</v>
      </c>
      <c r="C13" t="s">
        <v>606</v>
      </c>
      <c r="D13">
        <v>5400</v>
      </c>
      <c r="E13" t="s">
        <v>1169</v>
      </c>
      <c r="F13">
        <v>916666.67</v>
      </c>
      <c r="G13" t="s">
        <v>1170</v>
      </c>
      <c r="H13" t="s">
        <v>1193</v>
      </c>
    </row>
    <row r="14" spans="1:8">
      <c r="A14" t="s">
        <v>1194</v>
      </c>
      <c r="B14">
        <v>20270131</v>
      </c>
      <c r="C14" t="s">
        <v>606</v>
      </c>
      <c r="D14">
        <v>6300</v>
      </c>
      <c r="E14" t="s">
        <v>1169</v>
      </c>
      <c r="F14">
        <v>1000000</v>
      </c>
      <c r="G14" t="s">
        <v>1170</v>
      </c>
      <c r="H14" t="s">
        <v>1195</v>
      </c>
    </row>
    <row r="15" spans="1:8">
      <c r="A15" t="s">
        <v>1196</v>
      </c>
      <c r="B15">
        <v>20270131</v>
      </c>
      <c r="C15" t="s">
        <v>606</v>
      </c>
      <c r="D15">
        <v>7130</v>
      </c>
      <c r="E15" t="s">
        <v>1169</v>
      </c>
      <c r="F15">
        <v>333333.33</v>
      </c>
      <c r="G15" t="s">
        <v>1170</v>
      </c>
      <c r="H15" t="s">
        <v>1197</v>
      </c>
    </row>
    <row r="16" spans="1:8">
      <c r="A16" t="s">
        <v>1198</v>
      </c>
      <c r="B16">
        <v>20270131</v>
      </c>
      <c r="C16" t="s">
        <v>606</v>
      </c>
      <c r="D16">
        <v>1250</v>
      </c>
      <c r="E16" t="s">
        <v>1169</v>
      </c>
      <c r="F16">
        <v>250000</v>
      </c>
      <c r="G16" t="s">
        <v>1170</v>
      </c>
      <c r="H16" t="s">
        <v>1199</v>
      </c>
    </row>
    <row r="17" spans="1:8">
      <c r="A17" t="s">
        <v>1200</v>
      </c>
      <c r="B17">
        <v>20270131</v>
      </c>
      <c r="C17" t="s">
        <v>611</v>
      </c>
      <c r="D17">
        <v>3900</v>
      </c>
      <c r="E17" t="s">
        <v>1169</v>
      </c>
      <c r="F17">
        <v>4833333.33</v>
      </c>
      <c r="G17" t="s">
        <v>1170</v>
      </c>
      <c r="H17" t="s">
        <v>1201</v>
      </c>
    </row>
    <row r="18" spans="1:8">
      <c r="A18" t="s">
        <v>1202</v>
      </c>
      <c r="B18">
        <v>20270131</v>
      </c>
      <c r="C18" t="s">
        <v>611</v>
      </c>
      <c r="D18">
        <v>3400</v>
      </c>
      <c r="E18" t="s">
        <v>1169</v>
      </c>
      <c r="F18">
        <v>333333.33</v>
      </c>
      <c r="G18" t="s">
        <v>1170</v>
      </c>
      <c r="H18" t="s">
        <v>1203</v>
      </c>
    </row>
    <row r="19" spans="1:8">
      <c r="A19" t="s">
        <v>1204</v>
      </c>
      <c r="B19">
        <v>20270131</v>
      </c>
      <c r="C19" t="s">
        <v>611</v>
      </c>
      <c r="D19">
        <v>5000</v>
      </c>
      <c r="E19" t="s">
        <v>1169</v>
      </c>
      <c r="F19">
        <v>3166666.67</v>
      </c>
      <c r="G19" t="s">
        <v>1170</v>
      </c>
      <c r="H19" t="s">
        <v>1205</v>
      </c>
    </row>
    <row r="20" spans="1:8">
      <c r="A20" t="s">
        <v>1206</v>
      </c>
      <c r="B20">
        <v>20270131</v>
      </c>
      <c r="C20" t="s">
        <v>611</v>
      </c>
      <c r="D20">
        <v>5400</v>
      </c>
      <c r="E20" t="s">
        <v>1169</v>
      </c>
      <c r="F20">
        <v>733333.33</v>
      </c>
      <c r="G20" t="s">
        <v>1170</v>
      </c>
      <c r="H20" t="s">
        <v>1207</v>
      </c>
    </row>
    <row r="21" spans="1:8">
      <c r="A21" t="s">
        <v>1208</v>
      </c>
      <c r="B21">
        <v>20270131</v>
      </c>
      <c r="C21" t="s">
        <v>611</v>
      </c>
      <c r="D21">
        <v>6300</v>
      </c>
      <c r="E21" t="s">
        <v>1169</v>
      </c>
      <c r="F21">
        <v>833333.33</v>
      </c>
      <c r="G21" t="s">
        <v>1170</v>
      </c>
      <c r="H21" t="s">
        <v>1209</v>
      </c>
    </row>
    <row r="22" spans="1:8">
      <c r="A22" t="s">
        <v>1210</v>
      </c>
      <c r="B22">
        <v>20270131</v>
      </c>
      <c r="C22" t="s">
        <v>611</v>
      </c>
      <c r="D22">
        <v>7130</v>
      </c>
      <c r="E22" t="s">
        <v>1169</v>
      </c>
      <c r="F22">
        <v>183333.33</v>
      </c>
      <c r="G22" t="s">
        <v>1170</v>
      </c>
      <c r="H22" t="s">
        <v>1211</v>
      </c>
    </row>
    <row r="23" spans="1:8">
      <c r="A23" t="s">
        <v>1212</v>
      </c>
      <c r="B23">
        <v>20270131</v>
      </c>
      <c r="C23" t="s">
        <v>611</v>
      </c>
      <c r="D23">
        <v>1250</v>
      </c>
      <c r="E23" t="s">
        <v>1169</v>
      </c>
      <c r="F23">
        <v>166666.67000000001</v>
      </c>
      <c r="G23" t="s">
        <v>1170</v>
      </c>
      <c r="H23" t="s">
        <v>1213</v>
      </c>
    </row>
    <row r="24" spans="1:8">
      <c r="A24" t="s">
        <v>1214</v>
      </c>
      <c r="B24">
        <v>20270131</v>
      </c>
      <c r="C24" t="s">
        <v>616</v>
      </c>
      <c r="D24">
        <v>3900</v>
      </c>
      <c r="E24" t="s">
        <v>1169</v>
      </c>
      <c r="F24">
        <v>9358345.8300000001</v>
      </c>
      <c r="G24" t="s">
        <v>1170</v>
      </c>
      <c r="H24" t="s">
        <v>1215</v>
      </c>
    </row>
    <row r="25" spans="1:8">
      <c r="A25" t="s">
        <v>1216</v>
      </c>
      <c r="B25">
        <v>20270131</v>
      </c>
      <c r="C25" t="s">
        <v>616</v>
      </c>
      <c r="D25">
        <v>3400</v>
      </c>
      <c r="E25" t="s">
        <v>1169</v>
      </c>
      <c r="F25">
        <v>1000000</v>
      </c>
      <c r="G25" t="s">
        <v>1170</v>
      </c>
      <c r="H25" t="s">
        <v>1217</v>
      </c>
    </row>
    <row r="26" spans="1:8">
      <c r="A26" t="s">
        <v>1218</v>
      </c>
      <c r="B26">
        <v>20270131</v>
      </c>
      <c r="C26" t="s">
        <v>616</v>
      </c>
      <c r="D26">
        <v>3420</v>
      </c>
      <c r="E26" t="s">
        <v>1169</v>
      </c>
      <c r="F26">
        <v>333333.33</v>
      </c>
      <c r="G26" t="s">
        <v>1170</v>
      </c>
      <c r="H26" t="s">
        <v>1219</v>
      </c>
    </row>
    <row r="27" spans="1:8">
      <c r="A27" t="s">
        <v>1220</v>
      </c>
      <c r="B27">
        <v>20270131</v>
      </c>
      <c r="C27" t="s">
        <v>616</v>
      </c>
      <c r="D27">
        <v>3630</v>
      </c>
      <c r="E27" t="s">
        <v>1169</v>
      </c>
      <c r="F27">
        <v>83333.33</v>
      </c>
      <c r="G27" t="s">
        <v>1170</v>
      </c>
      <c r="H27" t="s">
        <v>1221</v>
      </c>
    </row>
    <row r="28" spans="1:8">
      <c r="A28" t="s">
        <v>1222</v>
      </c>
      <c r="B28">
        <v>20270131</v>
      </c>
      <c r="C28" t="s">
        <v>616</v>
      </c>
      <c r="D28">
        <v>5000</v>
      </c>
      <c r="E28" t="s">
        <v>1169</v>
      </c>
      <c r="F28">
        <v>5116666.67</v>
      </c>
      <c r="G28" t="s">
        <v>1170</v>
      </c>
      <c r="H28" t="s">
        <v>1223</v>
      </c>
    </row>
    <row r="29" spans="1:8">
      <c r="A29" t="s">
        <v>1224</v>
      </c>
      <c r="B29">
        <v>20270131</v>
      </c>
      <c r="C29" t="s">
        <v>616</v>
      </c>
      <c r="D29">
        <v>5400</v>
      </c>
      <c r="E29" t="s">
        <v>1169</v>
      </c>
      <c r="F29">
        <v>1166666.67</v>
      </c>
      <c r="G29" t="s">
        <v>1170</v>
      </c>
      <c r="H29" t="s">
        <v>1225</v>
      </c>
    </row>
    <row r="30" spans="1:8">
      <c r="A30" t="s">
        <v>1226</v>
      </c>
      <c r="B30">
        <v>20270131</v>
      </c>
      <c r="C30" t="s">
        <v>616</v>
      </c>
      <c r="D30">
        <v>6300</v>
      </c>
      <c r="E30" t="s">
        <v>1169</v>
      </c>
      <c r="F30">
        <v>1666666.67</v>
      </c>
      <c r="G30" t="s">
        <v>1170</v>
      </c>
      <c r="H30" t="s">
        <v>1227</v>
      </c>
    </row>
    <row r="31" spans="1:8">
      <c r="A31" t="s">
        <v>1228</v>
      </c>
      <c r="B31">
        <v>20270131</v>
      </c>
      <c r="C31" t="s">
        <v>616</v>
      </c>
      <c r="D31">
        <v>6420</v>
      </c>
      <c r="E31" t="s">
        <v>1169</v>
      </c>
      <c r="F31">
        <v>341666.67</v>
      </c>
      <c r="G31" t="s">
        <v>1170</v>
      </c>
      <c r="H31" t="s">
        <v>1229</v>
      </c>
    </row>
    <row r="32" spans="1:8">
      <c r="A32" t="s">
        <v>1230</v>
      </c>
      <c r="B32">
        <v>20270131</v>
      </c>
      <c r="C32" t="s">
        <v>616</v>
      </c>
      <c r="D32">
        <v>7130</v>
      </c>
      <c r="E32" t="s">
        <v>1169</v>
      </c>
      <c r="F32">
        <v>250000</v>
      </c>
      <c r="G32" t="s">
        <v>1170</v>
      </c>
      <c r="H32" t="s">
        <v>1231</v>
      </c>
    </row>
    <row r="33" spans="1:8">
      <c r="A33" t="s">
        <v>1232</v>
      </c>
      <c r="B33">
        <v>20270131</v>
      </c>
      <c r="C33" t="s">
        <v>616</v>
      </c>
      <c r="D33">
        <v>1250</v>
      </c>
      <c r="E33" t="s">
        <v>1169</v>
      </c>
      <c r="F33">
        <v>2166666.67</v>
      </c>
      <c r="G33" t="s">
        <v>1170</v>
      </c>
      <c r="H33" t="s">
        <v>1233</v>
      </c>
    </row>
    <row r="34" spans="1:8">
      <c r="A34" t="s">
        <v>1234</v>
      </c>
      <c r="B34">
        <v>20270228</v>
      </c>
      <c r="C34" t="s">
        <v>600</v>
      </c>
      <c r="D34">
        <v>3900</v>
      </c>
      <c r="E34" t="s">
        <v>1169</v>
      </c>
      <c r="F34">
        <v>1125000</v>
      </c>
      <c r="G34" t="s">
        <v>1170</v>
      </c>
      <c r="H34" t="s">
        <v>1171</v>
      </c>
    </row>
    <row r="35" spans="1:8">
      <c r="A35" t="s">
        <v>1235</v>
      </c>
      <c r="B35">
        <v>20270228</v>
      </c>
      <c r="C35" t="s">
        <v>600</v>
      </c>
      <c r="D35">
        <v>3670</v>
      </c>
      <c r="E35" t="s">
        <v>1169</v>
      </c>
      <c r="F35">
        <v>105820.83</v>
      </c>
      <c r="G35" t="s">
        <v>1170</v>
      </c>
      <c r="H35" t="s">
        <v>1173</v>
      </c>
    </row>
    <row r="36" spans="1:8">
      <c r="A36" t="s">
        <v>1236</v>
      </c>
      <c r="B36">
        <v>20270228</v>
      </c>
      <c r="C36" t="s">
        <v>600</v>
      </c>
      <c r="D36">
        <v>5000</v>
      </c>
      <c r="E36" t="s">
        <v>1169</v>
      </c>
      <c r="F36">
        <v>666666.67000000004</v>
      </c>
      <c r="G36" t="s">
        <v>1170</v>
      </c>
      <c r="H36" t="s">
        <v>1175</v>
      </c>
    </row>
    <row r="37" spans="1:8">
      <c r="A37" t="s">
        <v>1237</v>
      </c>
      <c r="B37">
        <v>20270228</v>
      </c>
      <c r="C37" t="s">
        <v>600</v>
      </c>
      <c r="D37">
        <v>5400</v>
      </c>
      <c r="E37" t="s">
        <v>1169</v>
      </c>
      <c r="F37">
        <v>150000</v>
      </c>
      <c r="G37" t="s">
        <v>1170</v>
      </c>
      <c r="H37" t="s">
        <v>1177</v>
      </c>
    </row>
    <row r="38" spans="1:8">
      <c r="A38" t="s">
        <v>1238</v>
      </c>
      <c r="B38">
        <v>20270228</v>
      </c>
      <c r="C38" t="s">
        <v>600</v>
      </c>
      <c r="D38">
        <v>6420</v>
      </c>
      <c r="E38" t="s">
        <v>1169</v>
      </c>
      <c r="F38">
        <v>208333.33</v>
      </c>
      <c r="G38" t="s">
        <v>1170</v>
      </c>
      <c r="H38" t="s">
        <v>1179</v>
      </c>
    </row>
    <row r="39" spans="1:8">
      <c r="A39" t="s">
        <v>1239</v>
      </c>
      <c r="B39">
        <v>20270228</v>
      </c>
      <c r="C39" t="s">
        <v>600</v>
      </c>
      <c r="D39">
        <v>6700</v>
      </c>
      <c r="E39" t="s">
        <v>1169</v>
      </c>
      <c r="F39">
        <v>100000</v>
      </c>
      <c r="G39" t="s">
        <v>1170</v>
      </c>
      <c r="H39" t="s">
        <v>1181</v>
      </c>
    </row>
    <row r="40" spans="1:8">
      <c r="A40" t="s">
        <v>1240</v>
      </c>
      <c r="B40">
        <v>20270228</v>
      </c>
      <c r="C40" t="s">
        <v>600</v>
      </c>
      <c r="D40">
        <v>1250</v>
      </c>
      <c r="E40" t="s">
        <v>1169</v>
      </c>
      <c r="F40">
        <v>83333.33</v>
      </c>
      <c r="G40" t="s">
        <v>1170</v>
      </c>
      <c r="H40" t="s">
        <v>1183</v>
      </c>
    </row>
    <row r="41" spans="1:8">
      <c r="A41" t="s">
        <v>1241</v>
      </c>
      <c r="B41">
        <v>20270228</v>
      </c>
      <c r="C41" t="s">
        <v>606</v>
      </c>
      <c r="D41">
        <v>3900</v>
      </c>
      <c r="E41" t="s">
        <v>1169</v>
      </c>
      <c r="F41">
        <v>5666666.6699999999</v>
      </c>
      <c r="G41" t="s">
        <v>1170</v>
      </c>
      <c r="H41" t="s">
        <v>1185</v>
      </c>
    </row>
    <row r="42" spans="1:8">
      <c r="A42" t="s">
        <v>1242</v>
      </c>
      <c r="B42">
        <v>20270228</v>
      </c>
      <c r="C42" t="s">
        <v>606</v>
      </c>
      <c r="D42">
        <v>3600</v>
      </c>
      <c r="E42" t="s">
        <v>1169</v>
      </c>
      <c r="F42">
        <v>666666.67000000004</v>
      </c>
      <c r="G42" t="s">
        <v>1170</v>
      </c>
      <c r="H42" t="s">
        <v>1187</v>
      </c>
    </row>
    <row r="43" spans="1:8">
      <c r="A43" t="s">
        <v>1243</v>
      </c>
      <c r="B43">
        <v>20270228</v>
      </c>
      <c r="C43" t="s">
        <v>606</v>
      </c>
      <c r="D43">
        <v>3630</v>
      </c>
      <c r="E43" t="s">
        <v>1169</v>
      </c>
      <c r="F43">
        <v>333333.33</v>
      </c>
      <c r="G43" t="s">
        <v>1170</v>
      </c>
      <c r="H43" t="s">
        <v>1189</v>
      </c>
    </row>
    <row r="44" spans="1:8">
      <c r="A44" t="s">
        <v>1244</v>
      </c>
      <c r="B44">
        <v>20270228</v>
      </c>
      <c r="C44" t="s">
        <v>606</v>
      </c>
      <c r="D44">
        <v>5000</v>
      </c>
      <c r="E44" t="s">
        <v>1169</v>
      </c>
      <c r="F44">
        <v>4000000</v>
      </c>
      <c r="G44" t="s">
        <v>1170</v>
      </c>
      <c r="H44" t="s">
        <v>1191</v>
      </c>
    </row>
    <row r="45" spans="1:8">
      <c r="A45" t="s">
        <v>1245</v>
      </c>
      <c r="B45">
        <v>20270228</v>
      </c>
      <c r="C45" t="s">
        <v>606</v>
      </c>
      <c r="D45">
        <v>5400</v>
      </c>
      <c r="E45" t="s">
        <v>1169</v>
      </c>
      <c r="F45">
        <v>916666.67</v>
      </c>
      <c r="G45" t="s">
        <v>1170</v>
      </c>
      <c r="H45" t="s">
        <v>1193</v>
      </c>
    </row>
    <row r="46" spans="1:8">
      <c r="A46" t="s">
        <v>1246</v>
      </c>
      <c r="B46">
        <v>20270228</v>
      </c>
      <c r="C46" t="s">
        <v>606</v>
      </c>
      <c r="D46">
        <v>6300</v>
      </c>
      <c r="E46" t="s">
        <v>1169</v>
      </c>
      <c r="F46">
        <v>1000000</v>
      </c>
      <c r="G46" t="s">
        <v>1170</v>
      </c>
      <c r="H46" t="s">
        <v>1195</v>
      </c>
    </row>
    <row r="47" spans="1:8">
      <c r="A47" t="s">
        <v>1247</v>
      </c>
      <c r="B47">
        <v>20270228</v>
      </c>
      <c r="C47" t="s">
        <v>606</v>
      </c>
      <c r="D47">
        <v>7130</v>
      </c>
      <c r="E47" t="s">
        <v>1169</v>
      </c>
      <c r="F47">
        <v>333333.33</v>
      </c>
      <c r="G47" t="s">
        <v>1170</v>
      </c>
      <c r="H47" t="s">
        <v>1197</v>
      </c>
    </row>
    <row r="48" spans="1:8">
      <c r="A48" t="s">
        <v>1248</v>
      </c>
      <c r="B48">
        <v>20270228</v>
      </c>
      <c r="C48" t="s">
        <v>606</v>
      </c>
      <c r="D48">
        <v>1250</v>
      </c>
      <c r="E48" t="s">
        <v>1169</v>
      </c>
      <c r="F48">
        <v>250000</v>
      </c>
      <c r="G48" t="s">
        <v>1170</v>
      </c>
      <c r="H48" t="s">
        <v>1199</v>
      </c>
    </row>
    <row r="49" spans="1:8">
      <c r="A49" t="s">
        <v>1249</v>
      </c>
      <c r="B49">
        <v>20270228</v>
      </c>
      <c r="C49" t="s">
        <v>611</v>
      </c>
      <c r="D49">
        <v>3900</v>
      </c>
      <c r="E49" t="s">
        <v>1169</v>
      </c>
      <c r="F49">
        <v>4833333.33</v>
      </c>
      <c r="G49" t="s">
        <v>1170</v>
      </c>
      <c r="H49" t="s">
        <v>1201</v>
      </c>
    </row>
    <row r="50" spans="1:8">
      <c r="A50" t="s">
        <v>1250</v>
      </c>
      <c r="B50">
        <v>20270228</v>
      </c>
      <c r="C50" t="s">
        <v>611</v>
      </c>
      <c r="D50">
        <v>3400</v>
      </c>
      <c r="E50" t="s">
        <v>1169</v>
      </c>
      <c r="F50">
        <v>333333.33</v>
      </c>
      <c r="G50" t="s">
        <v>1170</v>
      </c>
      <c r="H50" t="s">
        <v>1203</v>
      </c>
    </row>
    <row r="51" spans="1:8">
      <c r="A51" t="s">
        <v>1251</v>
      </c>
      <c r="B51">
        <v>20270228</v>
      </c>
      <c r="C51" t="s">
        <v>611</v>
      </c>
      <c r="D51">
        <v>5000</v>
      </c>
      <c r="E51" t="s">
        <v>1169</v>
      </c>
      <c r="F51">
        <v>3166666.67</v>
      </c>
      <c r="G51" t="s">
        <v>1170</v>
      </c>
      <c r="H51" t="s">
        <v>1205</v>
      </c>
    </row>
    <row r="52" spans="1:8">
      <c r="A52" t="s">
        <v>1252</v>
      </c>
      <c r="B52">
        <v>20270228</v>
      </c>
      <c r="C52" t="s">
        <v>611</v>
      </c>
      <c r="D52">
        <v>5400</v>
      </c>
      <c r="E52" t="s">
        <v>1169</v>
      </c>
      <c r="F52">
        <v>733333.33</v>
      </c>
      <c r="G52" t="s">
        <v>1170</v>
      </c>
      <c r="H52" t="s">
        <v>1207</v>
      </c>
    </row>
    <row r="53" spans="1:8">
      <c r="A53" t="s">
        <v>1253</v>
      </c>
      <c r="B53">
        <v>20270228</v>
      </c>
      <c r="C53" t="s">
        <v>611</v>
      </c>
      <c r="D53">
        <v>6300</v>
      </c>
      <c r="E53" t="s">
        <v>1169</v>
      </c>
      <c r="F53">
        <v>833333.33</v>
      </c>
      <c r="G53" t="s">
        <v>1170</v>
      </c>
      <c r="H53" t="s">
        <v>1209</v>
      </c>
    </row>
    <row r="54" spans="1:8">
      <c r="A54" t="s">
        <v>1254</v>
      </c>
      <c r="B54">
        <v>20270228</v>
      </c>
      <c r="C54" t="s">
        <v>611</v>
      </c>
      <c r="D54">
        <v>7130</v>
      </c>
      <c r="E54" t="s">
        <v>1169</v>
      </c>
      <c r="F54">
        <v>183333.33</v>
      </c>
      <c r="G54" t="s">
        <v>1170</v>
      </c>
      <c r="H54" t="s">
        <v>1211</v>
      </c>
    </row>
    <row r="55" spans="1:8">
      <c r="A55" t="s">
        <v>1255</v>
      </c>
      <c r="B55">
        <v>20270228</v>
      </c>
      <c r="C55" t="s">
        <v>611</v>
      </c>
      <c r="D55">
        <v>1250</v>
      </c>
      <c r="E55" t="s">
        <v>1169</v>
      </c>
      <c r="F55">
        <v>166666.67000000001</v>
      </c>
      <c r="G55" t="s">
        <v>1170</v>
      </c>
      <c r="H55" t="s">
        <v>1213</v>
      </c>
    </row>
    <row r="56" spans="1:8">
      <c r="A56" t="s">
        <v>1256</v>
      </c>
      <c r="B56">
        <v>20270228</v>
      </c>
      <c r="C56" t="s">
        <v>616</v>
      </c>
      <c r="D56">
        <v>3900</v>
      </c>
      <c r="E56" t="s">
        <v>1169</v>
      </c>
      <c r="F56">
        <v>9358345.8300000001</v>
      </c>
      <c r="G56" t="s">
        <v>1170</v>
      </c>
      <c r="H56" t="s">
        <v>1215</v>
      </c>
    </row>
    <row r="57" spans="1:8">
      <c r="A57" t="s">
        <v>1257</v>
      </c>
      <c r="B57">
        <v>20270228</v>
      </c>
      <c r="C57" t="s">
        <v>616</v>
      </c>
      <c r="D57">
        <v>3400</v>
      </c>
      <c r="E57" t="s">
        <v>1169</v>
      </c>
      <c r="F57">
        <v>1000000</v>
      </c>
      <c r="G57" t="s">
        <v>1170</v>
      </c>
      <c r="H57" t="s">
        <v>1217</v>
      </c>
    </row>
    <row r="58" spans="1:8">
      <c r="A58" t="s">
        <v>1258</v>
      </c>
      <c r="B58">
        <v>20270228</v>
      </c>
      <c r="C58" t="s">
        <v>616</v>
      </c>
      <c r="D58">
        <v>3420</v>
      </c>
      <c r="E58" t="s">
        <v>1169</v>
      </c>
      <c r="F58">
        <v>333333.33</v>
      </c>
      <c r="G58" t="s">
        <v>1170</v>
      </c>
      <c r="H58" t="s">
        <v>1219</v>
      </c>
    </row>
    <row r="59" spans="1:8">
      <c r="A59" t="s">
        <v>1259</v>
      </c>
      <c r="B59">
        <v>20270228</v>
      </c>
      <c r="C59" t="s">
        <v>616</v>
      </c>
      <c r="D59">
        <v>3630</v>
      </c>
      <c r="E59" t="s">
        <v>1169</v>
      </c>
      <c r="F59">
        <v>83333.33</v>
      </c>
      <c r="G59" t="s">
        <v>1170</v>
      </c>
      <c r="H59" t="s">
        <v>1221</v>
      </c>
    </row>
    <row r="60" spans="1:8">
      <c r="A60" t="s">
        <v>1260</v>
      </c>
      <c r="B60">
        <v>20270228</v>
      </c>
      <c r="C60" t="s">
        <v>616</v>
      </c>
      <c r="D60">
        <v>5000</v>
      </c>
      <c r="E60" t="s">
        <v>1169</v>
      </c>
      <c r="F60">
        <v>5116666.67</v>
      </c>
      <c r="G60" t="s">
        <v>1170</v>
      </c>
      <c r="H60" t="s">
        <v>1223</v>
      </c>
    </row>
    <row r="61" spans="1:8">
      <c r="A61" t="s">
        <v>1261</v>
      </c>
      <c r="B61">
        <v>20270228</v>
      </c>
      <c r="C61" t="s">
        <v>616</v>
      </c>
      <c r="D61">
        <v>5400</v>
      </c>
      <c r="E61" t="s">
        <v>1169</v>
      </c>
      <c r="F61">
        <v>1166666.67</v>
      </c>
      <c r="G61" t="s">
        <v>1170</v>
      </c>
      <c r="H61" t="s">
        <v>1225</v>
      </c>
    </row>
    <row r="62" spans="1:8">
      <c r="A62" t="s">
        <v>1262</v>
      </c>
      <c r="B62">
        <v>20270228</v>
      </c>
      <c r="C62" t="s">
        <v>616</v>
      </c>
      <c r="D62">
        <v>6300</v>
      </c>
      <c r="E62" t="s">
        <v>1169</v>
      </c>
      <c r="F62">
        <v>1666666.67</v>
      </c>
      <c r="G62" t="s">
        <v>1170</v>
      </c>
      <c r="H62" t="s">
        <v>1227</v>
      </c>
    </row>
    <row r="63" spans="1:8">
      <c r="A63" t="s">
        <v>1263</v>
      </c>
      <c r="B63">
        <v>20270228</v>
      </c>
      <c r="C63" t="s">
        <v>616</v>
      </c>
      <c r="D63">
        <v>6420</v>
      </c>
      <c r="E63" t="s">
        <v>1169</v>
      </c>
      <c r="F63">
        <v>341666.67</v>
      </c>
      <c r="G63" t="s">
        <v>1170</v>
      </c>
      <c r="H63" t="s">
        <v>1229</v>
      </c>
    </row>
    <row r="64" spans="1:8">
      <c r="A64" t="s">
        <v>1264</v>
      </c>
      <c r="B64">
        <v>20270228</v>
      </c>
      <c r="C64" t="s">
        <v>616</v>
      </c>
      <c r="D64">
        <v>7130</v>
      </c>
      <c r="E64" t="s">
        <v>1169</v>
      </c>
      <c r="F64">
        <v>250000</v>
      </c>
      <c r="G64" t="s">
        <v>1170</v>
      </c>
      <c r="H64" t="s">
        <v>1231</v>
      </c>
    </row>
    <row r="65" spans="1:8">
      <c r="A65" t="s">
        <v>1265</v>
      </c>
      <c r="B65">
        <v>20270228</v>
      </c>
      <c r="C65" t="s">
        <v>616</v>
      </c>
      <c r="D65">
        <v>1250</v>
      </c>
      <c r="E65" t="s">
        <v>1169</v>
      </c>
      <c r="F65">
        <v>2166666.67</v>
      </c>
      <c r="G65" t="s">
        <v>1170</v>
      </c>
      <c r="H65" t="s">
        <v>1233</v>
      </c>
    </row>
    <row r="66" spans="1:8">
      <c r="A66" t="s">
        <v>1266</v>
      </c>
      <c r="B66">
        <v>20270331</v>
      </c>
      <c r="C66" t="s">
        <v>600</v>
      </c>
      <c r="D66">
        <v>3900</v>
      </c>
      <c r="E66" t="s">
        <v>1169</v>
      </c>
      <c r="F66">
        <v>1125000</v>
      </c>
      <c r="G66" t="s">
        <v>1170</v>
      </c>
      <c r="H66" t="s">
        <v>1171</v>
      </c>
    </row>
    <row r="67" spans="1:8">
      <c r="A67" t="s">
        <v>1267</v>
      </c>
      <c r="B67">
        <v>20270331</v>
      </c>
      <c r="C67" t="s">
        <v>600</v>
      </c>
      <c r="D67">
        <v>3670</v>
      </c>
      <c r="E67" t="s">
        <v>1169</v>
      </c>
      <c r="F67">
        <v>105820.83</v>
      </c>
      <c r="G67" t="s">
        <v>1170</v>
      </c>
      <c r="H67" t="s">
        <v>1173</v>
      </c>
    </row>
    <row r="68" spans="1:8">
      <c r="A68" t="s">
        <v>1268</v>
      </c>
      <c r="B68">
        <v>20270331</v>
      </c>
      <c r="C68" t="s">
        <v>600</v>
      </c>
      <c r="D68">
        <v>5000</v>
      </c>
      <c r="E68" t="s">
        <v>1169</v>
      </c>
      <c r="F68">
        <v>666666.67000000004</v>
      </c>
      <c r="G68" t="s">
        <v>1170</v>
      </c>
      <c r="H68" t="s">
        <v>1175</v>
      </c>
    </row>
    <row r="69" spans="1:8">
      <c r="A69" t="s">
        <v>1269</v>
      </c>
      <c r="B69">
        <v>20270331</v>
      </c>
      <c r="C69" t="s">
        <v>600</v>
      </c>
      <c r="D69">
        <v>5400</v>
      </c>
      <c r="E69" t="s">
        <v>1169</v>
      </c>
      <c r="F69">
        <v>150000</v>
      </c>
      <c r="G69" t="s">
        <v>1170</v>
      </c>
      <c r="H69" t="s">
        <v>1177</v>
      </c>
    </row>
    <row r="70" spans="1:8">
      <c r="A70" t="s">
        <v>1270</v>
      </c>
      <c r="B70">
        <v>20270331</v>
      </c>
      <c r="C70" t="s">
        <v>600</v>
      </c>
      <c r="D70">
        <v>6420</v>
      </c>
      <c r="E70" t="s">
        <v>1169</v>
      </c>
      <c r="F70">
        <v>208333.33</v>
      </c>
      <c r="G70" t="s">
        <v>1170</v>
      </c>
      <c r="H70" t="s">
        <v>1179</v>
      </c>
    </row>
    <row r="71" spans="1:8">
      <c r="A71" t="s">
        <v>1271</v>
      </c>
      <c r="B71">
        <v>20270331</v>
      </c>
      <c r="C71" t="s">
        <v>600</v>
      </c>
      <c r="D71">
        <v>6700</v>
      </c>
      <c r="E71" t="s">
        <v>1169</v>
      </c>
      <c r="F71">
        <v>100000</v>
      </c>
      <c r="G71" t="s">
        <v>1170</v>
      </c>
      <c r="H71" t="s">
        <v>1181</v>
      </c>
    </row>
    <row r="72" spans="1:8">
      <c r="A72" t="s">
        <v>1272</v>
      </c>
      <c r="B72">
        <v>20270331</v>
      </c>
      <c r="C72" t="s">
        <v>600</v>
      </c>
      <c r="D72">
        <v>1250</v>
      </c>
      <c r="E72" t="s">
        <v>1169</v>
      </c>
      <c r="F72">
        <v>83333.33</v>
      </c>
      <c r="G72" t="s">
        <v>1170</v>
      </c>
      <c r="H72" t="s">
        <v>1183</v>
      </c>
    </row>
    <row r="73" spans="1:8">
      <c r="A73" t="s">
        <v>1273</v>
      </c>
      <c r="B73">
        <v>20270331</v>
      </c>
      <c r="C73" t="s">
        <v>606</v>
      </c>
      <c r="D73">
        <v>3900</v>
      </c>
      <c r="E73" t="s">
        <v>1169</v>
      </c>
      <c r="F73">
        <v>5666666.6699999999</v>
      </c>
      <c r="G73" t="s">
        <v>1170</v>
      </c>
      <c r="H73" t="s">
        <v>1185</v>
      </c>
    </row>
    <row r="74" spans="1:8">
      <c r="A74" t="s">
        <v>1274</v>
      </c>
      <c r="B74">
        <v>20270331</v>
      </c>
      <c r="C74" t="s">
        <v>606</v>
      </c>
      <c r="D74">
        <v>3600</v>
      </c>
      <c r="E74" t="s">
        <v>1169</v>
      </c>
      <c r="F74">
        <v>666666.67000000004</v>
      </c>
      <c r="G74" t="s">
        <v>1170</v>
      </c>
      <c r="H74" t="s">
        <v>1187</v>
      </c>
    </row>
    <row r="75" spans="1:8">
      <c r="A75" t="s">
        <v>1275</v>
      </c>
      <c r="B75">
        <v>20270331</v>
      </c>
      <c r="C75" t="s">
        <v>606</v>
      </c>
      <c r="D75">
        <v>3630</v>
      </c>
      <c r="E75" t="s">
        <v>1169</v>
      </c>
      <c r="F75">
        <v>333333.33</v>
      </c>
      <c r="G75" t="s">
        <v>1170</v>
      </c>
      <c r="H75" t="s">
        <v>1189</v>
      </c>
    </row>
    <row r="76" spans="1:8">
      <c r="A76" t="s">
        <v>1276</v>
      </c>
      <c r="B76">
        <v>20270331</v>
      </c>
      <c r="C76" t="s">
        <v>606</v>
      </c>
      <c r="D76">
        <v>5000</v>
      </c>
      <c r="E76" t="s">
        <v>1169</v>
      </c>
      <c r="F76">
        <v>4000000</v>
      </c>
      <c r="G76" t="s">
        <v>1170</v>
      </c>
      <c r="H76" t="s">
        <v>1191</v>
      </c>
    </row>
    <row r="77" spans="1:8">
      <c r="A77" t="s">
        <v>1277</v>
      </c>
      <c r="B77">
        <v>20270331</v>
      </c>
      <c r="C77" t="s">
        <v>606</v>
      </c>
      <c r="D77">
        <v>5400</v>
      </c>
      <c r="E77" t="s">
        <v>1169</v>
      </c>
      <c r="F77">
        <v>916666.67</v>
      </c>
      <c r="G77" t="s">
        <v>1170</v>
      </c>
      <c r="H77" t="s">
        <v>1193</v>
      </c>
    </row>
    <row r="78" spans="1:8">
      <c r="A78" t="s">
        <v>1278</v>
      </c>
      <c r="B78">
        <v>20270331</v>
      </c>
      <c r="C78" t="s">
        <v>606</v>
      </c>
      <c r="D78">
        <v>6300</v>
      </c>
      <c r="E78" t="s">
        <v>1169</v>
      </c>
      <c r="F78">
        <v>1000000</v>
      </c>
      <c r="G78" t="s">
        <v>1170</v>
      </c>
      <c r="H78" t="s">
        <v>1195</v>
      </c>
    </row>
    <row r="79" spans="1:8">
      <c r="A79" t="s">
        <v>1279</v>
      </c>
      <c r="B79">
        <v>20270331</v>
      </c>
      <c r="C79" t="s">
        <v>606</v>
      </c>
      <c r="D79">
        <v>7130</v>
      </c>
      <c r="E79" t="s">
        <v>1169</v>
      </c>
      <c r="F79">
        <v>333333.33</v>
      </c>
      <c r="G79" t="s">
        <v>1170</v>
      </c>
      <c r="H79" t="s">
        <v>1197</v>
      </c>
    </row>
    <row r="80" spans="1:8">
      <c r="A80" t="s">
        <v>1280</v>
      </c>
      <c r="B80">
        <v>20270331</v>
      </c>
      <c r="C80" t="s">
        <v>606</v>
      </c>
      <c r="D80">
        <v>1250</v>
      </c>
      <c r="E80" t="s">
        <v>1169</v>
      </c>
      <c r="F80">
        <v>250000</v>
      </c>
      <c r="G80" t="s">
        <v>1170</v>
      </c>
      <c r="H80" t="s">
        <v>1199</v>
      </c>
    </row>
    <row r="81" spans="1:8">
      <c r="A81" t="s">
        <v>1281</v>
      </c>
      <c r="B81">
        <v>20270331</v>
      </c>
      <c r="C81" t="s">
        <v>611</v>
      </c>
      <c r="D81">
        <v>3900</v>
      </c>
      <c r="E81" t="s">
        <v>1169</v>
      </c>
      <c r="F81">
        <v>4833333.33</v>
      </c>
      <c r="G81" t="s">
        <v>1170</v>
      </c>
      <c r="H81" t="s">
        <v>1201</v>
      </c>
    </row>
    <row r="82" spans="1:8">
      <c r="A82" t="s">
        <v>1282</v>
      </c>
      <c r="B82">
        <v>20270331</v>
      </c>
      <c r="C82" t="s">
        <v>611</v>
      </c>
      <c r="D82">
        <v>3400</v>
      </c>
      <c r="E82" t="s">
        <v>1169</v>
      </c>
      <c r="F82">
        <v>333333.33</v>
      </c>
      <c r="G82" t="s">
        <v>1170</v>
      </c>
      <c r="H82" t="s">
        <v>1203</v>
      </c>
    </row>
    <row r="83" spans="1:8">
      <c r="A83" t="s">
        <v>1283</v>
      </c>
      <c r="B83">
        <v>20270331</v>
      </c>
      <c r="C83" t="s">
        <v>611</v>
      </c>
      <c r="D83">
        <v>5000</v>
      </c>
      <c r="E83" t="s">
        <v>1169</v>
      </c>
      <c r="F83">
        <v>3166666.67</v>
      </c>
      <c r="G83" t="s">
        <v>1170</v>
      </c>
      <c r="H83" t="s">
        <v>1205</v>
      </c>
    </row>
    <row r="84" spans="1:8">
      <c r="A84" t="s">
        <v>1284</v>
      </c>
      <c r="B84">
        <v>20270331</v>
      </c>
      <c r="C84" t="s">
        <v>611</v>
      </c>
      <c r="D84">
        <v>5400</v>
      </c>
      <c r="E84" t="s">
        <v>1169</v>
      </c>
      <c r="F84">
        <v>733333.33</v>
      </c>
      <c r="G84" t="s">
        <v>1170</v>
      </c>
      <c r="H84" t="s">
        <v>1207</v>
      </c>
    </row>
    <row r="85" spans="1:8">
      <c r="A85" t="s">
        <v>1285</v>
      </c>
      <c r="B85">
        <v>20270331</v>
      </c>
      <c r="C85" t="s">
        <v>611</v>
      </c>
      <c r="D85">
        <v>6300</v>
      </c>
      <c r="E85" t="s">
        <v>1169</v>
      </c>
      <c r="F85">
        <v>833333.33</v>
      </c>
      <c r="G85" t="s">
        <v>1170</v>
      </c>
      <c r="H85" t="s">
        <v>1209</v>
      </c>
    </row>
    <row r="86" spans="1:8">
      <c r="A86" t="s">
        <v>1286</v>
      </c>
      <c r="B86">
        <v>20270331</v>
      </c>
      <c r="C86" t="s">
        <v>611</v>
      </c>
      <c r="D86">
        <v>7130</v>
      </c>
      <c r="E86" t="s">
        <v>1169</v>
      </c>
      <c r="F86">
        <v>183333.33</v>
      </c>
      <c r="G86" t="s">
        <v>1170</v>
      </c>
      <c r="H86" t="s">
        <v>1211</v>
      </c>
    </row>
    <row r="87" spans="1:8">
      <c r="A87" t="s">
        <v>1287</v>
      </c>
      <c r="B87">
        <v>20270331</v>
      </c>
      <c r="C87" t="s">
        <v>611</v>
      </c>
      <c r="D87">
        <v>1250</v>
      </c>
      <c r="E87" t="s">
        <v>1169</v>
      </c>
      <c r="F87">
        <v>166666.67000000001</v>
      </c>
      <c r="G87" t="s">
        <v>1170</v>
      </c>
      <c r="H87" t="s">
        <v>1213</v>
      </c>
    </row>
    <row r="88" spans="1:8">
      <c r="A88" t="s">
        <v>1288</v>
      </c>
      <c r="B88">
        <v>20270331</v>
      </c>
      <c r="C88" t="s">
        <v>616</v>
      </c>
      <c r="D88">
        <v>3900</v>
      </c>
      <c r="E88" t="s">
        <v>1169</v>
      </c>
      <c r="F88">
        <v>9358345.8300000001</v>
      </c>
      <c r="G88" t="s">
        <v>1170</v>
      </c>
      <c r="H88" t="s">
        <v>1215</v>
      </c>
    </row>
    <row r="89" spans="1:8">
      <c r="A89" t="s">
        <v>1289</v>
      </c>
      <c r="B89">
        <v>20270331</v>
      </c>
      <c r="C89" t="s">
        <v>616</v>
      </c>
      <c r="D89">
        <v>3400</v>
      </c>
      <c r="E89" t="s">
        <v>1169</v>
      </c>
      <c r="F89">
        <v>1000000</v>
      </c>
      <c r="G89" t="s">
        <v>1170</v>
      </c>
      <c r="H89" t="s">
        <v>1217</v>
      </c>
    </row>
    <row r="90" spans="1:8">
      <c r="A90" t="s">
        <v>1290</v>
      </c>
      <c r="B90">
        <v>20270331</v>
      </c>
      <c r="C90" t="s">
        <v>616</v>
      </c>
      <c r="D90">
        <v>3420</v>
      </c>
      <c r="E90" t="s">
        <v>1169</v>
      </c>
      <c r="F90">
        <v>333333.33</v>
      </c>
      <c r="G90" t="s">
        <v>1170</v>
      </c>
      <c r="H90" t="s">
        <v>1219</v>
      </c>
    </row>
    <row r="91" spans="1:8">
      <c r="A91" t="s">
        <v>1291</v>
      </c>
      <c r="B91">
        <v>20270331</v>
      </c>
      <c r="C91" t="s">
        <v>616</v>
      </c>
      <c r="D91">
        <v>3630</v>
      </c>
      <c r="E91" t="s">
        <v>1169</v>
      </c>
      <c r="F91">
        <v>83333.33</v>
      </c>
      <c r="G91" t="s">
        <v>1170</v>
      </c>
      <c r="H91" t="s">
        <v>1221</v>
      </c>
    </row>
    <row r="92" spans="1:8">
      <c r="A92" t="s">
        <v>1292</v>
      </c>
      <c r="B92">
        <v>20270331</v>
      </c>
      <c r="C92" t="s">
        <v>616</v>
      </c>
      <c r="D92">
        <v>5000</v>
      </c>
      <c r="E92" t="s">
        <v>1169</v>
      </c>
      <c r="F92">
        <v>5116666.67</v>
      </c>
      <c r="G92" t="s">
        <v>1170</v>
      </c>
      <c r="H92" t="s">
        <v>1223</v>
      </c>
    </row>
    <row r="93" spans="1:8">
      <c r="A93" t="s">
        <v>1293</v>
      </c>
      <c r="B93">
        <v>20270331</v>
      </c>
      <c r="C93" t="s">
        <v>616</v>
      </c>
      <c r="D93">
        <v>5400</v>
      </c>
      <c r="E93" t="s">
        <v>1169</v>
      </c>
      <c r="F93">
        <v>1166666.67</v>
      </c>
      <c r="G93" t="s">
        <v>1170</v>
      </c>
      <c r="H93" t="s">
        <v>1225</v>
      </c>
    </row>
    <row r="94" spans="1:8">
      <c r="A94" t="s">
        <v>1294</v>
      </c>
      <c r="B94">
        <v>20270331</v>
      </c>
      <c r="C94" t="s">
        <v>616</v>
      </c>
      <c r="D94">
        <v>6300</v>
      </c>
      <c r="E94" t="s">
        <v>1169</v>
      </c>
      <c r="F94">
        <v>1666666.67</v>
      </c>
      <c r="G94" t="s">
        <v>1170</v>
      </c>
      <c r="H94" t="s">
        <v>1227</v>
      </c>
    </row>
    <row r="95" spans="1:8">
      <c r="A95" t="s">
        <v>1295</v>
      </c>
      <c r="B95">
        <v>20270331</v>
      </c>
      <c r="C95" t="s">
        <v>616</v>
      </c>
      <c r="D95">
        <v>6420</v>
      </c>
      <c r="E95" t="s">
        <v>1169</v>
      </c>
      <c r="F95">
        <v>341666.67</v>
      </c>
      <c r="G95" t="s">
        <v>1170</v>
      </c>
      <c r="H95" t="s">
        <v>1229</v>
      </c>
    </row>
    <row r="96" spans="1:8">
      <c r="A96" t="s">
        <v>1296</v>
      </c>
      <c r="B96">
        <v>20270331</v>
      </c>
      <c r="C96" t="s">
        <v>616</v>
      </c>
      <c r="D96">
        <v>7130</v>
      </c>
      <c r="E96" t="s">
        <v>1169</v>
      </c>
      <c r="F96">
        <v>250000</v>
      </c>
      <c r="G96" t="s">
        <v>1170</v>
      </c>
      <c r="H96" t="s">
        <v>1231</v>
      </c>
    </row>
    <row r="97" spans="1:8">
      <c r="A97" t="s">
        <v>1297</v>
      </c>
      <c r="B97">
        <v>20270331</v>
      </c>
      <c r="C97" t="s">
        <v>616</v>
      </c>
      <c r="D97">
        <v>1250</v>
      </c>
      <c r="E97" t="s">
        <v>1169</v>
      </c>
      <c r="F97">
        <v>2166666.67</v>
      </c>
      <c r="G97" t="s">
        <v>1170</v>
      </c>
      <c r="H97" t="s">
        <v>1233</v>
      </c>
    </row>
    <row r="98" spans="1:8">
      <c r="A98" t="s">
        <v>1298</v>
      </c>
      <c r="B98">
        <v>20270430</v>
      </c>
      <c r="C98" t="s">
        <v>600</v>
      </c>
      <c r="D98">
        <v>3900</v>
      </c>
      <c r="E98" t="s">
        <v>1169</v>
      </c>
      <c r="F98">
        <v>1125000</v>
      </c>
      <c r="G98" t="s">
        <v>1170</v>
      </c>
      <c r="H98" t="s">
        <v>1171</v>
      </c>
    </row>
    <row r="99" spans="1:8">
      <c r="A99" t="s">
        <v>1299</v>
      </c>
      <c r="B99">
        <v>20270430</v>
      </c>
      <c r="C99" t="s">
        <v>600</v>
      </c>
      <c r="D99">
        <v>3670</v>
      </c>
      <c r="E99" t="s">
        <v>1169</v>
      </c>
      <c r="F99">
        <v>105820.83</v>
      </c>
      <c r="G99" t="s">
        <v>1170</v>
      </c>
      <c r="H99" t="s">
        <v>1173</v>
      </c>
    </row>
    <row r="100" spans="1:8">
      <c r="A100" t="s">
        <v>1300</v>
      </c>
      <c r="B100">
        <v>20270430</v>
      </c>
      <c r="C100" t="s">
        <v>600</v>
      </c>
      <c r="D100">
        <v>5000</v>
      </c>
      <c r="E100" t="s">
        <v>1169</v>
      </c>
      <c r="F100">
        <v>666666.67000000004</v>
      </c>
      <c r="G100" t="s">
        <v>1170</v>
      </c>
      <c r="H100" t="s">
        <v>1175</v>
      </c>
    </row>
    <row r="101" spans="1:8">
      <c r="A101" t="s">
        <v>1301</v>
      </c>
      <c r="B101">
        <v>20270430</v>
      </c>
      <c r="C101" t="s">
        <v>600</v>
      </c>
      <c r="D101">
        <v>5400</v>
      </c>
      <c r="E101" t="s">
        <v>1169</v>
      </c>
      <c r="F101">
        <v>150000</v>
      </c>
      <c r="G101" t="s">
        <v>1170</v>
      </c>
      <c r="H101" t="s">
        <v>1177</v>
      </c>
    </row>
    <row r="102" spans="1:8">
      <c r="A102" t="s">
        <v>1302</v>
      </c>
      <c r="B102">
        <v>20270430</v>
      </c>
      <c r="C102" t="s">
        <v>600</v>
      </c>
      <c r="D102">
        <v>6420</v>
      </c>
      <c r="E102" t="s">
        <v>1169</v>
      </c>
      <c r="F102">
        <v>208333.33</v>
      </c>
      <c r="G102" t="s">
        <v>1170</v>
      </c>
      <c r="H102" t="s">
        <v>1179</v>
      </c>
    </row>
    <row r="103" spans="1:8">
      <c r="A103" t="s">
        <v>1303</v>
      </c>
      <c r="B103">
        <v>20270430</v>
      </c>
      <c r="C103" t="s">
        <v>600</v>
      </c>
      <c r="D103">
        <v>6700</v>
      </c>
      <c r="E103" t="s">
        <v>1169</v>
      </c>
      <c r="F103">
        <v>100000</v>
      </c>
      <c r="G103" t="s">
        <v>1170</v>
      </c>
      <c r="H103" t="s">
        <v>1181</v>
      </c>
    </row>
    <row r="104" spans="1:8">
      <c r="A104" t="s">
        <v>1304</v>
      </c>
      <c r="B104">
        <v>20270430</v>
      </c>
      <c r="C104" t="s">
        <v>600</v>
      </c>
      <c r="D104">
        <v>1250</v>
      </c>
      <c r="E104" t="s">
        <v>1169</v>
      </c>
      <c r="F104">
        <v>83333.33</v>
      </c>
      <c r="G104" t="s">
        <v>1170</v>
      </c>
      <c r="H104" t="s">
        <v>1183</v>
      </c>
    </row>
    <row r="105" spans="1:8">
      <c r="A105" t="s">
        <v>1305</v>
      </c>
      <c r="B105">
        <v>20270430</v>
      </c>
      <c r="C105" t="s">
        <v>606</v>
      </c>
      <c r="D105">
        <v>3900</v>
      </c>
      <c r="E105" t="s">
        <v>1169</v>
      </c>
      <c r="F105">
        <v>5666666.6699999999</v>
      </c>
      <c r="G105" t="s">
        <v>1170</v>
      </c>
      <c r="H105" t="s">
        <v>1185</v>
      </c>
    </row>
    <row r="106" spans="1:8">
      <c r="A106" t="s">
        <v>1306</v>
      </c>
      <c r="B106">
        <v>20270430</v>
      </c>
      <c r="C106" t="s">
        <v>606</v>
      </c>
      <c r="D106">
        <v>3600</v>
      </c>
      <c r="E106" t="s">
        <v>1169</v>
      </c>
      <c r="F106">
        <v>666666.67000000004</v>
      </c>
      <c r="G106" t="s">
        <v>1170</v>
      </c>
      <c r="H106" t="s">
        <v>1187</v>
      </c>
    </row>
    <row r="107" spans="1:8">
      <c r="A107" t="s">
        <v>1307</v>
      </c>
      <c r="B107">
        <v>20270430</v>
      </c>
      <c r="C107" t="s">
        <v>606</v>
      </c>
      <c r="D107">
        <v>3630</v>
      </c>
      <c r="E107" t="s">
        <v>1169</v>
      </c>
      <c r="F107">
        <v>333333.33</v>
      </c>
      <c r="G107" t="s">
        <v>1170</v>
      </c>
      <c r="H107" t="s">
        <v>1189</v>
      </c>
    </row>
    <row r="108" spans="1:8">
      <c r="A108" t="s">
        <v>1308</v>
      </c>
      <c r="B108">
        <v>20270430</v>
      </c>
      <c r="C108" t="s">
        <v>606</v>
      </c>
      <c r="D108">
        <v>5000</v>
      </c>
      <c r="E108" t="s">
        <v>1169</v>
      </c>
      <c r="F108">
        <v>4000000</v>
      </c>
      <c r="G108" t="s">
        <v>1170</v>
      </c>
      <c r="H108" t="s">
        <v>1191</v>
      </c>
    </row>
    <row r="109" spans="1:8">
      <c r="A109" t="s">
        <v>1309</v>
      </c>
      <c r="B109">
        <v>20270430</v>
      </c>
      <c r="C109" t="s">
        <v>606</v>
      </c>
      <c r="D109">
        <v>5400</v>
      </c>
      <c r="E109" t="s">
        <v>1169</v>
      </c>
      <c r="F109">
        <v>916666.67</v>
      </c>
      <c r="G109" t="s">
        <v>1170</v>
      </c>
      <c r="H109" t="s">
        <v>1193</v>
      </c>
    </row>
    <row r="110" spans="1:8">
      <c r="A110" t="s">
        <v>1310</v>
      </c>
      <c r="B110">
        <v>20270430</v>
      </c>
      <c r="C110" t="s">
        <v>606</v>
      </c>
      <c r="D110">
        <v>6300</v>
      </c>
      <c r="E110" t="s">
        <v>1169</v>
      </c>
      <c r="F110">
        <v>1000000</v>
      </c>
      <c r="G110" t="s">
        <v>1170</v>
      </c>
      <c r="H110" t="s">
        <v>1195</v>
      </c>
    </row>
    <row r="111" spans="1:8">
      <c r="A111" t="s">
        <v>1311</v>
      </c>
      <c r="B111">
        <v>20270430</v>
      </c>
      <c r="C111" t="s">
        <v>606</v>
      </c>
      <c r="D111">
        <v>7130</v>
      </c>
      <c r="E111" t="s">
        <v>1169</v>
      </c>
      <c r="F111">
        <v>333333.33</v>
      </c>
      <c r="G111" t="s">
        <v>1170</v>
      </c>
      <c r="H111" t="s">
        <v>1197</v>
      </c>
    </row>
    <row r="112" spans="1:8">
      <c r="A112" t="s">
        <v>1312</v>
      </c>
      <c r="B112">
        <v>20270430</v>
      </c>
      <c r="C112" t="s">
        <v>606</v>
      </c>
      <c r="D112">
        <v>1250</v>
      </c>
      <c r="E112" t="s">
        <v>1169</v>
      </c>
      <c r="F112">
        <v>250000</v>
      </c>
      <c r="G112" t="s">
        <v>1170</v>
      </c>
      <c r="H112" t="s">
        <v>1199</v>
      </c>
    </row>
    <row r="113" spans="1:8">
      <c r="A113" t="s">
        <v>1313</v>
      </c>
      <c r="B113">
        <v>20270430</v>
      </c>
      <c r="C113" t="s">
        <v>611</v>
      </c>
      <c r="D113">
        <v>3900</v>
      </c>
      <c r="E113" t="s">
        <v>1169</v>
      </c>
      <c r="F113">
        <v>4833333.33</v>
      </c>
      <c r="G113" t="s">
        <v>1170</v>
      </c>
      <c r="H113" t="s">
        <v>1201</v>
      </c>
    </row>
    <row r="114" spans="1:8">
      <c r="A114" t="s">
        <v>1314</v>
      </c>
      <c r="B114">
        <v>20270430</v>
      </c>
      <c r="C114" t="s">
        <v>611</v>
      </c>
      <c r="D114">
        <v>3400</v>
      </c>
      <c r="E114" t="s">
        <v>1169</v>
      </c>
      <c r="F114">
        <v>333333.33</v>
      </c>
      <c r="G114" t="s">
        <v>1170</v>
      </c>
      <c r="H114" t="s">
        <v>1203</v>
      </c>
    </row>
    <row r="115" spans="1:8">
      <c r="A115" t="s">
        <v>1315</v>
      </c>
      <c r="B115">
        <v>20270430</v>
      </c>
      <c r="C115" t="s">
        <v>611</v>
      </c>
      <c r="D115">
        <v>5000</v>
      </c>
      <c r="E115" t="s">
        <v>1169</v>
      </c>
      <c r="F115">
        <v>3166666.67</v>
      </c>
      <c r="G115" t="s">
        <v>1170</v>
      </c>
      <c r="H115" t="s">
        <v>1205</v>
      </c>
    </row>
    <row r="116" spans="1:8">
      <c r="A116" t="s">
        <v>1316</v>
      </c>
      <c r="B116">
        <v>20270430</v>
      </c>
      <c r="C116" t="s">
        <v>611</v>
      </c>
      <c r="D116">
        <v>5400</v>
      </c>
      <c r="E116" t="s">
        <v>1169</v>
      </c>
      <c r="F116">
        <v>733333.33</v>
      </c>
      <c r="G116" t="s">
        <v>1170</v>
      </c>
      <c r="H116" t="s">
        <v>1207</v>
      </c>
    </row>
    <row r="117" spans="1:8">
      <c r="A117" t="s">
        <v>1317</v>
      </c>
      <c r="B117">
        <v>20270430</v>
      </c>
      <c r="C117" t="s">
        <v>611</v>
      </c>
      <c r="D117">
        <v>6300</v>
      </c>
      <c r="E117" t="s">
        <v>1169</v>
      </c>
      <c r="F117">
        <v>833333.33</v>
      </c>
      <c r="G117" t="s">
        <v>1170</v>
      </c>
      <c r="H117" t="s">
        <v>1209</v>
      </c>
    </row>
    <row r="118" spans="1:8">
      <c r="A118" t="s">
        <v>1318</v>
      </c>
      <c r="B118">
        <v>20270430</v>
      </c>
      <c r="C118" t="s">
        <v>611</v>
      </c>
      <c r="D118">
        <v>7130</v>
      </c>
      <c r="E118" t="s">
        <v>1169</v>
      </c>
      <c r="F118">
        <v>183333.33</v>
      </c>
      <c r="G118" t="s">
        <v>1170</v>
      </c>
      <c r="H118" t="s">
        <v>1211</v>
      </c>
    </row>
    <row r="119" spans="1:8">
      <c r="A119" t="s">
        <v>1319</v>
      </c>
      <c r="B119">
        <v>20270430</v>
      </c>
      <c r="C119" t="s">
        <v>611</v>
      </c>
      <c r="D119">
        <v>1250</v>
      </c>
      <c r="E119" t="s">
        <v>1169</v>
      </c>
      <c r="F119">
        <v>166666.67000000001</v>
      </c>
      <c r="G119" t="s">
        <v>1170</v>
      </c>
      <c r="H119" t="s">
        <v>1213</v>
      </c>
    </row>
    <row r="120" spans="1:8">
      <c r="A120" t="s">
        <v>1320</v>
      </c>
      <c r="B120">
        <v>20270430</v>
      </c>
      <c r="C120" t="s">
        <v>616</v>
      </c>
      <c r="D120">
        <v>3900</v>
      </c>
      <c r="E120" t="s">
        <v>1169</v>
      </c>
      <c r="F120">
        <v>9358345.8300000001</v>
      </c>
      <c r="G120" t="s">
        <v>1170</v>
      </c>
      <c r="H120" t="s">
        <v>1215</v>
      </c>
    </row>
    <row r="121" spans="1:8">
      <c r="A121" t="s">
        <v>1321</v>
      </c>
      <c r="B121">
        <v>20270430</v>
      </c>
      <c r="C121" t="s">
        <v>616</v>
      </c>
      <c r="D121">
        <v>3400</v>
      </c>
      <c r="E121" t="s">
        <v>1169</v>
      </c>
      <c r="F121">
        <v>1000000</v>
      </c>
      <c r="G121" t="s">
        <v>1170</v>
      </c>
      <c r="H121" t="s">
        <v>1217</v>
      </c>
    </row>
    <row r="122" spans="1:8">
      <c r="A122" t="s">
        <v>1322</v>
      </c>
      <c r="B122">
        <v>20270430</v>
      </c>
      <c r="C122" t="s">
        <v>616</v>
      </c>
      <c r="D122">
        <v>3420</v>
      </c>
      <c r="E122" t="s">
        <v>1169</v>
      </c>
      <c r="F122">
        <v>333333.33</v>
      </c>
      <c r="G122" t="s">
        <v>1170</v>
      </c>
      <c r="H122" t="s">
        <v>1219</v>
      </c>
    </row>
    <row r="123" spans="1:8">
      <c r="A123" t="s">
        <v>1323</v>
      </c>
      <c r="B123">
        <v>20270430</v>
      </c>
      <c r="C123" t="s">
        <v>616</v>
      </c>
      <c r="D123">
        <v>3630</v>
      </c>
      <c r="E123" t="s">
        <v>1169</v>
      </c>
      <c r="F123">
        <v>83333.33</v>
      </c>
      <c r="G123" t="s">
        <v>1170</v>
      </c>
      <c r="H123" t="s">
        <v>1221</v>
      </c>
    </row>
    <row r="124" spans="1:8">
      <c r="A124" t="s">
        <v>1324</v>
      </c>
      <c r="B124">
        <v>20270430</v>
      </c>
      <c r="C124" t="s">
        <v>616</v>
      </c>
      <c r="D124">
        <v>5000</v>
      </c>
      <c r="E124" t="s">
        <v>1169</v>
      </c>
      <c r="F124">
        <v>5116666.67</v>
      </c>
      <c r="G124" t="s">
        <v>1170</v>
      </c>
      <c r="H124" t="s">
        <v>1223</v>
      </c>
    </row>
    <row r="125" spans="1:8">
      <c r="A125" t="s">
        <v>1325</v>
      </c>
      <c r="B125">
        <v>20270430</v>
      </c>
      <c r="C125" t="s">
        <v>616</v>
      </c>
      <c r="D125">
        <v>5400</v>
      </c>
      <c r="E125" t="s">
        <v>1169</v>
      </c>
      <c r="F125">
        <v>1166666.67</v>
      </c>
      <c r="G125" t="s">
        <v>1170</v>
      </c>
      <c r="H125" t="s">
        <v>1225</v>
      </c>
    </row>
    <row r="126" spans="1:8">
      <c r="A126" t="s">
        <v>1326</v>
      </c>
      <c r="B126">
        <v>20270430</v>
      </c>
      <c r="C126" t="s">
        <v>616</v>
      </c>
      <c r="D126">
        <v>6300</v>
      </c>
      <c r="E126" t="s">
        <v>1169</v>
      </c>
      <c r="F126">
        <v>1666666.67</v>
      </c>
      <c r="G126" t="s">
        <v>1170</v>
      </c>
      <c r="H126" t="s">
        <v>1227</v>
      </c>
    </row>
    <row r="127" spans="1:8">
      <c r="A127" t="s">
        <v>1327</v>
      </c>
      <c r="B127">
        <v>20270430</v>
      </c>
      <c r="C127" t="s">
        <v>616</v>
      </c>
      <c r="D127">
        <v>6420</v>
      </c>
      <c r="E127" t="s">
        <v>1169</v>
      </c>
      <c r="F127">
        <v>341666.67</v>
      </c>
      <c r="G127" t="s">
        <v>1170</v>
      </c>
      <c r="H127" t="s">
        <v>1229</v>
      </c>
    </row>
    <row r="128" spans="1:8">
      <c r="A128" t="s">
        <v>1328</v>
      </c>
      <c r="B128">
        <v>20270430</v>
      </c>
      <c r="C128" t="s">
        <v>616</v>
      </c>
      <c r="D128">
        <v>7130</v>
      </c>
      <c r="E128" t="s">
        <v>1169</v>
      </c>
      <c r="F128">
        <v>250000</v>
      </c>
      <c r="G128" t="s">
        <v>1170</v>
      </c>
      <c r="H128" t="s">
        <v>1231</v>
      </c>
    </row>
    <row r="129" spans="1:8">
      <c r="A129" t="s">
        <v>1329</v>
      </c>
      <c r="B129">
        <v>20270430</v>
      </c>
      <c r="C129" t="s">
        <v>616</v>
      </c>
      <c r="D129">
        <v>1250</v>
      </c>
      <c r="E129" t="s">
        <v>1169</v>
      </c>
      <c r="F129">
        <v>2166666.67</v>
      </c>
      <c r="G129" t="s">
        <v>1170</v>
      </c>
      <c r="H129" t="s">
        <v>1233</v>
      </c>
    </row>
    <row r="130" spans="1:8">
      <c r="A130" t="s">
        <v>1330</v>
      </c>
      <c r="B130">
        <v>20270531</v>
      </c>
      <c r="C130" t="s">
        <v>600</v>
      </c>
      <c r="D130">
        <v>3900</v>
      </c>
      <c r="E130" t="s">
        <v>1169</v>
      </c>
      <c r="F130">
        <v>1125000</v>
      </c>
      <c r="G130" t="s">
        <v>1170</v>
      </c>
      <c r="H130" t="s">
        <v>1171</v>
      </c>
    </row>
    <row r="131" spans="1:8">
      <c r="A131" t="s">
        <v>1331</v>
      </c>
      <c r="B131">
        <v>20270531</v>
      </c>
      <c r="C131" t="s">
        <v>600</v>
      </c>
      <c r="D131">
        <v>3670</v>
      </c>
      <c r="E131" t="s">
        <v>1169</v>
      </c>
      <c r="F131">
        <v>105820.83</v>
      </c>
      <c r="G131" t="s">
        <v>1170</v>
      </c>
      <c r="H131" t="s">
        <v>1173</v>
      </c>
    </row>
    <row r="132" spans="1:8">
      <c r="A132" t="s">
        <v>1332</v>
      </c>
      <c r="B132">
        <v>20270531</v>
      </c>
      <c r="C132" t="s">
        <v>600</v>
      </c>
      <c r="D132">
        <v>5000</v>
      </c>
      <c r="E132" t="s">
        <v>1169</v>
      </c>
      <c r="F132">
        <v>666666.67000000004</v>
      </c>
      <c r="G132" t="s">
        <v>1170</v>
      </c>
      <c r="H132" t="s">
        <v>1175</v>
      </c>
    </row>
    <row r="133" spans="1:8">
      <c r="A133" t="s">
        <v>1333</v>
      </c>
      <c r="B133">
        <v>20270531</v>
      </c>
      <c r="C133" t="s">
        <v>600</v>
      </c>
      <c r="D133">
        <v>5400</v>
      </c>
      <c r="E133" t="s">
        <v>1169</v>
      </c>
      <c r="F133">
        <v>150000</v>
      </c>
      <c r="G133" t="s">
        <v>1170</v>
      </c>
      <c r="H133" t="s">
        <v>1177</v>
      </c>
    </row>
    <row r="134" spans="1:8">
      <c r="A134" t="s">
        <v>1334</v>
      </c>
      <c r="B134">
        <v>20270531</v>
      </c>
      <c r="C134" t="s">
        <v>600</v>
      </c>
      <c r="D134">
        <v>6420</v>
      </c>
      <c r="E134" t="s">
        <v>1169</v>
      </c>
      <c r="F134">
        <v>208333.33</v>
      </c>
      <c r="G134" t="s">
        <v>1170</v>
      </c>
      <c r="H134" t="s">
        <v>1179</v>
      </c>
    </row>
    <row r="135" spans="1:8">
      <c r="A135" t="s">
        <v>1335</v>
      </c>
      <c r="B135">
        <v>20270531</v>
      </c>
      <c r="C135" t="s">
        <v>600</v>
      </c>
      <c r="D135">
        <v>6700</v>
      </c>
      <c r="E135" t="s">
        <v>1169</v>
      </c>
      <c r="F135">
        <v>100000</v>
      </c>
      <c r="G135" t="s">
        <v>1170</v>
      </c>
      <c r="H135" t="s">
        <v>1181</v>
      </c>
    </row>
    <row r="136" spans="1:8">
      <c r="A136" t="s">
        <v>1336</v>
      </c>
      <c r="B136">
        <v>20270531</v>
      </c>
      <c r="C136" t="s">
        <v>600</v>
      </c>
      <c r="D136">
        <v>1250</v>
      </c>
      <c r="E136" t="s">
        <v>1169</v>
      </c>
      <c r="F136">
        <v>83333.33</v>
      </c>
      <c r="G136" t="s">
        <v>1170</v>
      </c>
      <c r="H136" t="s">
        <v>1183</v>
      </c>
    </row>
    <row r="137" spans="1:8">
      <c r="A137" t="s">
        <v>1337</v>
      </c>
      <c r="B137">
        <v>20270531</v>
      </c>
      <c r="C137" t="s">
        <v>606</v>
      </c>
      <c r="D137">
        <v>3900</v>
      </c>
      <c r="E137" t="s">
        <v>1169</v>
      </c>
      <c r="F137">
        <v>5666666.6699999999</v>
      </c>
      <c r="G137" t="s">
        <v>1170</v>
      </c>
      <c r="H137" t="s">
        <v>1185</v>
      </c>
    </row>
    <row r="138" spans="1:8">
      <c r="A138" t="s">
        <v>1338</v>
      </c>
      <c r="B138">
        <v>20270531</v>
      </c>
      <c r="C138" t="s">
        <v>606</v>
      </c>
      <c r="D138">
        <v>3600</v>
      </c>
      <c r="E138" t="s">
        <v>1169</v>
      </c>
      <c r="F138">
        <v>666666.67000000004</v>
      </c>
      <c r="G138" t="s">
        <v>1170</v>
      </c>
      <c r="H138" t="s">
        <v>1187</v>
      </c>
    </row>
    <row r="139" spans="1:8">
      <c r="A139" t="s">
        <v>1339</v>
      </c>
      <c r="B139">
        <v>20270531</v>
      </c>
      <c r="C139" t="s">
        <v>606</v>
      </c>
      <c r="D139">
        <v>3630</v>
      </c>
      <c r="E139" t="s">
        <v>1169</v>
      </c>
      <c r="F139">
        <v>333333.33</v>
      </c>
      <c r="G139" t="s">
        <v>1170</v>
      </c>
      <c r="H139" t="s">
        <v>1189</v>
      </c>
    </row>
    <row r="140" spans="1:8">
      <c r="A140" t="s">
        <v>1340</v>
      </c>
      <c r="B140">
        <v>20270531</v>
      </c>
      <c r="C140" t="s">
        <v>606</v>
      </c>
      <c r="D140">
        <v>5000</v>
      </c>
      <c r="E140" t="s">
        <v>1169</v>
      </c>
      <c r="F140">
        <v>4000000</v>
      </c>
      <c r="G140" t="s">
        <v>1170</v>
      </c>
      <c r="H140" t="s">
        <v>1191</v>
      </c>
    </row>
    <row r="141" spans="1:8">
      <c r="A141" t="s">
        <v>1341</v>
      </c>
      <c r="B141">
        <v>20270531</v>
      </c>
      <c r="C141" t="s">
        <v>606</v>
      </c>
      <c r="D141">
        <v>5400</v>
      </c>
      <c r="E141" t="s">
        <v>1169</v>
      </c>
      <c r="F141">
        <v>916666.67</v>
      </c>
      <c r="G141" t="s">
        <v>1170</v>
      </c>
      <c r="H141" t="s">
        <v>1193</v>
      </c>
    </row>
    <row r="142" spans="1:8">
      <c r="A142" t="s">
        <v>1342</v>
      </c>
      <c r="B142">
        <v>20270531</v>
      </c>
      <c r="C142" t="s">
        <v>606</v>
      </c>
      <c r="D142">
        <v>6300</v>
      </c>
      <c r="E142" t="s">
        <v>1169</v>
      </c>
      <c r="F142">
        <v>1000000</v>
      </c>
      <c r="G142" t="s">
        <v>1170</v>
      </c>
      <c r="H142" t="s">
        <v>1195</v>
      </c>
    </row>
    <row r="143" spans="1:8">
      <c r="A143" t="s">
        <v>1343</v>
      </c>
      <c r="B143">
        <v>20270531</v>
      </c>
      <c r="C143" t="s">
        <v>606</v>
      </c>
      <c r="D143">
        <v>7130</v>
      </c>
      <c r="E143" t="s">
        <v>1169</v>
      </c>
      <c r="F143">
        <v>333333.33</v>
      </c>
      <c r="G143" t="s">
        <v>1170</v>
      </c>
      <c r="H143" t="s">
        <v>1197</v>
      </c>
    </row>
    <row r="144" spans="1:8">
      <c r="A144" t="s">
        <v>1344</v>
      </c>
      <c r="B144">
        <v>20270531</v>
      </c>
      <c r="C144" t="s">
        <v>606</v>
      </c>
      <c r="D144">
        <v>1250</v>
      </c>
      <c r="E144" t="s">
        <v>1169</v>
      </c>
      <c r="F144">
        <v>250000</v>
      </c>
      <c r="G144" t="s">
        <v>1170</v>
      </c>
      <c r="H144" t="s">
        <v>1199</v>
      </c>
    </row>
    <row r="145" spans="1:8">
      <c r="A145" t="s">
        <v>1345</v>
      </c>
      <c r="B145">
        <v>20270531</v>
      </c>
      <c r="C145" t="s">
        <v>611</v>
      </c>
      <c r="D145">
        <v>3900</v>
      </c>
      <c r="E145" t="s">
        <v>1169</v>
      </c>
      <c r="F145">
        <v>4833333.33</v>
      </c>
      <c r="G145" t="s">
        <v>1170</v>
      </c>
      <c r="H145" t="s">
        <v>1201</v>
      </c>
    </row>
    <row r="146" spans="1:8">
      <c r="A146" t="s">
        <v>1346</v>
      </c>
      <c r="B146">
        <v>20270531</v>
      </c>
      <c r="C146" t="s">
        <v>611</v>
      </c>
      <c r="D146">
        <v>3400</v>
      </c>
      <c r="E146" t="s">
        <v>1169</v>
      </c>
      <c r="F146">
        <v>333333.33</v>
      </c>
      <c r="G146" t="s">
        <v>1170</v>
      </c>
      <c r="H146" t="s">
        <v>1203</v>
      </c>
    </row>
    <row r="147" spans="1:8">
      <c r="A147" t="s">
        <v>1347</v>
      </c>
      <c r="B147">
        <v>20270531</v>
      </c>
      <c r="C147" t="s">
        <v>611</v>
      </c>
      <c r="D147">
        <v>5000</v>
      </c>
      <c r="E147" t="s">
        <v>1169</v>
      </c>
      <c r="F147">
        <v>3166666.67</v>
      </c>
      <c r="G147" t="s">
        <v>1170</v>
      </c>
      <c r="H147" t="s">
        <v>1205</v>
      </c>
    </row>
    <row r="148" spans="1:8">
      <c r="A148" t="s">
        <v>1348</v>
      </c>
      <c r="B148">
        <v>20270531</v>
      </c>
      <c r="C148" t="s">
        <v>611</v>
      </c>
      <c r="D148">
        <v>5400</v>
      </c>
      <c r="E148" t="s">
        <v>1169</v>
      </c>
      <c r="F148">
        <v>733333.33</v>
      </c>
      <c r="G148" t="s">
        <v>1170</v>
      </c>
      <c r="H148" t="s">
        <v>1207</v>
      </c>
    </row>
    <row r="149" spans="1:8">
      <c r="A149" t="s">
        <v>1349</v>
      </c>
      <c r="B149">
        <v>20270531</v>
      </c>
      <c r="C149" t="s">
        <v>611</v>
      </c>
      <c r="D149">
        <v>6300</v>
      </c>
      <c r="E149" t="s">
        <v>1169</v>
      </c>
      <c r="F149">
        <v>833333.33</v>
      </c>
      <c r="G149" t="s">
        <v>1170</v>
      </c>
      <c r="H149" t="s">
        <v>1209</v>
      </c>
    </row>
    <row r="150" spans="1:8">
      <c r="A150" t="s">
        <v>1350</v>
      </c>
      <c r="B150">
        <v>20270531</v>
      </c>
      <c r="C150" t="s">
        <v>611</v>
      </c>
      <c r="D150">
        <v>7130</v>
      </c>
      <c r="E150" t="s">
        <v>1169</v>
      </c>
      <c r="F150">
        <v>183333.33</v>
      </c>
      <c r="G150" t="s">
        <v>1170</v>
      </c>
      <c r="H150" t="s">
        <v>1211</v>
      </c>
    </row>
    <row r="151" spans="1:8">
      <c r="A151" t="s">
        <v>1351</v>
      </c>
      <c r="B151">
        <v>20270531</v>
      </c>
      <c r="C151" t="s">
        <v>611</v>
      </c>
      <c r="D151">
        <v>1250</v>
      </c>
      <c r="E151" t="s">
        <v>1169</v>
      </c>
      <c r="F151">
        <v>166666.67000000001</v>
      </c>
      <c r="G151" t="s">
        <v>1170</v>
      </c>
      <c r="H151" t="s">
        <v>1213</v>
      </c>
    </row>
    <row r="152" spans="1:8">
      <c r="A152" t="s">
        <v>1352</v>
      </c>
      <c r="B152">
        <v>20270531</v>
      </c>
      <c r="C152" t="s">
        <v>616</v>
      </c>
      <c r="D152">
        <v>3900</v>
      </c>
      <c r="E152" t="s">
        <v>1169</v>
      </c>
      <c r="F152">
        <v>9358345.8300000001</v>
      </c>
      <c r="G152" t="s">
        <v>1170</v>
      </c>
      <c r="H152" t="s">
        <v>1215</v>
      </c>
    </row>
    <row r="153" spans="1:8">
      <c r="A153" t="s">
        <v>1353</v>
      </c>
      <c r="B153">
        <v>20270531</v>
      </c>
      <c r="C153" t="s">
        <v>616</v>
      </c>
      <c r="D153">
        <v>3400</v>
      </c>
      <c r="E153" t="s">
        <v>1169</v>
      </c>
      <c r="F153">
        <v>1000000</v>
      </c>
      <c r="G153" t="s">
        <v>1170</v>
      </c>
      <c r="H153" t="s">
        <v>1217</v>
      </c>
    </row>
    <row r="154" spans="1:8">
      <c r="A154" t="s">
        <v>1354</v>
      </c>
      <c r="B154">
        <v>20270531</v>
      </c>
      <c r="C154" t="s">
        <v>616</v>
      </c>
      <c r="D154">
        <v>3420</v>
      </c>
      <c r="E154" t="s">
        <v>1169</v>
      </c>
      <c r="F154">
        <v>333333.33</v>
      </c>
      <c r="G154" t="s">
        <v>1170</v>
      </c>
      <c r="H154" t="s">
        <v>1219</v>
      </c>
    </row>
    <row r="155" spans="1:8">
      <c r="A155" t="s">
        <v>1355</v>
      </c>
      <c r="B155">
        <v>20270531</v>
      </c>
      <c r="C155" t="s">
        <v>616</v>
      </c>
      <c r="D155">
        <v>3630</v>
      </c>
      <c r="E155" t="s">
        <v>1169</v>
      </c>
      <c r="F155">
        <v>83333.33</v>
      </c>
      <c r="G155" t="s">
        <v>1170</v>
      </c>
      <c r="H155" t="s">
        <v>1221</v>
      </c>
    </row>
    <row r="156" spans="1:8">
      <c r="A156" t="s">
        <v>1356</v>
      </c>
      <c r="B156">
        <v>20270531</v>
      </c>
      <c r="C156" t="s">
        <v>616</v>
      </c>
      <c r="D156">
        <v>5000</v>
      </c>
      <c r="E156" t="s">
        <v>1169</v>
      </c>
      <c r="F156">
        <v>5116666.67</v>
      </c>
      <c r="G156" t="s">
        <v>1170</v>
      </c>
      <c r="H156" t="s">
        <v>1223</v>
      </c>
    </row>
    <row r="157" spans="1:8">
      <c r="A157" t="s">
        <v>1357</v>
      </c>
      <c r="B157">
        <v>20270531</v>
      </c>
      <c r="C157" t="s">
        <v>616</v>
      </c>
      <c r="D157">
        <v>5400</v>
      </c>
      <c r="E157" t="s">
        <v>1169</v>
      </c>
      <c r="F157">
        <v>1166666.67</v>
      </c>
      <c r="G157" t="s">
        <v>1170</v>
      </c>
      <c r="H157" t="s">
        <v>1225</v>
      </c>
    </row>
    <row r="158" spans="1:8">
      <c r="A158" t="s">
        <v>1358</v>
      </c>
      <c r="B158">
        <v>20270531</v>
      </c>
      <c r="C158" t="s">
        <v>616</v>
      </c>
      <c r="D158">
        <v>6300</v>
      </c>
      <c r="E158" t="s">
        <v>1169</v>
      </c>
      <c r="F158">
        <v>1666666.67</v>
      </c>
      <c r="G158" t="s">
        <v>1170</v>
      </c>
      <c r="H158" t="s">
        <v>1227</v>
      </c>
    </row>
    <row r="159" spans="1:8">
      <c r="A159" t="s">
        <v>1359</v>
      </c>
      <c r="B159">
        <v>20270531</v>
      </c>
      <c r="C159" t="s">
        <v>616</v>
      </c>
      <c r="D159">
        <v>6420</v>
      </c>
      <c r="E159" t="s">
        <v>1169</v>
      </c>
      <c r="F159">
        <v>341666.67</v>
      </c>
      <c r="G159" t="s">
        <v>1170</v>
      </c>
      <c r="H159" t="s">
        <v>1229</v>
      </c>
    </row>
    <row r="160" spans="1:8">
      <c r="A160" t="s">
        <v>1360</v>
      </c>
      <c r="B160">
        <v>20270531</v>
      </c>
      <c r="C160" t="s">
        <v>616</v>
      </c>
      <c r="D160">
        <v>7130</v>
      </c>
      <c r="E160" t="s">
        <v>1169</v>
      </c>
      <c r="F160">
        <v>250000</v>
      </c>
      <c r="G160" t="s">
        <v>1170</v>
      </c>
      <c r="H160" t="s">
        <v>1231</v>
      </c>
    </row>
    <row r="161" spans="1:8">
      <c r="A161" t="s">
        <v>1361</v>
      </c>
      <c r="B161">
        <v>20270531</v>
      </c>
      <c r="C161" t="s">
        <v>616</v>
      </c>
      <c r="D161">
        <v>1250</v>
      </c>
      <c r="E161" t="s">
        <v>1169</v>
      </c>
      <c r="F161">
        <v>2166666.67</v>
      </c>
      <c r="G161" t="s">
        <v>1170</v>
      </c>
      <c r="H161" t="s">
        <v>1233</v>
      </c>
    </row>
    <row r="162" spans="1:8">
      <c r="A162" t="s">
        <v>1362</v>
      </c>
      <c r="B162">
        <v>20270630</v>
      </c>
      <c r="C162" t="s">
        <v>600</v>
      </c>
      <c r="D162">
        <v>3900</v>
      </c>
      <c r="E162" t="s">
        <v>1169</v>
      </c>
      <c r="F162">
        <v>1125000</v>
      </c>
      <c r="G162" t="s">
        <v>1170</v>
      </c>
      <c r="H162" t="s">
        <v>1171</v>
      </c>
    </row>
    <row r="163" spans="1:8">
      <c r="A163" t="s">
        <v>1363</v>
      </c>
      <c r="B163">
        <v>20270630</v>
      </c>
      <c r="C163" t="s">
        <v>600</v>
      </c>
      <c r="D163">
        <v>3670</v>
      </c>
      <c r="E163" t="s">
        <v>1169</v>
      </c>
      <c r="F163">
        <v>105820.83</v>
      </c>
      <c r="G163" t="s">
        <v>1170</v>
      </c>
      <c r="H163" t="s">
        <v>1173</v>
      </c>
    </row>
    <row r="164" spans="1:8">
      <c r="A164" t="s">
        <v>1364</v>
      </c>
      <c r="B164">
        <v>20270630</v>
      </c>
      <c r="C164" t="s">
        <v>600</v>
      </c>
      <c r="D164">
        <v>5000</v>
      </c>
      <c r="E164" t="s">
        <v>1169</v>
      </c>
      <c r="F164">
        <v>666666.67000000004</v>
      </c>
      <c r="G164" t="s">
        <v>1170</v>
      </c>
      <c r="H164" t="s">
        <v>1175</v>
      </c>
    </row>
    <row r="165" spans="1:8">
      <c r="A165" t="s">
        <v>1365</v>
      </c>
      <c r="B165">
        <v>20270630</v>
      </c>
      <c r="C165" t="s">
        <v>600</v>
      </c>
      <c r="D165">
        <v>5400</v>
      </c>
      <c r="E165" t="s">
        <v>1169</v>
      </c>
      <c r="F165">
        <v>150000</v>
      </c>
      <c r="G165" t="s">
        <v>1170</v>
      </c>
      <c r="H165" t="s">
        <v>1177</v>
      </c>
    </row>
    <row r="166" spans="1:8">
      <c r="A166" t="s">
        <v>1366</v>
      </c>
      <c r="B166">
        <v>20270630</v>
      </c>
      <c r="C166" t="s">
        <v>600</v>
      </c>
      <c r="D166">
        <v>6420</v>
      </c>
      <c r="E166" t="s">
        <v>1169</v>
      </c>
      <c r="F166">
        <v>208333.33</v>
      </c>
      <c r="G166" t="s">
        <v>1170</v>
      </c>
      <c r="H166" t="s">
        <v>1179</v>
      </c>
    </row>
    <row r="167" spans="1:8">
      <c r="A167" t="s">
        <v>1367</v>
      </c>
      <c r="B167">
        <v>20270630</v>
      </c>
      <c r="C167" t="s">
        <v>600</v>
      </c>
      <c r="D167">
        <v>6700</v>
      </c>
      <c r="E167" t="s">
        <v>1169</v>
      </c>
      <c r="F167">
        <v>100000</v>
      </c>
      <c r="G167" t="s">
        <v>1170</v>
      </c>
      <c r="H167" t="s">
        <v>1181</v>
      </c>
    </row>
    <row r="168" spans="1:8">
      <c r="A168" t="s">
        <v>1368</v>
      </c>
      <c r="B168">
        <v>20270630</v>
      </c>
      <c r="C168" t="s">
        <v>600</v>
      </c>
      <c r="D168">
        <v>1250</v>
      </c>
      <c r="E168" t="s">
        <v>1169</v>
      </c>
      <c r="F168">
        <v>83333.33</v>
      </c>
      <c r="G168" t="s">
        <v>1170</v>
      </c>
      <c r="H168" t="s">
        <v>1183</v>
      </c>
    </row>
    <row r="169" spans="1:8">
      <c r="A169" t="s">
        <v>1369</v>
      </c>
      <c r="B169">
        <v>20270630</v>
      </c>
      <c r="C169" t="s">
        <v>606</v>
      </c>
      <c r="D169">
        <v>3900</v>
      </c>
      <c r="E169" t="s">
        <v>1169</v>
      </c>
      <c r="F169">
        <v>5666666.6699999999</v>
      </c>
      <c r="G169" t="s">
        <v>1170</v>
      </c>
      <c r="H169" t="s">
        <v>1185</v>
      </c>
    </row>
    <row r="170" spans="1:8">
      <c r="A170" t="s">
        <v>1370</v>
      </c>
      <c r="B170">
        <v>20270630</v>
      </c>
      <c r="C170" t="s">
        <v>606</v>
      </c>
      <c r="D170">
        <v>3600</v>
      </c>
      <c r="E170" t="s">
        <v>1169</v>
      </c>
      <c r="F170">
        <v>666666.67000000004</v>
      </c>
      <c r="G170" t="s">
        <v>1170</v>
      </c>
      <c r="H170" t="s">
        <v>1187</v>
      </c>
    </row>
    <row r="171" spans="1:8">
      <c r="A171" t="s">
        <v>1371</v>
      </c>
      <c r="B171">
        <v>20270630</v>
      </c>
      <c r="C171" t="s">
        <v>606</v>
      </c>
      <c r="D171">
        <v>3630</v>
      </c>
      <c r="E171" t="s">
        <v>1169</v>
      </c>
      <c r="F171">
        <v>333333.33</v>
      </c>
      <c r="G171" t="s">
        <v>1170</v>
      </c>
      <c r="H171" t="s">
        <v>1189</v>
      </c>
    </row>
    <row r="172" spans="1:8">
      <c r="A172" t="s">
        <v>1372</v>
      </c>
      <c r="B172">
        <v>20270630</v>
      </c>
      <c r="C172" t="s">
        <v>606</v>
      </c>
      <c r="D172">
        <v>5000</v>
      </c>
      <c r="E172" t="s">
        <v>1169</v>
      </c>
      <c r="F172">
        <v>4000000</v>
      </c>
      <c r="G172" t="s">
        <v>1170</v>
      </c>
      <c r="H172" t="s">
        <v>1191</v>
      </c>
    </row>
    <row r="173" spans="1:8">
      <c r="A173" t="s">
        <v>1373</v>
      </c>
      <c r="B173">
        <v>20270630</v>
      </c>
      <c r="C173" t="s">
        <v>606</v>
      </c>
      <c r="D173">
        <v>5400</v>
      </c>
      <c r="E173" t="s">
        <v>1169</v>
      </c>
      <c r="F173">
        <v>916666.67</v>
      </c>
      <c r="G173" t="s">
        <v>1170</v>
      </c>
      <c r="H173" t="s">
        <v>1193</v>
      </c>
    </row>
    <row r="174" spans="1:8">
      <c r="A174" t="s">
        <v>1374</v>
      </c>
      <c r="B174">
        <v>20270630</v>
      </c>
      <c r="C174" t="s">
        <v>606</v>
      </c>
      <c r="D174">
        <v>6300</v>
      </c>
      <c r="E174" t="s">
        <v>1169</v>
      </c>
      <c r="F174">
        <v>1000000</v>
      </c>
      <c r="G174" t="s">
        <v>1170</v>
      </c>
      <c r="H174" t="s">
        <v>1195</v>
      </c>
    </row>
    <row r="175" spans="1:8">
      <c r="A175" t="s">
        <v>1375</v>
      </c>
      <c r="B175">
        <v>20270630</v>
      </c>
      <c r="C175" t="s">
        <v>606</v>
      </c>
      <c r="D175">
        <v>7130</v>
      </c>
      <c r="E175" t="s">
        <v>1169</v>
      </c>
      <c r="F175">
        <v>333333.33</v>
      </c>
      <c r="G175" t="s">
        <v>1170</v>
      </c>
      <c r="H175" t="s">
        <v>1197</v>
      </c>
    </row>
    <row r="176" spans="1:8">
      <c r="A176" t="s">
        <v>1376</v>
      </c>
      <c r="B176">
        <v>20270630</v>
      </c>
      <c r="C176" t="s">
        <v>606</v>
      </c>
      <c r="D176">
        <v>1250</v>
      </c>
      <c r="E176" t="s">
        <v>1169</v>
      </c>
      <c r="F176">
        <v>250000</v>
      </c>
      <c r="G176" t="s">
        <v>1170</v>
      </c>
      <c r="H176" t="s">
        <v>1199</v>
      </c>
    </row>
    <row r="177" spans="1:8">
      <c r="A177" t="s">
        <v>1377</v>
      </c>
      <c r="B177">
        <v>20270630</v>
      </c>
      <c r="C177" t="s">
        <v>611</v>
      </c>
      <c r="D177">
        <v>3900</v>
      </c>
      <c r="E177" t="s">
        <v>1169</v>
      </c>
      <c r="F177">
        <v>4833333.33</v>
      </c>
      <c r="G177" t="s">
        <v>1170</v>
      </c>
      <c r="H177" t="s">
        <v>1201</v>
      </c>
    </row>
    <row r="178" spans="1:8">
      <c r="A178" t="s">
        <v>1378</v>
      </c>
      <c r="B178">
        <v>20270630</v>
      </c>
      <c r="C178" t="s">
        <v>611</v>
      </c>
      <c r="D178">
        <v>3400</v>
      </c>
      <c r="E178" t="s">
        <v>1169</v>
      </c>
      <c r="F178">
        <v>333333.33</v>
      </c>
      <c r="G178" t="s">
        <v>1170</v>
      </c>
      <c r="H178" t="s">
        <v>1203</v>
      </c>
    </row>
    <row r="179" spans="1:8">
      <c r="A179" t="s">
        <v>1379</v>
      </c>
      <c r="B179">
        <v>20270630</v>
      </c>
      <c r="C179" t="s">
        <v>611</v>
      </c>
      <c r="D179">
        <v>5000</v>
      </c>
      <c r="E179" t="s">
        <v>1169</v>
      </c>
      <c r="F179">
        <v>3166666.67</v>
      </c>
      <c r="G179" t="s">
        <v>1170</v>
      </c>
      <c r="H179" t="s">
        <v>1205</v>
      </c>
    </row>
    <row r="180" spans="1:8">
      <c r="A180" t="s">
        <v>1380</v>
      </c>
      <c r="B180">
        <v>20270630</v>
      </c>
      <c r="C180" t="s">
        <v>611</v>
      </c>
      <c r="D180">
        <v>5400</v>
      </c>
      <c r="E180" t="s">
        <v>1169</v>
      </c>
      <c r="F180">
        <v>733333.33</v>
      </c>
      <c r="G180" t="s">
        <v>1170</v>
      </c>
      <c r="H180" t="s">
        <v>1207</v>
      </c>
    </row>
    <row r="181" spans="1:8">
      <c r="A181" t="s">
        <v>1381</v>
      </c>
      <c r="B181">
        <v>20270630</v>
      </c>
      <c r="C181" t="s">
        <v>611</v>
      </c>
      <c r="D181">
        <v>6300</v>
      </c>
      <c r="E181" t="s">
        <v>1169</v>
      </c>
      <c r="F181">
        <v>833333.33</v>
      </c>
      <c r="G181" t="s">
        <v>1170</v>
      </c>
      <c r="H181" t="s">
        <v>1209</v>
      </c>
    </row>
    <row r="182" spans="1:8">
      <c r="A182" t="s">
        <v>1382</v>
      </c>
      <c r="B182">
        <v>20270630</v>
      </c>
      <c r="C182" t="s">
        <v>611</v>
      </c>
      <c r="D182">
        <v>7130</v>
      </c>
      <c r="E182" t="s">
        <v>1169</v>
      </c>
      <c r="F182">
        <v>183333.33</v>
      </c>
      <c r="G182" t="s">
        <v>1170</v>
      </c>
      <c r="H182" t="s">
        <v>1211</v>
      </c>
    </row>
    <row r="183" spans="1:8">
      <c r="A183" t="s">
        <v>1383</v>
      </c>
      <c r="B183">
        <v>20270630</v>
      </c>
      <c r="C183" t="s">
        <v>611</v>
      </c>
      <c r="D183">
        <v>1250</v>
      </c>
      <c r="E183" t="s">
        <v>1169</v>
      </c>
      <c r="F183">
        <v>166666.67000000001</v>
      </c>
      <c r="G183" t="s">
        <v>1170</v>
      </c>
      <c r="H183" t="s">
        <v>1213</v>
      </c>
    </row>
    <row r="184" spans="1:8">
      <c r="A184" t="s">
        <v>1384</v>
      </c>
      <c r="B184">
        <v>20270630</v>
      </c>
      <c r="C184" t="s">
        <v>616</v>
      </c>
      <c r="D184">
        <v>3900</v>
      </c>
      <c r="E184" t="s">
        <v>1169</v>
      </c>
      <c r="F184">
        <v>9358345.8300000001</v>
      </c>
      <c r="G184" t="s">
        <v>1170</v>
      </c>
      <c r="H184" t="s">
        <v>1215</v>
      </c>
    </row>
    <row r="185" spans="1:8">
      <c r="A185" t="s">
        <v>1385</v>
      </c>
      <c r="B185">
        <v>20270630</v>
      </c>
      <c r="C185" t="s">
        <v>616</v>
      </c>
      <c r="D185">
        <v>3400</v>
      </c>
      <c r="E185" t="s">
        <v>1169</v>
      </c>
      <c r="F185">
        <v>1000000</v>
      </c>
      <c r="G185" t="s">
        <v>1170</v>
      </c>
      <c r="H185" t="s">
        <v>1217</v>
      </c>
    </row>
    <row r="186" spans="1:8">
      <c r="A186" t="s">
        <v>1386</v>
      </c>
      <c r="B186">
        <v>20270630</v>
      </c>
      <c r="C186" t="s">
        <v>616</v>
      </c>
      <c r="D186">
        <v>3420</v>
      </c>
      <c r="E186" t="s">
        <v>1169</v>
      </c>
      <c r="F186">
        <v>333333.33</v>
      </c>
      <c r="G186" t="s">
        <v>1170</v>
      </c>
      <c r="H186" t="s">
        <v>1219</v>
      </c>
    </row>
    <row r="187" spans="1:8">
      <c r="A187" t="s">
        <v>1387</v>
      </c>
      <c r="B187">
        <v>20270630</v>
      </c>
      <c r="C187" t="s">
        <v>616</v>
      </c>
      <c r="D187">
        <v>3630</v>
      </c>
      <c r="E187" t="s">
        <v>1169</v>
      </c>
      <c r="F187">
        <v>83333.33</v>
      </c>
      <c r="G187" t="s">
        <v>1170</v>
      </c>
      <c r="H187" t="s">
        <v>1221</v>
      </c>
    </row>
    <row r="188" spans="1:8">
      <c r="A188" t="s">
        <v>1388</v>
      </c>
      <c r="B188">
        <v>20270630</v>
      </c>
      <c r="C188" t="s">
        <v>616</v>
      </c>
      <c r="D188">
        <v>5000</v>
      </c>
      <c r="E188" t="s">
        <v>1169</v>
      </c>
      <c r="F188">
        <v>5116666.67</v>
      </c>
      <c r="G188" t="s">
        <v>1170</v>
      </c>
      <c r="H188" t="s">
        <v>1223</v>
      </c>
    </row>
    <row r="189" spans="1:8">
      <c r="A189" t="s">
        <v>1389</v>
      </c>
      <c r="B189">
        <v>20270630</v>
      </c>
      <c r="C189" t="s">
        <v>616</v>
      </c>
      <c r="D189">
        <v>5400</v>
      </c>
      <c r="E189" t="s">
        <v>1169</v>
      </c>
      <c r="F189">
        <v>1166666.67</v>
      </c>
      <c r="G189" t="s">
        <v>1170</v>
      </c>
      <c r="H189" t="s">
        <v>1225</v>
      </c>
    </row>
    <row r="190" spans="1:8">
      <c r="A190" t="s">
        <v>1390</v>
      </c>
      <c r="B190">
        <v>20270630</v>
      </c>
      <c r="C190" t="s">
        <v>616</v>
      </c>
      <c r="D190">
        <v>6300</v>
      </c>
      <c r="E190" t="s">
        <v>1169</v>
      </c>
      <c r="F190">
        <v>1666666.67</v>
      </c>
      <c r="G190" t="s">
        <v>1170</v>
      </c>
      <c r="H190" t="s">
        <v>1227</v>
      </c>
    </row>
    <row r="191" spans="1:8">
      <c r="A191" t="s">
        <v>1391</v>
      </c>
      <c r="B191">
        <v>20270630</v>
      </c>
      <c r="C191" t="s">
        <v>616</v>
      </c>
      <c r="D191">
        <v>6420</v>
      </c>
      <c r="E191" t="s">
        <v>1169</v>
      </c>
      <c r="F191">
        <v>341666.67</v>
      </c>
      <c r="G191" t="s">
        <v>1170</v>
      </c>
      <c r="H191" t="s">
        <v>1229</v>
      </c>
    </row>
    <row r="192" spans="1:8">
      <c r="A192" t="s">
        <v>1392</v>
      </c>
      <c r="B192">
        <v>20270630</v>
      </c>
      <c r="C192" t="s">
        <v>616</v>
      </c>
      <c r="D192">
        <v>7130</v>
      </c>
      <c r="E192" t="s">
        <v>1169</v>
      </c>
      <c r="F192">
        <v>250000</v>
      </c>
      <c r="G192" t="s">
        <v>1170</v>
      </c>
      <c r="H192" t="s">
        <v>1231</v>
      </c>
    </row>
    <row r="193" spans="1:8">
      <c r="A193" t="s">
        <v>1393</v>
      </c>
      <c r="B193">
        <v>20270630</v>
      </c>
      <c r="C193" t="s">
        <v>616</v>
      </c>
      <c r="D193">
        <v>1250</v>
      </c>
      <c r="E193" t="s">
        <v>1169</v>
      </c>
      <c r="F193">
        <v>2166666.67</v>
      </c>
      <c r="G193" t="s">
        <v>1170</v>
      </c>
      <c r="H193" t="s">
        <v>1233</v>
      </c>
    </row>
    <row r="194" spans="1:8">
      <c r="A194" t="s">
        <v>1394</v>
      </c>
      <c r="B194">
        <v>20270731</v>
      </c>
      <c r="C194" t="s">
        <v>600</v>
      </c>
      <c r="D194">
        <v>3900</v>
      </c>
      <c r="E194" t="s">
        <v>1169</v>
      </c>
      <c r="F194">
        <v>1125000</v>
      </c>
      <c r="G194" t="s">
        <v>1170</v>
      </c>
      <c r="H194" t="s">
        <v>1171</v>
      </c>
    </row>
    <row r="195" spans="1:8">
      <c r="A195" t="s">
        <v>1395</v>
      </c>
      <c r="B195">
        <v>20270731</v>
      </c>
      <c r="C195" t="s">
        <v>600</v>
      </c>
      <c r="D195">
        <v>3670</v>
      </c>
      <c r="E195" t="s">
        <v>1169</v>
      </c>
      <c r="F195">
        <v>105820.83</v>
      </c>
      <c r="G195" t="s">
        <v>1170</v>
      </c>
      <c r="H195" t="s">
        <v>1173</v>
      </c>
    </row>
    <row r="196" spans="1:8">
      <c r="A196" t="s">
        <v>1396</v>
      </c>
      <c r="B196">
        <v>20270731</v>
      </c>
      <c r="C196" t="s">
        <v>600</v>
      </c>
      <c r="D196">
        <v>5000</v>
      </c>
      <c r="E196" t="s">
        <v>1169</v>
      </c>
      <c r="F196">
        <v>666666.67000000004</v>
      </c>
      <c r="G196" t="s">
        <v>1170</v>
      </c>
      <c r="H196" t="s">
        <v>1175</v>
      </c>
    </row>
    <row r="197" spans="1:8">
      <c r="A197" t="s">
        <v>1397</v>
      </c>
      <c r="B197">
        <v>20270731</v>
      </c>
      <c r="C197" t="s">
        <v>600</v>
      </c>
      <c r="D197">
        <v>5400</v>
      </c>
      <c r="E197" t="s">
        <v>1169</v>
      </c>
      <c r="F197">
        <v>150000</v>
      </c>
      <c r="G197" t="s">
        <v>1170</v>
      </c>
      <c r="H197" t="s">
        <v>1177</v>
      </c>
    </row>
    <row r="198" spans="1:8">
      <c r="A198" t="s">
        <v>1398</v>
      </c>
      <c r="B198">
        <v>20270731</v>
      </c>
      <c r="C198" t="s">
        <v>600</v>
      </c>
      <c r="D198">
        <v>6420</v>
      </c>
      <c r="E198" t="s">
        <v>1169</v>
      </c>
      <c r="F198">
        <v>208333.33</v>
      </c>
      <c r="G198" t="s">
        <v>1170</v>
      </c>
      <c r="H198" t="s">
        <v>1179</v>
      </c>
    </row>
    <row r="199" spans="1:8">
      <c r="A199" t="s">
        <v>1399</v>
      </c>
      <c r="B199">
        <v>20270731</v>
      </c>
      <c r="C199" t="s">
        <v>600</v>
      </c>
      <c r="D199">
        <v>6700</v>
      </c>
      <c r="E199" t="s">
        <v>1169</v>
      </c>
      <c r="F199">
        <v>100000</v>
      </c>
      <c r="G199" t="s">
        <v>1170</v>
      </c>
      <c r="H199" t="s">
        <v>1181</v>
      </c>
    </row>
    <row r="200" spans="1:8">
      <c r="A200" t="s">
        <v>1400</v>
      </c>
      <c r="B200">
        <v>20270731</v>
      </c>
      <c r="C200" t="s">
        <v>600</v>
      </c>
      <c r="D200">
        <v>1250</v>
      </c>
      <c r="E200" t="s">
        <v>1169</v>
      </c>
      <c r="F200">
        <v>83333.33</v>
      </c>
      <c r="G200" t="s">
        <v>1170</v>
      </c>
      <c r="H200" t="s">
        <v>1183</v>
      </c>
    </row>
    <row r="201" spans="1:8">
      <c r="A201" t="s">
        <v>1401</v>
      </c>
      <c r="B201">
        <v>20270731</v>
      </c>
      <c r="C201" t="s">
        <v>606</v>
      </c>
      <c r="D201">
        <v>3900</v>
      </c>
      <c r="E201" t="s">
        <v>1169</v>
      </c>
      <c r="F201">
        <v>5666666.6699999999</v>
      </c>
      <c r="G201" t="s">
        <v>1170</v>
      </c>
      <c r="H201" t="s">
        <v>1185</v>
      </c>
    </row>
    <row r="202" spans="1:8">
      <c r="A202" t="s">
        <v>1402</v>
      </c>
      <c r="B202">
        <v>20270731</v>
      </c>
      <c r="C202" t="s">
        <v>606</v>
      </c>
      <c r="D202">
        <v>3600</v>
      </c>
      <c r="E202" t="s">
        <v>1169</v>
      </c>
      <c r="F202">
        <v>666666.67000000004</v>
      </c>
      <c r="G202" t="s">
        <v>1170</v>
      </c>
      <c r="H202" t="s">
        <v>1187</v>
      </c>
    </row>
    <row r="203" spans="1:8">
      <c r="A203" t="s">
        <v>1403</v>
      </c>
      <c r="B203">
        <v>20270731</v>
      </c>
      <c r="C203" t="s">
        <v>606</v>
      </c>
      <c r="D203">
        <v>3630</v>
      </c>
      <c r="E203" t="s">
        <v>1169</v>
      </c>
      <c r="F203">
        <v>333333.33</v>
      </c>
      <c r="G203" t="s">
        <v>1170</v>
      </c>
      <c r="H203" t="s">
        <v>1189</v>
      </c>
    </row>
    <row r="204" spans="1:8">
      <c r="A204" t="s">
        <v>1404</v>
      </c>
      <c r="B204">
        <v>20270731</v>
      </c>
      <c r="C204" t="s">
        <v>606</v>
      </c>
      <c r="D204">
        <v>5000</v>
      </c>
      <c r="E204" t="s">
        <v>1169</v>
      </c>
      <c r="F204">
        <v>4000000</v>
      </c>
      <c r="G204" t="s">
        <v>1170</v>
      </c>
      <c r="H204" t="s">
        <v>1191</v>
      </c>
    </row>
    <row r="205" spans="1:8">
      <c r="A205" t="s">
        <v>1405</v>
      </c>
      <c r="B205">
        <v>20270731</v>
      </c>
      <c r="C205" t="s">
        <v>606</v>
      </c>
      <c r="D205">
        <v>5400</v>
      </c>
      <c r="E205" t="s">
        <v>1169</v>
      </c>
      <c r="F205">
        <v>916666.67</v>
      </c>
      <c r="G205" t="s">
        <v>1170</v>
      </c>
      <c r="H205" t="s">
        <v>1193</v>
      </c>
    </row>
    <row r="206" spans="1:8">
      <c r="A206" t="s">
        <v>1406</v>
      </c>
      <c r="B206">
        <v>20270731</v>
      </c>
      <c r="C206" t="s">
        <v>606</v>
      </c>
      <c r="D206">
        <v>6300</v>
      </c>
      <c r="E206" t="s">
        <v>1169</v>
      </c>
      <c r="F206">
        <v>1000000</v>
      </c>
      <c r="G206" t="s">
        <v>1170</v>
      </c>
      <c r="H206" t="s">
        <v>1195</v>
      </c>
    </row>
    <row r="207" spans="1:8">
      <c r="A207" t="s">
        <v>1407</v>
      </c>
      <c r="B207">
        <v>20270731</v>
      </c>
      <c r="C207" t="s">
        <v>606</v>
      </c>
      <c r="D207">
        <v>7130</v>
      </c>
      <c r="E207" t="s">
        <v>1169</v>
      </c>
      <c r="F207">
        <v>333333.33</v>
      </c>
      <c r="G207" t="s">
        <v>1170</v>
      </c>
      <c r="H207" t="s">
        <v>1197</v>
      </c>
    </row>
    <row r="208" spans="1:8">
      <c r="A208" t="s">
        <v>1408</v>
      </c>
      <c r="B208">
        <v>20270731</v>
      </c>
      <c r="C208" t="s">
        <v>606</v>
      </c>
      <c r="D208">
        <v>1250</v>
      </c>
      <c r="E208" t="s">
        <v>1169</v>
      </c>
      <c r="F208">
        <v>250000</v>
      </c>
      <c r="G208" t="s">
        <v>1170</v>
      </c>
      <c r="H208" t="s">
        <v>1199</v>
      </c>
    </row>
    <row r="209" spans="1:8">
      <c r="A209" t="s">
        <v>1409</v>
      </c>
      <c r="B209">
        <v>20270731</v>
      </c>
      <c r="C209" t="s">
        <v>611</v>
      </c>
      <c r="D209">
        <v>3900</v>
      </c>
      <c r="E209" t="s">
        <v>1169</v>
      </c>
      <c r="F209">
        <v>4833333.33</v>
      </c>
      <c r="G209" t="s">
        <v>1170</v>
      </c>
      <c r="H209" t="s">
        <v>1201</v>
      </c>
    </row>
    <row r="210" spans="1:8">
      <c r="A210" t="s">
        <v>1410</v>
      </c>
      <c r="B210">
        <v>20270731</v>
      </c>
      <c r="C210" t="s">
        <v>611</v>
      </c>
      <c r="D210">
        <v>3400</v>
      </c>
      <c r="E210" t="s">
        <v>1169</v>
      </c>
      <c r="F210">
        <v>333333.33</v>
      </c>
      <c r="G210" t="s">
        <v>1170</v>
      </c>
      <c r="H210" t="s">
        <v>1203</v>
      </c>
    </row>
    <row r="211" spans="1:8">
      <c r="A211" t="s">
        <v>1411</v>
      </c>
      <c r="B211">
        <v>20270731</v>
      </c>
      <c r="C211" t="s">
        <v>611</v>
      </c>
      <c r="D211">
        <v>5000</v>
      </c>
      <c r="E211" t="s">
        <v>1169</v>
      </c>
      <c r="F211">
        <v>3166666.67</v>
      </c>
      <c r="G211" t="s">
        <v>1170</v>
      </c>
      <c r="H211" t="s">
        <v>1205</v>
      </c>
    </row>
    <row r="212" spans="1:8">
      <c r="A212" t="s">
        <v>1412</v>
      </c>
      <c r="B212">
        <v>20270731</v>
      </c>
      <c r="C212" t="s">
        <v>611</v>
      </c>
      <c r="D212">
        <v>5400</v>
      </c>
      <c r="E212" t="s">
        <v>1169</v>
      </c>
      <c r="F212">
        <v>733333.33</v>
      </c>
      <c r="G212" t="s">
        <v>1170</v>
      </c>
      <c r="H212" t="s">
        <v>1207</v>
      </c>
    </row>
    <row r="213" spans="1:8">
      <c r="A213" t="s">
        <v>1413</v>
      </c>
      <c r="B213">
        <v>20270731</v>
      </c>
      <c r="C213" t="s">
        <v>611</v>
      </c>
      <c r="D213">
        <v>6300</v>
      </c>
      <c r="E213" t="s">
        <v>1169</v>
      </c>
      <c r="F213">
        <v>833333.33</v>
      </c>
      <c r="G213" t="s">
        <v>1170</v>
      </c>
      <c r="H213" t="s">
        <v>1209</v>
      </c>
    </row>
    <row r="214" spans="1:8">
      <c r="A214" t="s">
        <v>1414</v>
      </c>
      <c r="B214">
        <v>20270731</v>
      </c>
      <c r="C214" t="s">
        <v>611</v>
      </c>
      <c r="D214">
        <v>7130</v>
      </c>
      <c r="E214" t="s">
        <v>1169</v>
      </c>
      <c r="F214">
        <v>183333.33</v>
      </c>
      <c r="G214" t="s">
        <v>1170</v>
      </c>
      <c r="H214" t="s">
        <v>1211</v>
      </c>
    </row>
    <row r="215" spans="1:8">
      <c r="A215" t="s">
        <v>1415</v>
      </c>
      <c r="B215">
        <v>20270731</v>
      </c>
      <c r="C215" t="s">
        <v>611</v>
      </c>
      <c r="D215">
        <v>1250</v>
      </c>
      <c r="E215" t="s">
        <v>1169</v>
      </c>
      <c r="F215">
        <v>166666.67000000001</v>
      </c>
      <c r="G215" t="s">
        <v>1170</v>
      </c>
      <c r="H215" t="s">
        <v>1213</v>
      </c>
    </row>
    <row r="216" spans="1:8">
      <c r="A216" t="s">
        <v>1416</v>
      </c>
      <c r="B216">
        <v>20270731</v>
      </c>
      <c r="C216" t="s">
        <v>616</v>
      </c>
      <c r="D216">
        <v>3900</v>
      </c>
      <c r="E216" t="s">
        <v>1169</v>
      </c>
      <c r="F216">
        <v>9358345.8300000001</v>
      </c>
      <c r="G216" t="s">
        <v>1170</v>
      </c>
      <c r="H216" t="s">
        <v>1215</v>
      </c>
    </row>
    <row r="217" spans="1:8">
      <c r="A217" t="s">
        <v>1417</v>
      </c>
      <c r="B217">
        <v>20270731</v>
      </c>
      <c r="C217" t="s">
        <v>616</v>
      </c>
      <c r="D217">
        <v>3400</v>
      </c>
      <c r="E217" t="s">
        <v>1169</v>
      </c>
      <c r="F217">
        <v>1000000</v>
      </c>
      <c r="G217" t="s">
        <v>1170</v>
      </c>
      <c r="H217" t="s">
        <v>1217</v>
      </c>
    </row>
    <row r="218" spans="1:8">
      <c r="A218" t="s">
        <v>1418</v>
      </c>
      <c r="B218">
        <v>20270731</v>
      </c>
      <c r="C218" t="s">
        <v>616</v>
      </c>
      <c r="D218">
        <v>3420</v>
      </c>
      <c r="E218" t="s">
        <v>1169</v>
      </c>
      <c r="F218">
        <v>333333.33</v>
      </c>
      <c r="G218" t="s">
        <v>1170</v>
      </c>
      <c r="H218" t="s">
        <v>1219</v>
      </c>
    </row>
    <row r="219" spans="1:8">
      <c r="A219" t="s">
        <v>1419</v>
      </c>
      <c r="B219">
        <v>20270731</v>
      </c>
      <c r="C219" t="s">
        <v>616</v>
      </c>
      <c r="D219">
        <v>3630</v>
      </c>
      <c r="E219" t="s">
        <v>1169</v>
      </c>
      <c r="F219">
        <v>83333.33</v>
      </c>
      <c r="G219" t="s">
        <v>1170</v>
      </c>
      <c r="H219" t="s">
        <v>1221</v>
      </c>
    </row>
    <row r="220" spans="1:8">
      <c r="A220" t="s">
        <v>1420</v>
      </c>
      <c r="B220">
        <v>20270731</v>
      </c>
      <c r="C220" t="s">
        <v>616</v>
      </c>
      <c r="D220">
        <v>5000</v>
      </c>
      <c r="E220" t="s">
        <v>1169</v>
      </c>
      <c r="F220">
        <v>5116666.67</v>
      </c>
      <c r="G220" t="s">
        <v>1170</v>
      </c>
      <c r="H220" t="s">
        <v>1223</v>
      </c>
    </row>
    <row r="221" spans="1:8">
      <c r="A221" t="s">
        <v>1421</v>
      </c>
      <c r="B221">
        <v>20270731</v>
      </c>
      <c r="C221" t="s">
        <v>616</v>
      </c>
      <c r="D221">
        <v>5400</v>
      </c>
      <c r="E221" t="s">
        <v>1169</v>
      </c>
      <c r="F221">
        <v>1166666.67</v>
      </c>
      <c r="G221" t="s">
        <v>1170</v>
      </c>
      <c r="H221" t="s">
        <v>1225</v>
      </c>
    </row>
    <row r="222" spans="1:8">
      <c r="A222" t="s">
        <v>1422</v>
      </c>
      <c r="B222">
        <v>20270731</v>
      </c>
      <c r="C222" t="s">
        <v>616</v>
      </c>
      <c r="D222">
        <v>6300</v>
      </c>
      <c r="E222" t="s">
        <v>1169</v>
      </c>
      <c r="F222">
        <v>1666666.67</v>
      </c>
      <c r="G222" t="s">
        <v>1170</v>
      </c>
      <c r="H222" t="s">
        <v>1227</v>
      </c>
    </row>
    <row r="223" spans="1:8">
      <c r="A223" t="s">
        <v>1423</v>
      </c>
      <c r="B223">
        <v>20270731</v>
      </c>
      <c r="C223" t="s">
        <v>616</v>
      </c>
      <c r="D223">
        <v>6420</v>
      </c>
      <c r="E223" t="s">
        <v>1169</v>
      </c>
      <c r="F223">
        <v>341666.67</v>
      </c>
      <c r="G223" t="s">
        <v>1170</v>
      </c>
      <c r="H223" t="s">
        <v>1229</v>
      </c>
    </row>
    <row r="224" spans="1:8">
      <c r="A224" t="s">
        <v>1424</v>
      </c>
      <c r="B224">
        <v>20270731</v>
      </c>
      <c r="C224" t="s">
        <v>616</v>
      </c>
      <c r="D224">
        <v>7130</v>
      </c>
      <c r="E224" t="s">
        <v>1169</v>
      </c>
      <c r="F224">
        <v>250000</v>
      </c>
      <c r="G224" t="s">
        <v>1170</v>
      </c>
      <c r="H224" t="s">
        <v>1231</v>
      </c>
    </row>
    <row r="225" spans="1:8">
      <c r="A225" t="s">
        <v>1425</v>
      </c>
      <c r="B225">
        <v>20270731</v>
      </c>
      <c r="C225" t="s">
        <v>616</v>
      </c>
      <c r="D225">
        <v>1250</v>
      </c>
      <c r="E225" t="s">
        <v>1169</v>
      </c>
      <c r="F225">
        <v>2166666.67</v>
      </c>
      <c r="G225" t="s">
        <v>1170</v>
      </c>
      <c r="H225" t="s">
        <v>1233</v>
      </c>
    </row>
    <row r="226" spans="1:8">
      <c r="A226" t="s">
        <v>1426</v>
      </c>
      <c r="B226">
        <v>20270831</v>
      </c>
      <c r="C226" t="s">
        <v>600</v>
      </c>
      <c r="D226">
        <v>3900</v>
      </c>
      <c r="E226" t="s">
        <v>1169</v>
      </c>
      <c r="F226">
        <v>1125000</v>
      </c>
      <c r="G226" t="s">
        <v>1170</v>
      </c>
      <c r="H226" t="s">
        <v>1171</v>
      </c>
    </row>
    <row r="227" spans="1:8">
      <c r="A227" t="s">
        <v>1427</v>
      </c>
      <c r="B227">
        <v>20270831</v>
      </c>
      <c r="C227" t="s">
        <v>600</v>
      </c>
      <c r="D227">
        <v>3670</v>
      </c>
      <c r="E227" t="s">
        <v>1169</v>
      </c>
      <c r="F227">
        <v>105820.83</v>
      </c>
      <c r="G227" t="s">
        <v>1170</v>
      </c>
      <c r="H227" t="s">
        <v>1173</v>
      </c>
    </row>
    <row r="228" spans="1:8">
      <c r="A228" t="s">
        <v>1428</v>
      </c>
      <c r="B228">
        <v>20270831</v>
      </c>
      <c r="C228" t="s">
        <v>600</v>
      </c>
      <c r="D228">
        <v>5000</v>
      </c>
      <c r="E228" t="s">
        <v>1169</v>
      </c>
      <c r="F228">
        <v>666666.67000000004</v>
      </c>
      <c r="G228" t="s">
        <v>1170</v>
      </c>
      <c r="H228" t="s">
        <v>1175</v>
      </c>
    </row>
    <row r="229" spans="1:8">
      <c r="A229" t="s">
        <v>1429</v>
      </c>
      <c r="B229">
        <v>20270831</v>
      </c>
      <c r="C229" t="s">
        <v>600</v>
      </c>
      <c r="D229">
        <v>5400</v>
      </c>
      <c r="E229" t="s">
        <v>1169</v>
      </c>
      <c r="F229">
        <v>150000</v>
      </c>
      <c r="G229" t="s">
        <v>1170</v>
      </c>
      <c r="H229" t="s">
        <v>1177</v>
      </c>
    </row>
    <row r="230" spans="1:8">
      <c r="A230" t="s">
        <v>1430</v>
      </c>
      <c r="B230">
        <v>20270831</v>
      </c>
      <c r="C230" t="s">
        <v>600</v>
      </c>
      <c r="D230">
        <v>6420</v>
      </c>
      <c r="E230" t="s">
        <v>1169</v>
      </c>
      <c r="F230">
        <v>208333.33</v>
      </c>
      <c r="G230" t="s">
        <v>1170</v>
      </c>
      <c r="H230" t="s">
        <v>1179</v>
      </c>
    </row>
    <row r="231" spans="1:8">
      <c r="A231" t="s">
        <v>1431</v>
      </c>
      <c r="B231">
        <v>20270831</v>
      </c>
      <c r="C231" t="s">
        <v>600</v>
      </c>
      <c r="D231">
        <v>6700</v>
      </c>
      <c r="E231" t="s">
        <v>1169</v>
      </c>
      <c r="F231">
        <v>100000</v>
      </c>
      <c r="G231" t="s">
        <v>1170</v>
      </c>
      <c r="H231" t="s">
        <v>1181</v>
      </c>
    </row>
    <row r="232" spans="1:8">
      <c r="A232" t="s">
        <v>1432</v>
      </c>
      <c r="B232">
        <v>20270831</v>
      </c>
      <c r="C232" t="s">
        <v>600</v>
      </c>
      <c r="D232">
        <v>1250</v>
      </c>
      <c r="E232" t="s">
        <v>1169</v>
      </c>
      <c r="F232">
        <v>83333.33</v>
      </c>
      <c r="G232" t="s">
        <v>1170</v>
      </c>
      <c r="H232" t="s">
        <v>1183</v>
      </c>
    </row>
    <row r="233" spans="1:8">
      <c r="A233" t="s">
        <v>1433</v>
      </c>
      <c r="B233">
        <v>20270831</v>
      </c>
      <c r="C233" t="s">
        <v>606</v>
      </c>
      <c r="D233">
        <v>3900</v>
      </c>
      <c r="E233" t="s">
        <v>1169</v>
      </c>
      <c r="F233">
        <v>5666666.6699999999</v>
      </c>
      <c r="G233" t="s">
        <v>1170</v>
      </c>
      <c r="H233" t="s">
        <v>1185</v>
      </c>
    </row>
    <row r="234" spans="1:8">
      <c r="A234" t="s">
        <v>1434</v>
      </c>
      <c r="B234">
        <v>20270831</v>
      </c>
      <c r="C234" t="s">
        <v>606</v>
      </c>
      <c r="D234">
        <v>3600</v>
      </c>
      <c r="E234" t="s">
        <v>1169</v>
      </c>
      <c r="F234">
        <v>666666.67000000004</v>
      </c>
      <c r="G234" t="s">
        <v>1170</v>
      </c>
      <c r="H234" t="s">
        <v>1187</v>
      </c>
    </row>
    <row r="235" spans="1:8">
      <c r="A235" t="s">
        <v>1435</v>
      </c>
      <c r="B235">
        <v>20270831</v>
      </c>
      <c r="C235" t="s">
        <v>606</v>
      </c>
      <c r="D235">
        <v>3630</v>
      </c>
      <c r="E235" t="s">
        <v>1169</v>
      </c>
      <c r="F235">
        <v>333333.33</v>
      </c>
      <c r="G235" t="s">
        <v>1170</v>
      </c>
      <c r="H235" t="s">
        <v>1189</v>
      </c>
    </row>
    <row r="236" spans="1:8">
      <c r="A236" t="s">
        <v>1436</v>
      </c>
      <c r="B236">
        <v>20270831</v>
      </c>
      <c r="C236" t="s">
        <v>606</v>
      </c>
      <c r="D236">
        <v>5000</v>
      </c>
      <c r="E236" t="s">
        <v>1169</v>
      </c>
      <c r="F236">
        <v>4000000</v>
      </c>
      <c r="G236" t="s">
        <v>1170</v>
      </c>
      <c r="H236" t="s">
        <v>1191</v>
      </c>
    </row>
    <row r="237" spans="1:8">
      <c r="A237" t="s">
        <v>1437</v>
      </c>
      <c r="B237">
        <v>20270831</v>
      </c>
      <c r="C237" t="s">
        <v>606</v>
      </c>
      <c r="D237">
        <v>5400</v>
      </c>
      <c r="E237" t="s">
        <v>1169</v>
      </c>
      <c r="F237">
        <v>916666.67</v>
      </c>
      <c r="G237" t="s">
        <v>1170</v>
      </c>
      <c r="H237" t="s">
        <v>1193</v>
      </c>
    </row>
    <row r="238" spans="1:8">
      <c r="A238" t="s">
        <v>1438</v>
      </c>
      <c r="B238">
        <v>20270831</v>
      </c>
      <c r="C238" t="s">
        <v>606</v>
      </c>
      <c r="D238">
        <v>6300</v>
      </c>
      <c r="E238" t="s">
        <v>1169</v>
      </c>
      <c r="F238">
        <v>1000000</v>
      </c>
      <c r="G238" t="s">
        <v>1170</v>
      </c>
      <c r="H238" t="s">
        <v>1195</v>
      </c>
    </row>
    <row r="239" spans="1:8">
      <c r="A239" t="s">
        <v>1439</v>
      </c>
      <c r="B239">
        <v>20270831</v>
      </c>
      <c r="C239" t="s">
        <v>606</v>
      </c>
      <c r="D239">
        <v>7130</v>
      </c>
      <c r="E239" t="s">
        <v>1169</v>
      </c>
      <c r="F239">
        <v>333333.33</v>
      </c>
      <c r="G239" t="s">
        <v>1170</v>
      </c>
      <c r="H239" t="s">
        <v>1197</v>
      </c>
    </row>
    <row r="240" spans="1:8">
      <c r="A240" t="s">
        <v>1440</v>
      </c>
      <c r="B240">
        <v>20270831</v>
      </c>
      <c r="C240" t="s">
        <v>606</v>
      </c>
      <c r="D240">
        <v>1250</v>
      </c>
      <c r="E240" t="s">
        <v>1169</v>
      </c>
      <c r="F240">
        <v>250000</v>
      </c>
      <c r="G240" t="s">
        <v>1170</v>
      </c>
      <c r="H240" t="s">
        <v>1199</v>
      </c>
    </row>
    <row r="241" spans="1:8">
      <c r="A241" t="s">
        <v>1441</v>
      </c>
      <c r="B241">
        <v>20270831</v>
      </c>
      <c r="C241" t="s">
        <v>611</v>
      </c>
      <c r="D241">
        <v>3900</v>
      </c>
      <c r="E241" t="s">
        <v>1169</v>
      </c>
      <c r="F241">
        <v>4833333.33</v>
      </c>
      <c r="G241" t="s">
        <v>1170</v>
      </c>
      <c r="H241" t="s">
        <v>1201</v>
      </c>
    </row>
    <row r="242" spans="1:8">
      <c r="A242" t="s">
        <v>1442</v>
      </c>
      <c r="B242">
        <v>20270831</v>
      </c>
      <c r="C242" t="s">
        <v>611</v>
      </c>
      <c r="D242">
        <v>3400</v>
      </c>
      <c r="E242" t="s">
        <v>1169</v>
      </c>
      <c r="F242">
        <v>333333.33</v>
      </c>
      <c r="G242" t="s">
        <v>1170</v>
      </c>
      <c r="H242" t="s">
        <v>1203</v>
      </c>
    </row>
    <row r="243" spans="1:8">
      <c r="A243" t="s">
        <v>1443</v>
      </c>
      <c r="B243">
        <v>20270831</v>
      </c>
      <c r="C243" t="s">
        <v>611</v>
      </c>
      <c r="D243">
        <v>5000</v>
      </c>
      <c r="E243" t="s">
        <v>1169</v>
      </c>
      <c r="F243">
        <v>3166666.67</v>
      </c>
      <c r="G243" t="s">
        <v>1170</v>
      </c>
      <c r="H243" t="s">
        <v>1205</v>
      </c>
    </row>
    <row r="244" spans="1:8">
      <c r="A244" t="s">
        <v>1444</v>
      </c>
      <c r="B244">
        <v>20270831</v>
      </c>
      <c r="C244" t="s">
        <v>611</v>
      </c>
      <c r="D244">
        <v>5400</v>
      </c>
      <c r="E244" t="s">
        <v>1169</v>
      </c>
      <c r="F244">
        <v>733333.33</v>
      </c>
      <c r="G244" t="s">
        <v>1170</v>
      </c>
      <c r="H244" t="s">
        <v>1207</v>
      </c>
    </row>
    <row r="245" spans="1:8">
      <c r="A245" t="s">
        <v>1445</v>
      </c>
      <c r="B245">
        <v>20270831</v>
      </c>
      <c r="C245" t="s">
        <v>611</v>
      </c>
      <c r="D245">
        <v>6300</v>
      </c>
      <c r="E245" t="s">
        <v>1169</v>
      </c>
      <c r="F245">
        <v>833333.33</v>
      </c>
      <c r="G245" t="s">
        <v>1170</v>
      </c>
      <c r="H245" t="s">
        <v>1209</v>
      </c>
    </row>
    <row r="246" spans="1:8">
      <c r="A246" t="s">
        <v>1446</v>
      </c>
      <c r="B246">
        <v>20270831</v>
      </c>
      <c r="C246" t="s">
        <v>611</v>
      </c>
      <c r="D246">
        <v>7130</v>
      </c>
      <c r="E246" t="s">
        <v>1169</v>
      </c>
      <c r="F246">
        <v>183333.33</v>
      </c>
      <c r="G246" t="s">
        <v>1170</v>
      </c>
      <c r="H246" t="s">
        <v>1211</v>
      </c>
    </row>
    <row r="247" spans="1:8">
      <c r="A247" t="s">
        <v>1447</v>
      </c>
      <c r="B247">
        <v>20270831</v>
      </c>
      <c r="C247" t="s">
        <v>611</v>
      </c>
      <c r="D247">
        <v>1250</v>
      </c>
      <c r="E247" t="s">
        <v>1169</v>
      </c>
      <c r="F247">
        <v>166666.67000000001</v>
      </c>
      <c r="G247" t="s">
        <v>1170</v>
      </c>
      <c r="H247" t="s">
        <v>1213</v>
      </c>
    </row>
    <row r="248" spans="1:8">
      <c r="A248" t="s">
        <v>1448</v>
      </c>
      <c r="B248">
        <v>20270831</v>
      </c>
      <c r="C248" t="s">
        <v>616</v>
      </c>
      <c r="D248">
        <v>3900</v>
      </c>
      <c r="E248" t="s">
        <v>1169</v>
      </c>
      <c r="F248">
        <v>9358345.8300000001</v>
      </c>
      <c r="G248" t="s">
        <v>1170</v>
      </c>
      <c r="H248" t="s">
        <v>1215</v>
      </c>
    </row>
    <row r="249" spans="1:8">
      <c r="A249" t="s">
        <v>1449</v>
      </c>
      <c r="B249">
        <v>20270831</v>
      </c>
      <c r="C249" t="s">
        <v>616</v>
      </c>
      <c r="D249">
        <v>3400</v>
      </c>
      <c r="E249" t="s">
        <v>1169</v>
      </c>
      <c r="F249">
        <v>1000000</v>
      </c>
      <c r="G249" t="s">
        <v>1170</v>
      </c>
      <c r="H249" t="s">
        <v>1217</v>
      </c>
    </row>
    <row r="250" spans="1:8">
      <c r="A250" t="s">
        <v>1450</v>
      </c>
      <c r="B250">
        <v>20270831</v>
      </c>
      <c r="C250" t="s">
        <v>616</v>
      </c>
      <c r="D250">
        <v>3420</v>
      </c>
      <c r="E250" t="s">
        <v>1169</v>
      </c>
      <c r="F250">
        <v>333333.33</v>
      </c>
      <c r="G250" t="s">
        <v>1170</v>
      </c>
      <c r="H250" t="s">
        <v>1219</v>
      </c>
    </row>
    <row r="251" spans="1:8">
      <c r="A251" t="s">
        <v>1451</v>
      </c>
      <c r="B251">
        <v>20270831</v>
      </c>
      <c r="C251" t="s">
        <v>616</v>
      </c>
      <c r="D251">
        <v>3630</v>
      </c>
      <c r="E251" t="s">
        <v>1169</v>
      </c>
      <c r="F251">
        <v>83333.33</v>
      </c>
      <c r="G251" t="s">
        <v>1170</v>
      </c>
      <c r="H251" t="s">
        <v>1221</v>
      </c>
    </row>
    <row r="252" spans="1:8">
      <c r="A252" t="s">
        <v>1452</v>
      </c>
      <c r="B252">
        <v>20270831</v>
      </c>
      <c r="C252" t="s">
        <v>616</v>
      </c>
      <c r="D252">
        <v>5000</v>
      </c>
      <c r="E252" t="s">
        <v>1169</v>
      </c>
      <c r="F252">
        <v>5116666.67</v>
      </c>
      <c r="G252" t="s">
        <v>1170</v>
      </c>
      <c r="H252" t="s">
        <v>1223</v>
      </c>
    </row>
    <row r="253" spans="1:8">
      <c r="A253" t="s">
        <v>1453</v>
      </c>
      <c r="B253">
        <v>20270831</v>
      </c>
      <c r="C253" t="s">
        <v>616</v>
      </c>
      <c r="D253">
        <v>5400</v>
      </c>
      <c r="E253" t="s">
        <v>1169</v>
      </c>
      <c r="F253">
        <v>1166666.67</v>
      </c>
      <c r="G253" t="s">
        <v>1170</v>
      </c>
      <c r="H253" t="s">
        <v>1225</v>
      </c>
    </row>
    <row r="254" spans="1:8">
      <c r="A254" t="s">
        <v>1454</v>
      </c>
      <c r="B254">
        <v>20270831</v>
      </c>
      <c r="C254" t="s">
        <v>616</v>
      </c>
      <c r="D254">
        <v>6300</v>
      </c>
      <c r="E254" t="s">
        <v>1169</v>
      </c>
      <c r="F254">
        <v>1666666.67</v>
      </c>
      <c r="G254" t="s">
        <v>1170</v>
      </c>
      <c r="H254" t="s">
        <v>1227</v>
      </c>
    </row>
    <row r="255" spans="1:8">
      <c r="A255" t="s">
        <v>1455</v>
      </c>
      <c r="B255">
        <v>20270831</v>
      </c>
      <c r="C255" t="s">
        <v>616</v>
      </c>
      <c r="D255">
        <v>6420</v>
      </c>
      <c r="E255" t="s">
        <v>1169</v>
      </c>
      <c r="F255">
        <v>341666.67</v>
      </c>
      <c r="G255" t="s">
        <v>1170</v>
      </c>
      <c r="H255" t="s">
        <v>1229</v>
      </c>
    </row>
    <row r="256" spans="1:8">
      <c r="A256" t="s">
        <v>1456</v>
      </c>
      <c r="B256">
        <v>20270831</v>
      </c>
      <c r="C256" t="s">
        <v>616</v>
      </c>
      <c r="D256">
        <v>7130</v>
      </c>
      <c r="E256" t="s">
        <v>1169</v>
      </c>
      <c r="F256">
        <v>250000</v>
      </c>
      <c r="G256" t="s">
        <v>1170</v>
      </c>
      <c r="H256" t="s">
        <v>1231</v>
      </c>
    </row>
    <row r="257" spans="1:8">
      <c r="A257" t="s">
        <v>1457</v>
      </c>
      <c r="B257">
        <v>20270831</v>
      </c>
      <c r="C257" t="s">
        <v>616</v>
      </c>
      <c r="D257">
        <v>1250</v>
      </c>
      <c r="E257" t="s">
        <v>1169</v>
      </c>
      <c r="F257">
        <v>2166666.67</v>
      </c>
      <c r="G257" t="s">
        <v>1170</v>
      </c>
      <c r="H257" t="s">
        <v>1233</v>
      </c>
    </row>
    <row r="258" spans="1:8">
      <c r="A258" t="s">
        <v>1458</v>
      </c>
      <c r="B258">
        <v>20270930</v>
      </c>
      <c r="C258" t="s">
        <v>600</v>
      </c>
      <c r="D258">
        <v>3900</v>
      </c>
      <c r="E258" t="s">
        <v>1169</v>
      </c>
      <c r="F258">
        <v>1125000</v>
      </c>
      <c r="G258" t="s">
        <v>1170</v>
      </c>
      <c r="H258" t="s">
        <v>1171</v>
      </c>
    </row>
    <row r="259" spans="1:8">
      <c r="A259" t="s">
        <v>1459</v>
      </c>
      <c r="B259">
        <v>20270930</v>
      </c>
      <c r="C259" t="s">
        <v>600</v>
      </c>
      <c r="D259">
        <v>3670</v>
      </c>
      <c r="E259" t="s">
        <v>1169</v>
      </c>
      <c r="F259">
        <v>105820.83</v>
      </c>
      <c r="G259" t="s">
        <v>1170</v>
      </c>
      <c r="H259" t="s">
        <v>1173</v>
      </c>
    </row>
    <row r="260" spans="1:8">
      <c r="A260" t="s">
        <v>1460</v>
      </c>
      <c r="B260">
        <v>20270930</v>
      </c>
      <c r="C260" t="s">
        <v>600</v>
      </c>
      <c r="D260">
        <v>5000</v>
      </c>
      <c r="E260" t="s">
        <v>1169</v>
      </c>
      <c r="F260">
        <v>666666.67000000004</v>
      </c>
      <c r="G260" t="s">
        <v>1170</v>
      </c>
      <c r="H260" t="s">
        <v>1175</v>
      </c>
    </row>
    <row r="261" spans="1:8">
      <c r="A261" t="s">
        <v>1461</v>
      </c>
      <c r="B261">
        <v>20270930</v>
      </c>
      <c r="C261" t="s">
        <v>600</v>
      </c>
      <c r="D261">
        <v>5400</v>
      </c>
      <c r="E261" t="s">
        <v>1169</v>
      </c>
      <c r="F261">
        <v>150000</v>
      </c>
      <c r="G261" t="s">
        <v>1170</v>
      </c>
      <c r="H261" t="s">
        <v>1177</v>
      </c>
    </row>
    <row r="262" spans="1:8">
      <c r="A262" t="s">
        <v>1462</v>
      </c>
      <c r="B262">
        <v>20270930</v>
      </c>
      <c r="C262" t="s">
        <v>600</v>
      </c>
      <c r="D262">
        <v>6420</v>
      </c>
      <c r="E262" t="s">
        <v>1169</v>
      </c>
      <c r="F262">
        <v>208333.33</v>
      </c>
      <c r="G262" t="s">
        <v>1170</v>
      </c>
      <c r="H262" t="s">
        <v>1179</v>
      </c>
    </row>
    <row r="263" spans="1:8">
      <c r="A263" t="s">
        <v>1463</v>
      </c>
      <c r="B263">
        <v>20270930</v>
      </c>
      <c r="C263" t="s">
        <v>600</v>
      </c>
      <c r="D263">
        <v>6700</v>
      </c>
      <c r="E263" t="s">
        <v>1169</v>
      </c>
      <c r="F263">
        <v>100000</v>
      </c>
      <c r="G263" t="s">
        <v>1170</v>
      </c>
      <c r="H263" t="s">
        <v>1181</v>
      </c>
    </row>
    <row r="264" spans="1:8">
      <c r="A264" t="s">
        <v>1464</v>
      </c>
      <c r="B264">
        <v>20270930</v>
      </c>
      <c r="C264" t="s">
        <v>600</v>
      </c>
      <c r="D264">
        <v>1250</v>
      </c>
      <c r="E264" t="s">
        <v>1169</v>
      </c>
      <c r="F264">
        <v>83333.33</v>
      </c>
      <c r="G264" t="s">
        <v>1170</v>
      </c>
      <c r="H264" t="s">
        <v>1183</v>
      </c>
    </row>
    <row r="265" spans="1:8">
      <c r="A265" t="s">
        <v>1465</v>
      </c>
      <c r="B265">
        <v>20270930</v>
      </c>
      <c r="C265" t="s">
        <v>606</v>
      </c>
      <c r="D265">
        <v>3900</v>
      </c>
      <c r="E265" t="s">
        <v>1169</v>
      </c>
      <c r="F265">
        <v>5666666.6699999999</v>
      </c>
      <c r="G265" t="s">
        <v>1170</v>
      </c>
      <c r="H265" t="s">
        <v>1185</v>
      </c>
    </row>
    <row r="266" spans="1:8">
      <c r="A266" t="s">
        <v>1466</v>
      </c>
      <c r="B266">
        <v>20270930</v>
      </c>
      <c r="C266" t="s">
        <v>606</v>
      </c>
      <c r="D266">
        <v>3600</v>
      </c>
      <c r="E266" t="s">
        <v>1169</v>
      </c>
      <c r="F266">
        <v>666666.67000000004</v>
      </c>
      <c r="G266" t="s">
        <v>1170</v>
      </c>
      <c r="H266" t="s">
        <v>1187</v>
      </c>
    </row>
    <row r="267" spans="1:8">
      <c r="A267" t="s">
        <v>1467</v>
      </c>
      <c r="B267">
        <v>20270930</v>
      </c>
      <c r="C267" t="s">
        <v>606</v>
      </c>
      <c r="D267">
        <v>3630</v>
      </c>
      <c r="E267" t="s">
        <v>1169</v>
      </c>
      <c r="F267">
        <v>333333.33</v>
      </c>
      <c r="G267" t="s">
        <v>1170</v>
      </c>
      <c r="H267" t="s">
        <v>1189</v>
      </c>
    </row>
    <row r="268" spans="1:8">
      <c r="A268" t="s">
        <v>1468</v>
      </c>
      <c r="B268">
        <v>20270930</v>
      </c>
      <c r="C268" t="s">
        <v>606</v>
      </c>
      <c r="D268">
        <v>5000</v>
      </c>
      <c r="E268" t="s">
        <v>1169</v>
      </c>
      <c r="F268">
        <v>4000000</v>
      </c>
      <c r="G268" t="s">
        <v>1170</v>
      </c>
      <c r="H268" t="s">
        <v>1191</v>
      </c>
    </row>
    <row r="269" spans="1:8">
      <c r="A269" t="s">
        <v>1469</v>
      </c>
      <c r="B269">
        <v>20270930</v>
      </c>
      <c r="C269" t="s">
        <v>606</v>
      </c>
      <c r="D269">
        <v>5400</v>
      </c>
      <c r="E269" t="s">
        <v>1169</v>
      </c>
      <c r="F269">
        <v>916666.67</v>
      </c>
      <c r="G269" t="s">
        <v>1170</v>
      </c>
      <c r="H269" t="s">
        <v>1193</v>
      </c>
    </row>
    <row r="270" spans="1:8">
      <c r="A270" t="s">
        <v>1470</v>
      </c>
      <c r="B270">
        <v>20270930</v>
      </c>
      <c r="C270" t="s">
        <v>606</v>
      </c>
      <c r="D270">
        <v>6300</v>
      </c>
      <c r="E270" t="s">
        <v>1169</v>
      </c>
      <c r="F270">
        <v>1000000</v>
      </c>
      <c r="G270" t="s">
        <v>1170</v>
      </c>
      <c r="H270" t="s">
        <v>1195</v>
      </c>
    </row>
    <row r="271" spans="1:8">
      <c r="A271" t="s">
        <v>1471</v>
      </c>
      <c r="B271">
        <v>20270930</v>
      </c>
      <c r="C271" t="s">
        <v>606</v>
      </c>
      <c r="D271">
        <v>7130</v>
      </c>
      <c r="E271" t="s">
        <v>1169</v>
      </c>
      <c r="F271">
        <v>333333.33</v>
      </c>
      <c r="G271" t="s">
        <v>1170</v>
      </c>
      <c r="H271" t="s">
        <v>1197</v>
      </c>
    </row>
    <row r="272" spans="1:8">
      <c r="A272" t="s">
        <v>1472</v>
      </c>
      <c r="B272">
        <v>20270930</v>
      </c>
      <c r="C272" t="s">
        <v>606</v>
      </c>
      <c r="D272">
        <v>1250</v>
      </c>
      <c r="E272" t="s">
        <v>1169</v>
      </c>
      <c r="F272">
        <v>250000</v>
      </c>
      <c r="G272" t="s">
        <v>1170</v>
      </c>
      <c r="H272" t="s">
        <v>1199</v>
      </c>
    </row>
    <row r="273" spans="1:8">
      <c r="A273" t="s">
        <v>1473</v>
      </c>
      <c r="B273">
        <v>20270930</v>
      </c>
      <c r="C273" t="s">
        <v>611</v>
      </c>
      <c r="D273">
        <v>3900</v>
      </c>
      <c r="E273" t="s">
        <v>1169</v>
      </c>
      <c r="F273">
        <v>4833333.33</v>
      </c>
      <c r="G273" t="s">
        <v>1170</v>
      </c>
      <c r="H273" t="s">
        <v>1201</v>
      </c>
    </row>
    <row r="274" spans="1:8">
      <c r="A274" t="s">
        <v>1474</v>
      </c>
      <c r="B274">
        <v>20270930</v>
      </c>
      <c r="C274" t="s">
        <v>611</v>
      </c>
      <c r="D274">
        <v>3400</v>
      </c>
      <c r="E274" t="s">
        <v>1169</v>
      </c>
      <c r="F274">
        <v>333333.33</v>
      </c>
      <c r="G274" t="s">
        <v>1170</v>
      </c>
      <c r="H274" t="s">
        <v>1203</v>
      </c>
    </row>
    <row r="275" spans="1:8">
      <c r="A275" t="s">
        <v>1475</v>
      </c>
      <c r="B275">
        <v>20270930</v>
      </c>
      <c r="C275" t="s">
        <v>611</v>
      </c>
      <c r="D275">
        <v>5000</v>
      </c>
      <c r="E275" t="s">
        <v>1169</v>
      </c>
      <c r="F275">
        <v>3166666.67</v>
      </c>
      <c r="G275" t="s">
        <v>1170</v>
      </c>
      <c r="H275" t="s">
        <v>1205</v>
      </c>
    </row>
    <row r="276" spans="1:8">
      <c r="A276" t="s">
        <v>1476</v>
      </c>
      <c r="B276">
        <v>20270930</v>
      </c>
      <c r="C276" t="s">
        <v>611</v>
      </c>
      <c r="D276">
        <v>5400</v>
      </c>
      <c r="E276" t="s">
        <v>1169</v>
      </c>
      <c r="F276">
        <v>733333.33</v>
      </c>
      <c r="G276" t="s">
        <v>1170</v>
      </c>
      <c r="H276" t="s">
        <v>1207</v>
      </c>
    </row>
    <row r="277" spans="1:8">
      <c r="A277" t="s">
        <v>1477</v>
      </c>
      <c r="B277">
        <v>20270930</v>
      </c>
      <c r="C277" t="s">
        <v>611</v>
      </c>
      <c r="D277">
        <v>6300</v>
      </c>
      <c r="E277" t="s">
        <v>1169</v>
      </c>
      <c r="F277">
        <v>833333.33</v>
      </c>
      <c r="G277" t="s">
        <v>1170</v>
      </c>
      <c r="H277" t="s">
        <v>1209</v>
      </c>
    </row>
    <row r="278" spans="1:8">
      <c r="A278" t="s">
        <v>1478</v>
      </c>
      <c r="B278">
        <v>20270930</v>
      </c>
      <c r="C278" t="s">
        <v>611</v>
      </c>
      <c r="D278">
        <v>7130</v>
      </c>
      <c r="E278" t="s">
        <v>1169</v>
      </c>
      <c r="F278">
        <v>183333.33</v>
      </c>
      <c r="G278" t="s">
        <v>1170</v>
      </c>
      <c r="H278" t="s">
        <v>1211</v>
      </c>
    </row>
    <row r="279" spans="1:8">
      <c r="A279" t="s">
        <v>1479</v>
      </c>
      <c r="B279">
        <v>20270930</v>
      </c>
      <c r="C279" t="s">
        <v>611</v>
      </c>
      <c r="D279">
        <v>1250</v>
      </c>
      <c r="E279" t="s">
        <v>1169</v>
      </c>
      <c r="F279">
        <v>166666.67000000001</v>
      </c>
      <c r="G279" t="s">
        <v>1170</v>
      </c>
      <c r="H279" t="s">
        <v>1213</v>
      </c>
    </row>
    <row r="280" spans="1:8">
      <c r="A280" t="s">
        <v>1480</v>
      </c>
      <c r="B280">
        <v>20270930</v>
      </c>
      <c r="C280" t="s">
        <v>616</v>
      </c>
      <c r="D280">
        <v>3900</v>
      </c>
      <c r="E280" t="s">
        <v>1169</v>
      </c>
      <c r="F280">
        <v>9358345.8300000001</v>
      </c>
      <c r="G280" t="s">
        <v>1170</v>
      </c>
      <c r="H280" t="s">
        <v>1215</v>
      </c>
    </row>
    <row r="281" spans="1:8">
      <c r="A281" t="s">
        <v>1481</v>
      </c>
      <c r="B281">
        <v>20270930</v>
      </c>
      <c r="C281" t="s">
        <v>616</v>
      </c>
      <c r="D281">
        <v>3400</v>
      </c>
      <c r="E281" t="s">
        <v>1169</v>
      </c>
      <c r="F281">
        <v>1000000</v>
      </c>
      <c r="G281" t="s">
        <v>1170</v>
      </c>
      <c r="H281" t="s">
        <v>1217</v>
      </c>
    </row>
    <row r="282" spans="1:8">
      <c r="A282" t="s">
        <v>1482</v>
      </c>
      <c r="B282">
        <v>20270930</v>
      </c>
      <c r="C282" t="s">
        <v>616</v>
      </c>
      <c r="D282">
        <v>3420</v>
      </c>
      <c r="E282" t="s">
        <v>1169</v>
      </c>
      <c r="F282">
        <v>333333.33</v>
      </c>
      <c r="G282" t="s">
        <v>1170</v>
      </c>
      <c r="H282" t="s">
        <v>1219</v>
      </c>
    </row>
    <row r="283" spans="1:8">
      <c r="A283" t="s">
        <v>1483</v>
      </c>
      <c r="B283">
        <v>20270930</v>
      </c>
      <c r="C283" t="s">
        <v>616</v>
      </c>
      <c r="D283">
        <v>3630</v>
      </c>
      <c r="E283" t="s">
        <v>1169</v>
      </c>
      <c r="F283">
        <v>83333.33</v>
      </c>
      <c r="G283" t="s">
        <v>1170</v>
      </c>
      <c r="H283" t="s">
        <v>1221</v>
      </c>
    </row>
    <row r="284" spans="1:8">
      <c r="A284" t="s">
        <v>1484</v>
      </c>
      <c r="B284">
        <v>20270930</v>
      </c>
      <c r="C284" t="s">
        <v>616</v>
      </c>
      <c r="D284">
        <v>5000</v>
      </c>
      <c r="E284" t="s">
        <v>1169</v>
      </c>
      <c r="F284">
        <v>5116666.67</v>
      </c>
      <c r="G284" t="s">
        <v>1170</v>
      </c>
      <c r="H284" t="s">
        <v>1223</v>
      </c>
    </row>
    <row r="285" spans="1:8">
      <c r="A285" t="s">
        <v>1485</v>
      </c>
      <c r="B285">
        <v>20270930</v>
      </c>
      <c r="C285" t="s">
        <v>616</v>
      </c>
      <c r="D285">
        <v>5400</v>
      </c>
      <c r="E285" t="s">
        <v>1169</v>
      </c>
      <c r="F285">
        <v>1166666.67</v>
      </c>
      <c r="G285" t="s">
        <v>1170</v>
      </c>
      <c r="H285" t="s">
        <v>1225</v>
      </c>
    </row>
    <row r="286" spans="1:8">
      <c r="A286" t="s">
        <v>1486</v>
      </c>
      <c r="B286">
        <v>20270930</v>
      </c>
      <c r="C286" t="s">
        <v>616</v>
      </c>
      <c r="D286">
        <v>6300</v>
      </c>
      <c r="E286" t="s">
        <v>1169</v>
      </c>
      <c r="F286">
        <v>1666666.67</v>
      </c>
      <c r="G286" t="s">
        <v>1170</v>
      </c>
      <c r="H286" t="s">
        <v>1227</v>
      </c>
    </row>
    <row r="287" spans="1:8">
      <c r="A287" t="s">
        <v>1487</v>
      </c>
      <c r="B287">
        <v>20270930</v>
      </c>
      <c r="C287" t="s">
        <v>616</v>
      </c>
      <c r="D287">
        <v>6420</v>
      </c>
      <c r="E287" t="s">
        <v>1169</v>
      </c>
      <c r="F287">
        <v>341666.67</v>
      </c>
      <c r="G287" t="s">
        <v>1170</v>
      </c>
      <c r="H287" t="s">
        <v>1229</v>
      </c>
    </row>
    <row r="288" spans="1:8">
      <c r="A288" t="s">
        <v>1488</v>
      </c>
      <c r="B288">
        <v>20270930</v>
      </c>
      <c r="C288" t="s">
        <v>616</v>
      </c>
      <c r="D288">
        <v>7130</v>
      </c>
      <c r="E288" t="s">
        <v>1169</v>
      </c>
      <c r="F288">
        <v>250000</v>
      </c>
      <c r="G288" t="s">
        <v>1170</v>
      </c>
      <c r="H288" t="s">
        <v>1231</v>
      </c>
    </row>
    <row r="289" spans="1:8">
      <c r="A289" t="s">
        <v>1489</v>
      </c>
      <c r="B289">
        <v>20270930</v>
      </c>
      <c r="C289" t="s">
        <v>616</v>
      </c>
      <c r="D289">
        <v>1250</v>
      </c>
      <c r="E289" t="s">
        <v>1169</v>
      </c>
      <c r="F289">
        <v>2166666.67</v>
      </c>
      <c r="G289" t="s">
        <v>1170</v>
      </c>
      <c r="H289" t="s">
        <v>1233</v>
      </c>
    </row>
    <row r="290" spans="1:8">
      <c r="A290" t="s">
        <v>1490</v>
      </c>
      <c r="B290">
        <v>20271031</v>
      </c>
      <c r="C290" t="s">
        <v>600</v>
      </c>
      <c r="D290">
        <v>3900</v>
      </c>
      <c r="E290" t="s">
        <v>1169</v>
      </c>
      <c r="F290">
        <v>1125000</v>
      </c>
      <c r="G290" t="s">
        <v>1170</v>
      </c>
      <c r="H290" t="s">
        <v>1171</v>
      </c>
    </row>
    <row r="291" spans="1:8">
      <c r="A291" t="s">
        <v>1491</v>
      </c>
      <c r="B291">
        <v>20271031</v>
      </c>
      <c r="C291" t="s">
        <v>600</v>
      </c>
      <c r="D291">
        <v>3670</v>
      </c>
      <c r="E291" t="s">
        <v>1169</v>
      </c>
      <c r="F291">
        <v>105820.83</v>
      </c>
      <c r="G291" t="s">
        <v>1170</v>
      </c>
      <c r="H291" t="s">
        <v>1173</v>
      </c>
    </row>
    <row r="292" spans="1:8">
      <c r="A292" t="s">
        <v>1492</v>
      </c>
      <c r="B292">
        <v>20271031</v>
      </c>
      <c r="C292" t="s">
        <v>600</v>
      </c>
      <c r="D292">
        <v>5000</v>
      </c>
      <c r="E292" t="s">
        <v>1169</v>
      </c>
      <c r="F292">
        <v>666666.67000000004</v>
      </c>
      <c r="G292" t="s">
        <v>1170</v>
      </c>
      <c r="H292" t="s">
        <v>1175</v>
      </c>
    </row>
    <row r="293" spans="1:8">
      <c r="A293" t="s">
        <v>1493</v>
      </c>
      <c r="B293">
        <v>20271031</v>
      </c>
      <c r="C293" t="s">
        <v>600</v>
      </c>
      <c r="D293">
        <v>5400</v>
      </c>
      <c r="E293" t="s">
        <v>1169</v>
      </c>
      <c r="F293">
        <v>150000</v>
      </c>
      <c r="G293" t="s">
        <v>1170</v>
      </c>
      <c r="H293" t="s">
        <v>1177</v>
      </c>
    </row>
    <row r="294" spans="1:8">
      <c r="A294" t="s">
        <v>1494</v>
      </c>
      <c r="B294">
        <v>20271031</v>
      </c>
      <c r="C294" t="s">
        <v>600</v>
      </c>
      <c r="D294">
        <v>6420</v>
      </c>
      <c r="E294" t="s">
        <v>1169</v>
      </c>
      <c r="F294">
        <v>208333.33</v>
      </c>
      <c r="G294" t="s">
        <v>1170</v>
      </c>
      <c r="H294" t="s">
        <v>1179</v>
      </c>
    </row>
    <row r="295" spans="1:8">
      <c r="A295" t="s">
        <v>1495</v>
      </c>
      <c r="B295">
        <v>20271031</v>
      </c>
      <c r="C295" t="s">
        <v>600</v>
      </c>
      <c r="D295">
        <v>6700</v>
      </c>
      <c r="E295" t="s">
        <v>1169</v>
      </c>
      <c r="F295">
        <v>100000</v>
      </c>
      <c r="G295" t="s">
        <v>1170</v>
      </c>
      <c r="H295" t="s">
        <v>1181</v>
      </c>
    </row>
    <row r="296" spans="1:8">
      <c r="A296" t="s">
        <v>1496</v>
      </c>
      <c r="B296">
        <v>20271031</v>
      </c>
      <c r="C296" t="s">
        <v>600</v>
      </c>
      <c r="D296">
        <v>1250</v>
      </c>
      <c r="E296" t="s">
        <v>1169</v>
      </c>
      <c r="F296">
        <v>83333.33</v>
      </c>
      <c r="G296" t="s">
        <v>1170</v>
      </c>
      <c r="H296" t="s">
        <v>1183</v>
      </c>
    </row>
    <row r="297" spans="1:8">
      <c r="A297" t="s">
        <v>1497</v>
      </c>
      <c r="B297">
        <v>20271031</v>
      </c>
      <c r="C297" t="s">
        <v>606</v>
      </c>
      <c r="D297">
        <v>3900</v>
      </c>
      <c r="E297" t="s">
        <v>1169</v>
      </c>
      <c r="F297">
        <v>5666666.6699999999</v>
      </c>
      <c r="G297" t="s">
        <v>1170</v>
      </c>
      <c r="H297" t="s">
        <v>1185</v>
      </c>
    </row>
    <row r="298" spans="1:8">
      <c r="A298" t="s">
        <v>1498</v>
      </c>
      <c r="B298">
        <v>20271031</v>
      </c>
      <c r="C298" t="s">
        <v>606</v>
      </c>
      <c r="D298">
        <v>3600</v>
      </c>
      <c r="E298" t="s">
        <v>1169</v>
      </c>
      <c r="F298">
        <v>666666.67000000004</v>
      </c>
      <c r="G298" t="s">
        <v>1170</v>
      </c>
      <c r="H298" t="s">
        <v>1187</v>
      </c>
    </row>
    <row r="299" spans="1:8">
      <c r="A299" t="s">
        <v>1499</v>
      </c>
      <c r="B299">
        <v>20271031</v>
      </c>
      <c r="C299" t="s">
        <v>606</v>
      </c>
      <c r="D299">
        <v>3630</v>
      </c>
      <c r="E299" t="s">
        <v>1169</v>
      </c>
      <c r="F299">
        <v>333333.33</v>
      </c>
      <c r="G299" t="s">
        <v>1170</v>
      </c>
      <c r="H299" t="s">
        <v>1189</v>
      </c>
    </row>
    <row r="300" spans="1:8">
      <c r="A300" t="s">
        <v>1500</v>
      </c>
      <c r="B300">
        <v>20271031</v>
      </c>
      <c r="C300" t="s">
        <v>606</v>
      </c>
      <c r="D300">
        <v>5000</v>
      </c>
      <c r="E300" t="s">
        <v>1169</v>
      </c>
      <c r="F300">
        <v>4000000</v>
      </c>
      <c r="G300" t="s">
        <v>1170</v>
      </c>
      <c r="H300" t="s">
        <v>1191</v>
      </c>
    </row>
    <row r="301" spans="1:8">
      <c r="A301" t="s">
        <v>1501</v>
      </c>
      <c r="B301">
        <v>20271031</v>
      </c>
      <c r="C301" t="s">
        <v>606</v>
      </c>
      <c r="D301">
        <v>5400</v>
      </c>
      <c r="E301" t="s">
        <v>1169</v>
      </c>
      <c r="F301">
        <v>916666.67</v>
      </c>
      <c r="G301" t="s">
        <v>1170</v>
      </c>
      <c r="H301" t="s">
        <v>1193</v>
      </c>
    </row>
    <row r="302" spans="1:8">
      <c r="A302" t="s">
        <v>1502</v>
      </c>
      <c r="B302">
        <v>20271031</v>
      </c>
      <c r="C302" t="s">
        <v>606</v>
      </c>
      <c r="D302">
        <v>6300</v>
      </c>
      <c r="E302" t="s">
        <v>1169</v>
      </c>
      <c r="F302">
        <v>1000000</v>
      </c>
      <c r="G302" t="s">
        <v>1170</v>
      </c>
      <c r="H302" t="s">
        <v>1195</v>
      </c>
    </row>
    <row r="303" spans="1:8">
      <c r="A303" t="s">
        <v>1503</v>
      </c>
      <c r="B303">
        <v>20271031</v>
      </c>
      <c r="C303" t="s">
        <v>606</v>
      </c>
      <c r="D303">
        <v>7130</v>
      </c>
      <c r="E303" t="s">
        <v>1169</v>
      </c>
      <c r="F303">
        <v>333333.33</v>
      </c>
      <c r="G303" t="s">
        <v>1170</v>
      </c>
      <c r="H303" t="s">
        <v>1197</v>
      </c>
    </row>
    <row r="304" spans="1:8">
      <c r="A304" t="s">
        <v>1504</v>
      </c>
      <c r="B304">
        <v>20271031</v>
      </c>
      <c r="C304" t="s">
        <v>606</v>
      </c>
      <c r="D304">
        <v>1250</v>
      </c>
      <c r="E304" t="s">
        <v>1169</v>
      </c>
      <c r="F304">
        <v>250000</v>
      </c>
      <c r="G304" t="s">
        <v>1170</v>
      </c>
      <c r="H304" t="s">
        <v>1199</v>
      </c>
    </row>
    <row r="305" spans="1:8">
      <c r="A305" t="s">
        <v>1505</v>
      </c>
      <c r="B305">
        <v>20271031</v>
      </c>
      <c r="C305" t="s">
        <v>611</v>
      </c>
      <c r="D305">
        <v>3900</v>
      </c>
      <c r="E305" t="s">
        <v>1169</v>
      </c>
      <c r="F305">
        <v>4833333.33</v>
      </c>
      <c r="G305" t="s">
        <v>1170</v>
      </c>
      <c r="H305" t="s">
        <v>1201</v>
      </c>
    </row>
    <row r="306" spans="1:8">
      <c r="A306" t="s">
        <v>1506</v>
      </c>
      <c r="B306">
        <v>20271031</v>
      </c>
      <c r="C306" t="s">
        <v>611</v>
      </c>
      <c r="D306">
        <v>3400</v>
      </c>
      <c r="E306" t="s">
        <v>1169</v>
      </c>
      <c r="F306">
        <v>333333.33</v>
      </c>
      <c r="G306" t="s">
        <v>1170</v>
      </c>
      <c r="H306" t="s">
        <v>1203</v>
      </c>
    </row>
    <row r="307" spans="1:8">
      <c r="A307" t="s">
        <v>1507</v>
      </c>
      <c r="B307">
        <v>20271031</v>
      </c>
      <c r="C307" t="s">
        <v>611</v>
      </c>
      <c r="D307">
        <v>5000</v>
      </c>
      <c r="E307" t="s">
        <v>1169</v>
      </c>
      <c r="F307">
        <v>3166666.67</v>
      </c>
      <c r="G307" t="s">
        <v>1170</v>
      </c>
      <c r="H307" t="s">
        <v>1205</v>
      </c>
    </row>
    <row r="308" spans="1:8">
      <c r="A308" t="s">
        <v>1508</v>
      </c>
      <c r="B308">
        <v>20271031</v>
      </c>
      <c r="C308" t="s">
        <v>611</v>
      </c>
      <c r="D308">
        <v>5400</v>
      </c>
      <c r="E308" t="s">
        <v>1169</v>
      </c>
      <c r="F308">
        <v>733333.33</v>
      </c>
      <c r="G308" t="s">
        <v>1170</v>
      </c>
      <c r="H308" t="s">
        <v>1207</v>
      </c>
    </row>
    <row r="309" spans="1:8">
      <c r="A309" t="s">
        <v>1509</v>
      </c>
      <c r="B309">
        <v>20271031</v>
      </c>
      <c r="C309" t="s">
        <v>611</v>
      </c>
      <c r="D309">
        <v>6300</v>
      </c>
      <c r="E309" t="s">
        <v>1169</v>
      </c>
      <c r="F309">
        <v>833333.33</v>
      </c>
      <c r="G309" t="s">
        <v>1170</v>
      </c>
      <c r="H309" t="s">
        <v>1209</v>
      </c>
    </row>
    <row r="310" spans="1:8">
      <c r="A310" t="s">
        <v>1510</v>
      </c>
      <c r="B310">
        <v>20271031</v>
      </c>
      <c r="C310" t="s">
        <v>611</v>
      </c>
      <c r="D310">
        <v>7130</v>
      </c>
      <c r="E310" t="s">
        <v>1169</v>
      </c>
      <c r="F310">
        <v>183333.33</v>
      </c>
      <c r="G310" t="s">
        <v>1170</v>
      </c>
      <c r="H310" t="s">
        <v>1211</v>
      </c>
    </row>
    <row r="311" spans="1:8">
      <c r="A311" t="s">
        <v>1511</v>
      </c>
      <c r="B311">
        <v>20271031</v>
      </c>
      <c r="C311" t="s">
        <v>611</v>
      </c>
      <c r="D311">
        <v>1250</v>
      </c>
      <c r="E311" t="s">
        <v>1169</v>
      </c>
      <c r="F311">
        <v>166666.67000000001</v>
      </c>
      <c r="G311" t="s">
        <v>1170</v>
      </c>
      <c r="H311" t="s">
        <v>1213</v>
      </c>
    </row>
    <row r="312" spans="1:8">
      <c r="A312" t="s">
        <v>1512</v>
      </c>
      <c r="B312">
        <v>20271031</v>
      </c>
      <c r="C312" t="s">
        <v>616</v>
      </c>
      <c r="D312">
        <v>3900</v>
      </c>
      <c r="E312" t="s">
        <v>1169</v>
      </c>
      <c r="F312">
        <v>9358345.8300000001</v>
      </c>
      <c r="G312" t="s">
        <v>1170</v>
      </c>
      <c r="H312" t="s">
        <v>1215</v>
      </c>
    </row>
    <row r="313" spans="1:8">
      <c r="A313" t="s">
        <v>1513</v>
      </c>
      <c r="B313">
        <v>20271031</v>
      </c>
      <c r="C313" t="s">
        <v>616</v>
      </c>
      <c r="D313">
        <v>3400</v>
      </c>
      <c r="E313" t="s">
        <v>1169</v>
      </c>
      <c r="F313">
        <v>1000000</v>
      </c>
      <c r="G313" t="s">
        <v>1170</v>
      </c>
      <c r="H313" t="s">
        <v>1217</v>
      </c>
    </row>
    <row r="314" spans="1:8">
      <c r="A314" t="s">
        <v>1514</v>
      </c>
      <c r="B314">
        <v>20271031</v>
      </c>
      <c r="C314" t="s">
        <v>616</v>
      </c>
      <c r="D314">
        <v>3420</v>
      </c>
      <c r="E314" t="s">
        <v>1169</v>
      </c>
      <c r="F314">
        <v>333333.33</v>
      </c>
      <c r="G314" t="s">
        <v>1170</v>
      </c>
      <c r="H314" t="s">
        <v>1219</v>
      </c>
    </row>
    <row r="315" spans="1:8">
      <c r="A315" t="s">
        <v>1515</v>
      </c>
      <c r="B315">
        <v>20271031</v>
      </c>
      <c r="C315" t="s">
        <v>616</v>
      </c>
      <c r="D315">
        <v>3630</v>
      </c>
      <c r="E315" t="s">
        <v>1169</v>
      </c>
      <c r="F315">
        <v>83333.33</v>
      </c>
      <c r="G315" t="s">
        <v>1170</v>
      </c>
      <c r="H315" t="s">
        <v>1221</v>
      </c>
    </row>
    <row r="316" spans="1:8">
      <c r="A316" t="s">
        <v>1516</v>
      </c>
      <c r="B316">
        <v>20271031</v>
      </c>
      <c r="C316" t="s">
        <v>616</v>
      </c>
      <c r="D316">
        <v>5000</v>
      </c>
      <c r="E316" t="s">
        <v>1169</v>
      </c>
      <c r="F316">
        <v>5116666.67</v>
      </c>
      <c r="G316" t="s">
        <v>1170</v>
      </c>
      <c r="H316" t="s">
        <v>1223</v>
      </c>
    </row>
    <row r="317" spans="1:8">
      <c r="A317" t="s">
        <v>1517</v>
      </c>
      <c r="B317">
        <v>20271031</v>
      </c>
      <c r="C317" t="s">
        <v>616</v>
      </c>
      <c r="D317">
        <v>5400</v>
      </c>
      <c r="E317" t="s">
        <v>1169</v>
      </c>
      <c r="F317">
        <v>1166666.67</v>
      </c>
      <c r="G317" t="s">
        <v>1170</v>
      </c>
      <c r="H317" t="s">
        <v>1225</v>
      </c>
    </row>
    <row r="318" spans="1:8">
      <c r="A318" t="s">
        <v>1518</v>
      </c>
      <c r="B318">
        <v>20271031</v>
      </c>
      <c r="C318" t="s">
        <v>616</v>
      </c>
      <c r="D318">
        <v>6300</v>
      </c>
      <c r="E318" t="s">
        <v>1169</v>
      </c>
      <c r="F318">
        <v>1666666.67</v>
      </c>
      <c r="G318" t="s">
        <v>1170</v>
      </c>
      <c r="H318" t="s">
        <v>1227</v>
      </c>
    </row>
    <row r="319" spans="1:8">
      <c r="A319" t="s">
        <v>1519</v>
      </c>
      <c r="B319">
        <v>20271031</v>
      </c>
      <c r="C319" t="s">
        <v>616</v>
      </c>
      <c r="D319">
        <v>6420</v>
      </c>
      <c r="E319" t="s">
        <v>1169</v>
      </c>
      <c r="F319">
        <v>341666.67</v>
      </c>
      <c r="G319" t="s">
        <v>1170</v>
      </c>
      <c r="H319" t="s">
        <v>1229</v>
      </c>
    </row>
    <row r="320" spans="1:8">
      <c r="A320" t="s">
        <v>1520</v>
      </c>
      <c r="B320">
        <v>20271031</v>
      </c>
      <c r="C320" t="s">
        <v>616</v>
      </c>
      <c r="D320">
        <v>7130</v>
      </c>
      <c r="E320" t="s">
        <v>1169</v>
      </c>
      <c r="F320">
        <v>250000</v>
      </c>
      <c r="G320" t="s">
        <v>1170</v>
      </c>
      <c r="H320" t="s">
        <v>1231</v>
      </c>
    </row>
    <row r="321" spans="1:8">
      <c r="A321" t="s">
        <v>1521</v>
      </c>
      <c r="B321">
        <v>20271031</v>
      </c>
      <c r="C321" t="s">
        <v>616</v>
      </c>
      <c r="D321">
        <v>1250</v>
      </c>
      <c r="E321" t="s">
        <v>1169</v>
      </c>
      <c r="F321">
        <v>2166666.67</v>
      </c>
      <c r="G321" t="s">
        <v>1170</v>
      </c>
      <c r="H321" t="s">
        <v>1233</v>
      </c>
    </row>
    <row r="322" spans="1:8">
      <c r="A322" t="s">
        <v>1522</v>
      </c>
      <c r="B322">
        <v>20271130</v>
      </c>
      <c r="C322" t="s">
        <v>600</v>
      </c>
      <c r="D322">
        <v>3900</v>
      </c>
      <c r="E322" t="s">
        <v>1169</v>
      </c>
      <c r="F322">
        <v>1125000</v>
      </c>
      <c r="G322" t="s">
        <v>1170</v>
      </c>
      <c r="H322" t="s">
        <v>1171</v>
      </c>
    </row>
    <row r="323" spans="1:8">
      <c r="A323" t="s">
        <v>1523</v>
      </c>
      <c r="B323">
        <v>20271130</v>
      </c>
      <c r="C323" t="s">
        <v>600</v>
      </c>
      <c r="D323">
        <v>3670</v>
      </c>
      <c r="E323" t="s">
        <v>1169</v>
      </c>
      <c r="F323">
        <v>105820.83</v>
      </c>
      <c r="G323" t="s">
        <v>1170</v>
      </c>
      <c r="H323" t="s">
        <v>1173</v>
      </c>
    </row>
    <row r="324" spans="1:8">
      <c r="A324" t="s">
        <v>1524</v>
      </c>
      <c r="B324">
        <v>20271130</v>
      </c>
      <c r="C324" t="s">
        <v>600</v>
      </c>
      <c r="D324">
        <v>5000</v>
      </c>
      <c r="E324" t="s">
        <v>1169</v>
      </c>
      <c r="F324">
        <v>666666.67000000004</v>
      </c>
      <c r="G324" t="s">
        <v>1170</v>
      </c>
      <c r="H324" t="s">
        <v>1175</v>
      </c>
    </row>
    <row r="325" spans="1:8">
      <c r="A325" t="s">
        <v>1525</v>
      </c>
      <c r="B325">
        <v>20271130</v>
      </c>
      <c r="C325" t="s">
        <v>600</v>
      </c>
      <c r="D325">
        <v>5400</v>
      </c>
      <c r="E325" t="s">
        <v>1169</v>
      </c>
      <c r="F325">
        <v>150000</v>
      </c>
      <c r="G325" t="s">
        <v>1170</v>
      </c>
      <c r="H325" t="s">
        <v>1177</v>
      </c>
    </row>
    <row r="326" spans="1:8">
      <c r="A326" t="s">
        <v>1526</v>
      </c>
      <c r="B326">
        <v>20271130</v>
      </c>
      <c r="C326" t="s">
        <v>600</v>
      </c>
      <c r="D326">
        <v>6420</v>
      </c>
      <c r="E326" t="s">
        <v>1169</v>
      </c>
      <c r="F326">
        <v>208333.33</v>
      </c>
      <c r="G326" t="s">
        <v>1170</v>
      </c>
      <c r="H326" t="s">
        <v>1179</v>
      </c>
    </row>
    <row r="327" spans="1:8">
      <c r="A327" t="s">
        <v>1527</v>
      </c>
      <c r="B327">
        <v>20271130</v>
      </c>
      <c r="C327" t="s">
        <v>600</v>
      </c>
      <c r="D327">
        <v>6700</v>
      </c>
      <c r="E327" t="s">
        <v>1169</v>
      </c>
      <c r="F327">
        <v>100000</v>
      </c>
      <c r="G327" t="s">
        <v>1170</v>
      </c>
      <c r="H327" t="s">
        <v>1181</v>
      </c>
    </row>
    <row r="328" spans="1:8">
      <c r="A328" t="s">
        <v>1528</v>
      </c>
      <c r="B328">
        <v>20271130</v>
      </c>
      <c r="C328" t="s">
        <v>600</v>
      </c>
      <c r="D328">
        <v>1250</v>
      </c>
      <c r="E328" t="s">
        <v>1169</v>
      </c>
      <c r="F328">
        <v>83333.33</v>
      </c>
      <c r="G328" t="s">
        <v>1170</v>
      </c>
      <c r="H328" t="s">
        <v>1183</v>
      </c>
    </row>
    <row r="329" spans="1:8">
      <c r="A329" t="s">
        <v>1529</v>
      </c>
      <c r="B329">
        <v>20271130</v>
      </c>
      <c r="C329" t="s">
        <v>606</v>
      </c>
      <c r="D329">
        <v>3900</v>
      </c>
      <c r="E329" t="s">
        <v>1169</v>
      </c>
      <c r="F329">
        <v>5666666.6699999999</v>
      </c>
      <c r="G329" t="s">
        <v>1170</v>
      </c>
      <c r="H329" t="s">
        <v>1185</v>
      </c>
    </row>
    <row r="330" spans="1:8">
      <c r="A330" t="s">
        <v>1530</v>
      </c>
      <c r="B330">
        <v>20271130</v>
      </c>
      <c r="C330" t="s">
        <v>606</v>
      </c>
      <c r="D330">
        <v>3600</v>
      </c>
      <c r="E330" t="s">
        <v>1169</v>
      </c>
      <c r="F330">
        <v>666666.67000000004</v>
      </c>
      <c r="G330" t="s">
        <v>1170</v>
      </c>
      <c r="H330" t="s">
        <v>1187</v>
      </c>
    </row>
    <row r="331" spans="1:8">
      <c r="A331" t="s">
        <v>1531</v>
      </c>
      <c r="B331">
        <v>20271130</v>
      </c>
      <c r="C331" t="s">
        <v>606</v>
      </c>
      <c r="D331">
        <v>3630</v>
      </c>
      <c r="E331" t="s">
        <v>1169</v>
      </c>
      <c r="F331">
        <v>333333.33</v>
      </c>
      <c r="G331" t="s">
        <v>1170</v>
      </c>
      <c r="H331" t="s">
        <v>1189</v>
      </c>
    </row>
    <row r="332" spans="1:8">
      <c r="A332" t="s">
        <v>1532</v>
      </c>
      <c r="B332">
        <v>20271130</v>
      </c>
      <c r="C332" t="s">
        <v>606</v>
      </c>
      <c r="D332">
        <v>5000</v>
      </c>
      <c r="E332" t="s">
        <v>1169</v>
      </c>
      <c r="F332">
        <v>4000000</v>
      </c>
      <c r="G332" t="s">
        <v>1170</v>
      </c>
      <c r="H332" t="s">
        <v>1191</v>
      </c>
    </row>
    <row r="333" spans="1:8">
      <c r="A333" t="s">
        <v>1533</v>
      </c>
      <c r="B333">
        <v>20271130</v>
      </c>
      <c r="C333" t="s">
        <v>606</v>
      </c>
      <c r="D333">
        <v>5400</v>
      </c>
      <c r="E333" t="s">
        <v>1169</v>
      </c>
      <c r="F333">
        <v>916666.67</v>
      </c>
      <c r="G333" t="s">
        <v>1170</v>
      </c>
      <c r="H333" t="s">
        <v>1193</v>
      </c>
    </row>
    <row r="334" spans="1:8">
      <c r="A334" t="s">
        <v>1534</v>
      </c>
      <c r="B334">
        <v>20271130</v>
      </c>
      <c r="C334" t="s">
        <v>606</v>
      </c>
      <c r="D334">
        <v>6300</v>
      </c>
      <c r="E334" t="s">
        <v>1169</v>
      </c>
      <c r="F334">
        <v>1000000</v>
      </c>
      <c r="G334" t="s">
        <v>1170</v>
      </c>
      <c r="H334" t="s">
        <v>1195</v>
      </c>
    </row>
    <row r="335" spans="1:8">
      <c r="A335" t="s">
        <v>1535</v>
      </c>
      <c r="B335">
        <v>20271130</v>
      </c>
      <c r="C335" t="s">
        <v>606</v>
      </c>
      <c r="D335">
        <v>7130</v>
      </c>
      <c r="E335" t="s">
        <v>1169</v>
      </c>
      <c r="F335">
        <v>333333.33</v>
      </c>
      <c r="G335" t="s">
        <v>1170</v>
      </c>
      <c r="H335" t="s">
        <v>1197</v>
      </c>
    </row>
    <row r="336" spans="1:8">
      <c r="A336" t="s">
        <v>1536</v>
      </c>
      <c r="B336">
        <v>20271130</v>
      </c>
      <c r="C336" t="s">
        <v>606</v>
      </c>
      <c r="D336">
        <v>1250</v>
      </c>
      <c r="E336" t="s">
        <v>1169</v>
      </c>
      <c r="F336">
        <v>250000</v>
      </c>
      <c r="G336" t="s">
        <v>1170</v>
      </c>
      <c r="H336" t="s">
        <v>1199</v>
      </c>
    </row>
    <row r="337" spans="1:8">
      <c r="A337" t="s">
        <v>1537</v>
      </c>
      <c r="B337">
        <v>20271130</v>
      </c>
      <c r="C337" t="s">
        <v>611</v>
      </c>
      <c r="D337">
        <v>3900</v>
      </c>
      <c r="E337" t="s">
        <v>1169</v>
      </c>
      <c r="F337">
        <v>4833333.33</v>
      </c>
      <c r="G337" t="s">
        <v>1170</v>
      </c>
      <c r="H337" t="s">
        <v>1201</v>
      </c>
    </row>
    <row r="338" spans="1:8">
      <c r="A338" t="s">
        <v>1538</v>
      </c>
      <c r="B338">
        <v>20271130</v>
      </c>
      <c r="C338" t="s">
        <v>611</v>
      </c>
      <c r="D338">
        <v>3400</v>
      </c>
      <c r="E338" t="s">
        <v>1169</v>
      </c>
      <c r="F338">
        <v>333333.33</v>
      </c>
      <c r="G338" t="s">
        <v>1170</v>
      </c>
      <c r="H338" t="s">
        <v>1203</v>
      </c>
    </row>
    <row r="339" spans="1:8">
      <c r="A339" t="s">
        <v>1539</v>
      </c>
      <c r="B339">
        <v>20271130</v>
      </c>
      <c r="C339" t="s">
        <v>611</v>
      </c>
      <c r="D339">
        <v>5000</v>
      </c>
      <c r="E339" t="s">
        <v>1169</v>
      </c>
      <c r="F339">
        <v>3166666.67</v>
      </c>
      <c r="G339" t="s">
        <v>1170</v>
      </c>
      <c r="H339" t="s">
        <v>1205</v>
      </c>
    </row>
    <row r="340" spans="1:8">
      <c r="A340" t="s">
        <v>1540</v>
      </c>
      <c r="B340">
        <v>20271130</v>
      </c>
      <c r="C340" t="s">
        <v>611</v>
      </c>
      <c r="D340">
        <v>5400</v>
      </c>
      <c r="E340" t="s">
        <v>1169</v>
      </c>
      <c r="F340">
        <v>733333.33</v>
      </c>
      <c r="G340" t="s">
        <v>1170</v>
      </c>
      <c r="H340" t="s">
        <v>1207</v>
      </c>
    </row>
    <row r="341" spans="1:8">
      <c r="A341" t="s">
        <v>1541</v>
      </c>
      <c r="B341">
        <v>20271130</v>
      </c>
      <c r="C341" t="s">
        <v>611</v>
      </c>
      <c r="D341">
        <v>6300</v>
      </c>
      <c r="E341" t="s">
        <v>1169</v>
      </c>
      <c r="F341">
        <v>833333.33</v>
      </c>
      <c r="G341" t="s">
        <v>1170</v>
      </c>
      <c r="H341" t="s">
        <v>1209</v>
      </c>
    </row>
    <row r="342" spans="1:8">
      <c r="A342" t="s">
        <v>1542</v>
      </c>
      <c r="B342">
        <v>20271130</v>
      </c>
      <c r="C342" t="s">
        <v>611</v>
      </c>
      <c r="D342">
        <v>7130</v>
      </c>
      <c r="E342" t="s">
        <v>1169</v>
      </c>
      <c r="F342">
        <v>183333.33</v>
      </c>
      <c r="G342" t="s">
        <v>1170</v>
      </c>
      <c r="H342" t="s">
        <v>1211</v>
      </c>
    </row>
    <row r="343" spans="1:8">
      <c r="A343" t="s">
        <v>1543</v>
      </c>
      <c r="B343">
        <v>20271130</v>
      </c>
      <c r="C343" t="s">
        <v>611</v>
      </c>
      <c r="D343">
        <v>1250</v>
      </c>
      <c r="E343" t="s">
        <v>1169</v>
      </c>
      <c r="F343">
        <v>166666.67000000001</v>
      </c>
      <c r="G343" t="s">
        <v>1170</v>
      </c>
      <c r="H343" t="s">
        <v>1213</v>
      </c>
    </row>
    <row r="344" spans="1:8">
      <c r="A344" t="s">
        <v>1544</v>
      </c>
      <c r="B344">
        <v>20271130</v>
      </c>
      <c r="C344" t="s">
        <v>616</v>
      </c>
      <c r="D344">
        <v>3900</v>
      </c>
      <c r="E344" t="s">
        <v>1169</v>
      </c>
      <c r="F344">
        <v>9358345.8300000001</v>
      </c>
      <c r="G344" t="s">
        <v>1170</v>
      </c>
      <c r="H344" t="s">
        <v>1215</v>
      </c>
    </row>
    <row r="345" spans="1:8">
      <c r="A345" t="s">
        <v>1545</v>
      </c>
      <c r="B345">
        <v>20271130</v>
      </c>
      <c r="C345" t="s">
        <v>616</v>
      </c>
      <c r="D345">
        <v>3400</v>
      </c>
      <c r="E345" t="s">
        <v>1169</v>
      </c>
      <c r="F345">
        <v>1000000</v>
      </c>
      <c r="G345" t="s">
        <v>1170</v>
      </c>
      <c r="H345" t="s">
        <v>1217</v>
      </c>
    </row>
    <row r="346" spans="1:8">
      <c r="A346" t="s">
        <v>1546</v>
      </c>
      <c r="B346">
        <v>20271130</v>
      </c>
      <c r="C346" t="s">
        <v>616</v>
      </c>
      <c r="D346">
        <v>3420</v>
      </c>
      <c r="E346" t="s">
        <v>1169</v>
      </c>
      <c r="F346">
        <v>333333.33</v>
      </c>
      <c r="G346" t="s">
        <v>1170</v>
      </c>
      <c r="H346" t="s">
        <v>1219</v>
      </c>
    </row>
    <row r="347" spans="1:8">
      <c r="A347" t="s">
        <v>1547</v>
      </c>
      <c r="B347">
        <v>20271130</v>
      </c>
      <c r="C347" t="s">
        <v>616</v>
      </c>
      <c r="D347">
        <v>3630</v>
      </c>
      <c r="E347" t="s">
        <v>1169</v>
      </c>
      <c r="F347">
        <v>83333.33</v>
      </c>
      <c r="G347" t="s">
        <v>1170</v>
      </c>
      <c r="H347" t="s">
        <v>1221</v>
      </c>
    </row>
    <row r="348" spans="1:8">
      <c r="A348" t="s">
        <v>1548</v>
      </c>
      <c r="B348">
        <v>20271130</v>
      </c>
      <c r="C348" t="s">
        <v>616</v>
      </c>
      <c r="D348">
        <v>5000</v>
      </c>
      <c r="E348" t="s">
        <v>1169</v>
      </c>
      <c r="F348">
        <v>5116666.67</v>
      </c>
      <c r="G348" t="s">
        <v>1170</v>
      </c>
      <c r="H348" t="s">
        <v>1223</v>
      </c>
    </row>
    <row r="349" spans="1:8">
      <c r="A349" t="s">
        <v>1549</v>
      </c>
      <c r="B349">
        <v>20271130</v>
      </c>
      <c r="C349" t="s">
        <v>616</v>
      </c>
      <c r="D349">
        <v>5400</v>
      </c>
      <c r="E349" t="s">
        <v>1169</v>
      </c>
      <c r="F349">
        <v>1166666.67</v>
      </c>
      <c r="G349" t="s">
        <v>1170</v>
      </c>
      <c r="H349" t="s">
        <v>1225</v>
      </c>
    </row>
    <row r="350" spans="1:8">
      <c r="A350" t="s">
        <v>1550</v>
      </c>
      <c r="B350">
        <v>20271130</v>
      </c>
      <c r="C350" t="s">
        <v>616</v>
      </c>
      <c r="D350">
        <v>6300</v>
      </c>
      <c r="E350" t="s">
        <v>1169</v>
      </c>
      <c r="F350">
        <v>1666666.67</v>
      </c>
      <c r="G350" t="s">
        <v>1170</v>
      </c>
      <c r="H350" t="s">
        <v>1227</v>
      </c>
    </row>
    <row r="351" spans="1:8">
      <c r="A351" t="s">
        <v>1551</v>
      </c>
      <c r="B351">
        <v>20271130</v>
      </c>
      <c r="C351" t="s">
        <v>616</v>
      </c>
      <c r="D351">
        <v>6420</v>
      </c>
      <c r="E351" t="s">
        <v>1169</v>
      </c>
      <c r="F351">
        <v>341666.67</v>
      </c>
      <c r="G351" t="s">
        <v>1170</v>
      </c>
      <c r="H351" t="s">
        <v>1229</v>
      </c>
    </row>
    <row r="352" spans="1:8">
      <c r="A352" t="s">
        <v>1552</v>
      </c>
      <c r="B352">
        <v>20271130</v>
      </c>
      <c r="C352" t="s">
        <v>616</v>
      </c>
      <c r="D352">
        <v>7130</v>
      </c>
      <c r="E352" t="s">
        <v>1169</v>
      </c>
      <c r="F352">
        <v>250000</v>
      </c>
      <c r="G352" t="s">
        <v>1170</v>
      </c>
      <c r="H352" t="s">
        <v>1231</v>
      </c>
    </row>
    <row r="353" spans="1:8">
      <c r="A353" t="s">
        <v>1553</v>
      </c>
      <c r="B353">
        <v>20271130</v>
      </c>
      <c r="C353" t="s">
        <v>616</v>
      </c>
      <c r="D353">
        <v>1250</v>
      </c>
      <c r="E353" t="s">
        <v>1169</v>
      </c>
      <c r="F353">
        <v>2166666.67</v>
      </c>
      <c r="G353" t="s">
        <v>1170</v>
      </c>
      <c r="H353" t="s">
        <v>1233</v>
      </c>
    </row>
    <row r="354" spans="1:8">
      <c r="A354" t="s">
        <v>1554</v>
      </c>
      <c r="B354">
        <v>20271231</v>
      </c>
      <c r="C354" t="s">
        <v>600</v>
      </c>
      <c r="D354">
        <v>3900</v>
      </c>
      <c r="E354" t="s">
        <v>1169</v>
      </c>
      <c r="F354">
        <v>1125000</v>
      </c>
      <c r="G354" t="s">
        <v>1170</v>
      </c>
      <c r="H354" t="s">
        <v>1171</v>
      </c>
    </row>
    <row r="355" spans="1:8">
      <c r="A355" t="s">
        <v>1555</v>
      </c>
      <c r="B355">
        <v>20271231</v>
      </c>
      <c r="C355" t="s">
        <v>600</v>
      </c>
      <c r="D355">
        <v>3670</v>
      </c>
      <c r="E355" t="s">
        <v>1169</v>
      </c>
      <c r="F355">
        <v>105820.83</v>
      </c>
      <c r="G355" t="s">
        <v>1170</v>
      </c>
      <c r="H355" t="s">
        <v>1173</v>
      </c>
    </row>
    <row r="356" spans="1:8">
      <c r="A356" t="s">
        <v>1556</v>
      </c>
      <c r="B356">
        <v>20271231</v>
      </c>
      <c r="C356" t="s">
        <v>600</v>
      </c>
      <c r="D356">
        <v>5000</v>
      </c>
      <c r="E356" t="s">
        <v>1169</v>
      </c>
      <c r="F356">
        <v>666666.67000000004</v>
      </c>
      <c r="G356" t="s">
        <v>1170</v>
      </c>
      <c r="H356" t="s">
        <v>1175</v>
      </c>
    </row>
    <row r="357" spans="1:8">
      <c r="A357" t="s">
        <v>1557</v>
      </c>
      <c r="B357">
        <v>20271231</v>
      </c>
      <c r="C357" t="s">
        <v>600</v>
      </c>
      <c r="D357">
        <v>5400</v>
      </c>
      <c r="E357" t="s">
        <v>1169</v>
      </c>
      <c r="F357">
        <v>150000</v>
      </c>
      <c r="G357" t="s">
        <v>1170</v>
      </c>
      <c r="H357" t="s">
        <v>1177</v>
      </c>
    </row>
    <row r="358" spans="1:8">
      <c r="A358" t="s">
        <v>1558</v>
      </c>
      <c r="B358">
        <v>20271231</v>
      </c>
      <c r="C358" t="s">
        <v>600</v>
      </c>
      <c r="D358">
        <v>6420</v>
      </c>
      <c r="E358" t="s">
        <v>1169</v>
      </c>
      <c r="F358">
        <v>208333.33</v>
      </c>
      <c r="G358" t="s">
        <v>1170</v>
      </c>
      <c r="H358" t="s">
        <v>1179</v>
      </c>
    </row>
    <row r="359" spans="1:8">
      <c r="A359" t="s">
        <v>1559</v>
      </c>
      <c r="B359">
        <v>20271231</v>
      </c>
      <c r="C359" t="s">
        <v>600</v>
      </c>
      <c r="D359">
        <v>6700</v>
      </c>
      <c r="E359" t="s">
        <v>1169</v>
      </c>
      <c r="F359">
        <v>100000</v>
      </c>
      <c r="G359" t="s">
        <v>1170</v>
      </c>
      <c r="H359" t="s">
        <v>1181</v>
      </c>
    </row>
    <row r="360" spans="1:8">
      <c r="A360" t="s">
        <v>1560</v>
      </c>
      <c r="B360">
        <v>20271231</v>
      </c>
      <c r="C360" t="s">
        <v>600</v>
      </c>
      <c r="D360">
        <v>1250</v>
      </c>
      <c r="E360" t="s">
        <v>1169</v>
      </c>
      <c r="F360">
        <v>83333.33</v>
      </c>
      <c r="G360" t="s">
        <v>1170</v>
      </c>
      <c r="H360" t="s">
        <v>1183</v>
      </c>
    </row>
    <row r="361" spans="1:8">
      <c r="A361" t="s">
        <v>1561</v>
      </c>
      <c r="B361">
        <v>20271231</v>
      </c>
      <c r="C361" t="s">
        <v>606</v>
      </c>
      <c r="D361">
        <v>3900</v>
      </c>
      <c r="E361" t="s">
        <v>1169</v>
      </c>
      <c r="F361">
        <v>5666666.6699999999</v>
      </c>
      <c r="G361" t="s">
        <v>1170</v>
      </c>
      <c r="H361" t="s">
        <v>1185</v>
      </c>
    </row>
    <row r="362" spans="1:8">
      <c r="A362" t="s">
        <v>1562</v>
      </c>
      <c r="B362">
        <v>20271231</v>
      </c>
      <c r="C362" t="s">
        <v>606</v>
      </c>
      <c r="D362">
        <v>3600</v>
      </c>
      <c r="E362" t="s">
        <v>1169</v>
      </c>
      <c r="F362">
        <v>666666.67000000004</v>
      </c>
      <c r="G362" t="s">
        <v>1170</v>
      </c>
      <c r="H362" t="s">
        <v>1187</v>
      </c>
    </row>
    <row r="363" spans="1:8">
      <c r="A363" t="s">
        <v>1563</v>
      </c>
      <c r="B363">
        <v>20271231</v>
      </c>
      <c r="C363" t="s">
        <v>606</v>
      </c>
      <c r="D363">
        <v>3630</v>
      </c>
      <c r="E363" t="s">
        <v>1169</v>
      </c>
      <c r="F363">
        <v>333333.33</v>
      </c>
      <c r="G363" t="s">
        <v>1170</v>
      </c>
      <c r="H363" t="s">
        <v>1189</v>
      </c>
    </row>
    <row r="364" spans="1:8">
      <c r="A364" t="s">
        <v>1564</v>
      </c>
      <c r="B364">
        <v>20271231</v>
      </c>
      <c r="C364" t="s">
        <v>606</v>
      </c>
      <c r="D364">
        <v>5000</v>
      </c>
      <c r="E364" t="s">
        <v>1169</v>
      </c>
      <c r="F364">
        <v>4000000</v>
      </c>
      <c r="G364" t="s">
        <v>1170</v>
      </c>
      <c r="H364" t="s">
        <v>1191</v>
      </c>
    </row>
    <row r="365" spans="1:8">
      <c r="A365" t="s">
        <v>1565</v>
      </c>
      <c r="B365">
        <v>20271231</v>
      </c>
      <c r="C365" t="s">
        <v>606</v>
      </c>
      <c r="D365">
        <v>5400</v>
      </c>
      <c r="E365" t="s">
        <v>1169</v>
      </c>
      <c r="F365">
        <v>916666.67</v>
      </c>
      <c r="G365" t="s">
        <v>1170</v>
      </c>
      <c r="H365" t="s">
        <v>1193</v>
      </c>
    </row>
    <row r="366" spans="1:8">
      <c r="A366" t="s">
        <v>1566</v>
      </c>
      <c r="B366">
        <v>20271231</v>
      </c>
      <c r="C366" t="s">
        <v>606</v>
      </c>
      <c r="D366">
        <v>6300</v>
      </c>
      <c r="E366" t="s">
        <v>1169</v>
      </c>
      <c r="F366">
        <v>1000000</v>
      </c>
      <c r="G366" t="s">
        <v>1170</v>
      </c>
      <c r="H366" t="s">
        <v>1195</v>
      </c>
    </row>
    <row r="367" spans="1:8">
      <c r="A367" t="s">
        <v>1567</v>
      </c>
      <c r="B367">
        <v>20271231</v>
      </c>
      <c r="C367" t="s">
        <v>606</v>
      </c>
      <c r="D367">
        <v>7130</v>
      </c>
      <c r="E367" t="s">
        <v>1169</v>
      </c>
      <c r="F367">
        <v>333333.33</v>
      </c>
      <c r="G367" t="s">
        <v>1170</v>
      </c>
      <c r="H367" t="s">
        <v>1197</v>
      </c>
    </row>
    <row r="368" spans="1:8">
      <c r="A368" t="s">
        <v>1568</v>
      </c>
      <c r="B368">
        <v>20271231</v>
      </c>
      <c r="C368" t="s">
        <v>606</v>
      </c>
      <c r="D368">
        <v>1250</v>
      </c>
      <c r="E368" t="s">
        <v>1169</v>
      </c>
      <c r="F368">
        <v>250000</v>
      </c>
      <c r="G368" t="s">
        <v>1170</v>
      </c>
      <c r="H368" t="s">
        <v>1199</v>
      </c>
    </row>
    <row r="369" spans="1:8">
      <c r="A369" t="s">
        <v>1569</v>
      </c>
      <c r="B369">
        <v>20271231</v>
      </c>
      <c r="C369" t="s">
        <v>611</v>
      </c>
      <c r="D369">
        <v>3900</v>
      </c>
      <c r="E369" t="s">
        <v>1169</v>
      </c>
      <c r="F369">
        <v>4833333.33</v>
      </c>
      <c r="G369" t="s">
        <v>1170</v>
      </c>
      <c r="H369" t="s">
        <v>1201</v>
      </c>
    </row>
    <row r="370" spans="1:8">
      <c r="A370" t="s">
        <v>1570</v>
      </c>
      <c r="B370">
        <v>20271231</v>
      </c>
      <c r="C370" t="s">
        <v>611</v>
      </c>
      <c r="D370">
        <v>3400</v>
      </c>
      <c r="E370" t="s">
        <v>1169</v>
      </c>
      <c r="F370">
        <v>333333.33</v>
      </c>
      <c r="G370" t="s">
        <v>1170</v>
      </c>
      <c r="H370" t="s">
        <v>1203</v>
      </c>
    </row>
    <row r="371" spans="1:8">
      <c r="A371" t="s">
        <v>1571</v>
      </c>
      <c r="B371">
        <v>20271231</v>
      </c>
      <c r="C371" t="s">
        <v>611</v>
      </c>
      <c r="D371">
        <v>5000</v>
      </c>
      <c r="E371" t="s">
        <v>1169</v>
      </c>
      <c r="F371">
        <v>3166666.67</v>
      </c>
      <c r="G371" t="s">
        <v>1170</v>
      </c>
      <c r="H371" t="s">
        <v>1205</v>
      </c>
    </row>
    <row r="372" spans="1:8">
      <c r="A372" t="s">
        <v>1572</v>
      </c>
      <c r="B372">
        <v>20271231</v>
      </c>
      <c r="C372" t="s">
        <v>611</v>
      </c>
      <c r="D372">
        <v>5400</v>
      </c>
      <c r="E372" t="s">
        <v>1169</v>
      </c>
      <c r="F372">
        <v>733333.33</v>
      </c>
      <c r="G372" t="s">
        <v>1170</v>
      </c>
      <c r="H372" t="s">
        <v>1207</v>
      </c>
    </row>
    <row r="373" spans="1:8">
      <c r="A373" t="s">
        <v>1573</v>
      </c>
      <c r="B373">
        <v>20271231</v>
      </c>
      <c r="C373" t="s">
        <v>611</v>
      </c>
      <c r="D373">
        <v>6300</v>
      </c>
      <c r="E373" t="s">
        <v>1169</v>
      </c>
      <c r="F373">
        <v>833333.33</v>
      </c>
      <c r="G373" t="s">
        <v>1170</v>
      </c>
      <c r="H373" t="s">
        <v>1209</v>
      </c>
    </row>
    <row r="374" spans="1:8">
      <c r="A374" t="s">
        <v>1574</v>
      </c>
      <c r="B374">
        <v>20271231</v>
      </c>
      <c r="C374" t="s">
        <v>611</v>
      </c>
      <c r="D374">
        <v>7130</v>
      </c>
      <c r="E374" t="s">
        <v>1169</v>
      </c>
      <c r="F374">
        <v>183333.33</v>
      </c>
      <c r="G374" t="s">
        <v>1170</v>
      </c>
      <c r="H374" t="s">
        <v>1211</v>
      </c>
    </row>
    <row r="375" spans="1:8">
      <c r="A375" t="s">
        <v>1575</v>
      </c>
      <c r="B375">
        <v>20271231</v>
      </c>
      <c r="C375" t="s">
        <v>611</v>
      </c>
      <c r="D375">
        <v>1250</v>
      </c>
      <c r="E375" t="s">
        <v>1169</v>
      </c>
      <c r="F375">
        <v>166666.67000000001</v>
      </c>
      <c r="G375" t="s">
        <v>1170</v>
      </c>
      <c r="H375" t="s">
        <v>1213</v>
      </c>
    </row>
    <row r="376" spans="1:8">
      <c r="A376" t="s">
        <v>1576</v>
      </c>
      <c r="B376">
        <v>20271231</v>
      </c>
      <c r="C376" t="s">
        <v>616</v>
      </c>
      <c r="D376">
        <v>3900</v>
      </c>
      <c r="E376" t="s">
        <v>1169</v>
      </c>
      <c r="F376">
        <v>9358345.8300000001</v>
      </c>
      <c r="G376" t="s">
        <v>1170</v>
      </c>
      <c r="H376" t="s">
        <v>1215</v>
      </c>
    </row>
    <row r="377" spans="1:8">
      <c r="A377" t="s">
        <v>1577</v>
      </c>
      <c r="B377">
        <v>20271231</v>
      </c>
      <c r="C377" t="s">
        <v>616</v>
      </c>
      <c r="D377">
        <v>3400</v>
      </c>
      <c r="E377" t="s">
        <v>1169</v>
      </c>
      <c r="F377">
        <v>1000000</v>
      </c>
      <c r="G377" t="s">
        <v>1170</v>
      </c>
      <c r="H377" t="s">
        <v>1217</v>
      </c>
    </row>
    <row r="378" spans="1:8">
      <c r="A378" t="s">
        <v>1578</v>
      </c>
      <c r="B378">
        <v>20271231</v>
      </c>
      <c r="C378" t="s">
        <v>616</v>
      </c>
      <c r="D378">
        <v>3420</v>
      </c>
      <c r="E378" t="s">
        <v>1169</v>
      </c>
      <c r="F378">
        <v>333333.33</v>
      </c>
      <c r="G378" t="s">
        <v>1170</v>
      </c>
      <c r="H378" t="s">
        <v>1219</v>
      </c>
    </row>
    <row r="379" spans="1:8">
      <c r="A379" t="s">
        <v>1579</v>
      </c>
      <c r="B379">
        <v>20271231</v>
      </c>
      <c r="C379" t="s">
        <v>616</v>
      </c>
      <c r="D379">
        <v>3630</v>
      </c>
      <c r="E379" t="s">
        <v>1169</v>
      </c>
      <c r="F379">
        <v>83333.33</v>
      </c>
      <c r="G379" t="s">
        <v>1170</v>
      </c>
      <c r="H379" t="s">
        <v>1221</v>
      </c>
    </row>
    <row r="380" spans="1:8">
      <c r="A380" t="s">
        <v>1580</v>
      </c>
      <c r="B380">
        <v>20271231</v>
      </c>
      <c r="C380" t="s">
        <v>616</v>
      </c>
      <c r="D380">
        <v>5000</v>
      </c>
      <c r="E380" t="s">
        <v>1169</v>
      </c>
      <c r="F380">
        <v>5116666.67</v>
      </c>
      <c r="G380" t="s">
        <v>1170</v>
      </c>
      <c r="H380" t="s">
        <v>1223</v>
      </c>
    </row>
    <row r="381" spans="1:8">
      <c r="A381" t="s">
        <v>1581</v>
      </c>
      <c r="B381">
        <v>20271231</v>
      </c>
      <c r="C381" t="s">
        <v>616</v>
      </c>
      <c r="D381">
        <v>5400</v>
      </c>
      <c r="E381" t="s">
        <v>1169</v>
      </c>
      <c r="F381">
        <v>1166666.67</v>
      </c>
      <c r="G381" t="s">
        <v>1170</v>
      </c>
      <c r="H381" t="s">
        <v>1225</v>
      </c>
    </row>
    <row r="382" spans="1:8">
      <c r="A382" t="s">
        <v>1582</v>
      </c>
      <c r="B382">
        <v>20271231</v>
      </c>
      <c r="C382" t="s">
        <v>616</v>
      </c>
      <c r="D382">
        <v>6300</v>
      </c>
      <c r="E382" t="s">
        <v>1169</v>
      </c>
      <c r="F382">
        <v>1666666.67</v>
      </c>
      <c r="G382" t="s">
        <v>1170</v>
      </c>
      <c r="H382" t="s">
        <v>1227</v>
      </c>
    </row>
    <row r="383" spans="1:8">
      <c r="A383" t="s">
        <v>1583</v>
      </c>
      <c r="B383">
        <v>20271231</v>
      </c>
      <c r="C383" t="s">
        <v>616</v>
      </c>
      <c r="D383">
        <v>6420</v>
      </c>
      <c r="E383" t="s">
        <v>1169</v>
      </c>
      <c r="F383">
        <v>341666.67</v>
      </c>
      <c r="G383" t="s">
        <v>1170</v>
      </c>
      <c r="H383" t="s">
        <v>1229</v>
      </c>
    </row>
    <row r="384" spans="1:8">
      <c r="A384" t="s">
        <v>1584</v>
      </c>
      <c r="B384">
        <v>20271231</v>
      </c>
      <c r="C384" t="s">
        <v>616</v>
      </c>
      <c r="D384">
        <v>7130</v>
      </c>
      <c r="E384" t="s">
        <v>1169</v>
      </c>
      <c r="F384">
        <v>250000</v>
      </c>
      <c r="G384" t="s">
        <v>1170</v>
      </c>
      <c r="H384" t="s">
        <v>1231</v>
      </c>
    </row>
    <row r="385" spans="1:8">
      <c r="A385" t="s">
        <v>1585</v>
      </c>
      <c r="B385">
        <v>20271231</v>
      </c>
      <c r="C385" t="s">
        <v>616</v>
      </c>
      <c r="D385">
        <v>1250</v>
      </c>
      <c r="E385" t="s">
        <v>1169</v>
      </c>
      <c r="F385">
        <v>2166666.67</v>
      </c>
      <c r="G385" t="s">
        <v>1170</v>
      </c>
      <c r="H385" t="s">
        <v>1233</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5BBB9-DC22-43A2-9144-0EA7BCA3BD3A}">
  <dimension ref="A1:K434"/>
  <sheetViews>
    <sheetView workbookViewId="0">
      <selection sqref="A1:A148"/>
    </sheetView>
  </sheetViews>
  <sheetFormatPr defaultRowHeight="14.5"/>
  <cols>
    <col min="1" max="1" width="15.54296875" bestFit="1" customWidth="1"/>
    <col min="2" max="2" width="13.36328125" bestFit="1" customWidth="1"/>
    <col min="3" max="3" width="10.6328125" bestFit="1" customWidth="1"/>
    <col min="4" max="4" width="8.26953125" bestFit="1" customWidth="1"/>
    <col min="5" max="5" width="16.36328125" bestFit="1" customWidth="1"/>
    <col min="6" max="6" width="19.453125" bestFit="1" customWidth="1"/>
    <col min="7" max="7" width="15.08984375" bestFit="1" customWidth="1"/>
    <col min="8" max="8" width="24" bestFit="1" customWidth="1"/>
    <col min="9" max="9" width="31.6328125" bestFit="1" customWidth="1"/>
    <col min="10" max="10" width="12.26953125" bestFit="1" customWidth="1"/>
    <col min="11" max="11" width="46.453125" bestFit="1" customWidth="1"/>
  </cols>
  <sheetData>
    <row r="1" spans="1:11">
      <c r="A1" t="s">
        <v>1596</v>
      </c>
      <c r="B1" t="s">
        <v>926</v>
      </c>
      <c r="C1" t="s">
        <v>991</v>
      </c>
      <c r="D1" t="s">
        <v>895</v>
      </c>
      <c r="E1" t="s">
        <v>1597</v>
      </c>
      <c r="F1" t="s">
        <v>975</v>
      </c>
      <c r="G1" t="s">
        <v>1598</v>
      </c>
      <c r="H1" t="s">
        <v>1028</v>
      </c>
      <c r="I1" t="s">
        <v>1079</v>
      </c>
      <c r="J1" t="s">
        <v>1599</v>
      </c>
      <c r="K1" t="s">
        <v>1600</v>
      </c>
    </row>
    <row r="2" spans="1:11">
      <c r="A2" t="s">
        <v>1601</v>
      </c>
      <c r="B2">
        <v>202601</v>
      </c>
      <c r="C2" t="s">
        <v>600</v>
      </c>
      <c r="D2">
        <v>5000</v>
      </c>
      <c r="E2" t="s">
        <v>1602</v>
      </c>
      <c r="F2" t="s">
        <v>982</v>
      </c>
      <c r="G2">
        <v>676666</v>
      </c>
      <c r="H2" t="s">
        <v>1001</v>
      </c>
      <c r="I2" t="s">
        <v>1002</v>
      </c>
      <c r="J2" t="s">
        <v>1603</v>
      </c>
      <c r="K2" t="s">
        <v>1604</v>
      </c>
    </row>
    <row r="3" spans="1:11">
      <c r="A3" t="s">
        <v>1605</v>
      </c>
      <c r="B3">
        <v>202602</v>
      </c>
      <c r="C3" t="s">
        <v>600</v>
      </c>
      <c r="D3">
        <v>5000</v>
      </c>
      <c r="E3" t="s">
        <v>1602</v>
      </c>
      <c r="F3" t="s">
        <v>982</v>
      </c>
      <c r="G3">
        <v>676666</v>
      </c>
      <c r="H3" t="s">
        <v>1001</v>
      </c>
      <c r="I3" t="s">
        <v>1002</v>
      </c>
      <c r="J3" t="s">
        <v>1603</v>
      </c>
      <c r="K3" t="s">
        <v>1604</v>
      </c>
    </row>
    <row r="4" spans="1:11">
      <c r="A4" t="s">
        <v>1606</v>
      </c>
      <c r="B4">
        <v>202603</v>
      </c>
      <c r="C4" t="s">
        <v>600</v>
      </c>
      <c r="D4">
        <v>5000</v>
      </c>
      <c r="E4" t="s">
        <v>1602</v>
      </c>
      <c r="F4" t="s">
        <v>982</v>
      </c>
      <c r="G4">
        <v>676666</v>
      </c>
      <c r="H4" t="s">
        <v>1001</v>
      </c>
      <c r="I4" t="s">
        <v>1002</v>
      </c>
      <c r="J4" t="s">
        <v>1603</v>
      </c>
      <c r="K4" t="s">
        <v>1604</v>
      </c>
    </row>
    <row r="5" spans="1:11">
      <c r="A5" t="s">
        <v>1607</v>
      </c>
      <c r="B5">
        <v>202604</v>
      </c>
      <c r="C5" t="s">
        <v>600</v>
      </c>
      <c r="D5">
        <v>5000</v>
      </c>
      <c r="E5" t="s">
        <v>1602</v>
      </c>
      <c r="F5" t="s">
        <v>982</v>
      </c>
      <c r="G5">
        <v>676666</v>
      </c>
      <c r="H5" t="s">
        <v>1001</v>
      </c>
      <c r="I5" t="s">
        <v>1002</v>
      </c>
      <c r="J5" t="s">
        <v>1603</v>
      </c>
      <c r="K5" t="s">
        <v>1604</v>
      </c>
    </row>
    <row r="6" spans="1:11">
      <c r="A6" t="s">
        <v>1608</v>
      </c>
      <c r="B6">
        <v>202605</v>
      </c>
      <c r="C6" t="s">
        <v>600</v>
      </c>
      <c r="D6">
        <v>5000</v>
      </c>
      <c r="E6" t="s">
        <v>1602</v>
      </c>
      <c r="F6" t="s">
        <v>982</v>
      </c>
      <c r="G6">
        <v>676666</v>
      </c>
      <c r="H6" t="s">
        <v>1001</v>
      </c>
      <c r="I6" t="s">
        <v>1002</v>
      </c>
      <c r="J6" t="s">
        <v>1603</v>
      </c>
      <c r="K6" t="s">
        <v>1604</v>
      </c>
    </row>
    <row r="7" spans="1:11">
      <c r="A7" t="s">
        <v>1609</v>
      </c>
      <c r="B7">
        <v>202606</v>
      </c>
      <c r="C7" t="s">
        <v>600</v>
      </c>
      <c r="D7">
        <v>5000</v>
      </c>
      <c r="E7" t="s">
        <v>1602</v>
      </c>
      <c r="F7" t="s">
        <v>982</v>
      </c>
      <c r="G7">
        <v>676666</v>
      </c>
      <c r="H7" t="s">
        <v>1001</v>
      </c>
      <c r="I7" t="s">
        <v>1002</v>
      </c>
      <c r="J7" t="s">
        <v>1603</v>
      </c>
      <c r="K7" t="s">
        <v>1604</v>
      </c>
    </row>
    <row r="8" spans="1:11">
      <c r="A8" t="s">
        <v>1610</v>
      </c>
      <c r="B8">
        <v>202607</v>
      </c>
      <c r="C8" t="s">
        <v>600</v>
      </c>
      <c r="D8">
        <v>5000</v>
      </c>
      <c r="E8" t="s">
        <v>1602</v>
      </c>
      <c r="F8" t="s">
        <v>982</v>
      </c>
      <c r="G8">
        <v>676666</v>
      </c>
      <c r="H8" t="s">
        <v>1001</v>
      </c>
      <c r="I8" t="s">
        <v>1002</v>
      </c>
      <c r="J8" t="s">
        <v>1603</v>
      </c>
      <c r="K8" t="s">
        <v>1604</v>
      </c>
    </row>
    <row r="9" spans="1:11">
      <c r="A9" t="s">
        <v>1611</v>
      </c>
      <c r="B9">
        <v>202608</v>
      </c>
      <c r="C9" t="s">
        <v>600</v>
      </c>
      <c r="D9">
        <v>5000</v>
      </c>
      <c r="E9" t="s">
        <v>1602</v>
      </c>
      <c r="F9" t="s">
        <v>982</v>
      </c>
      <c r="G9">
        <v>676666</v>
      </c>
      <c r="H9" t="s">
        <v>1001</v>
      </c>
      <c r="I9" t="s">
        <v>1002</v>
      </c>
      <c r="J9" t="s">
        <v>1603</v>
      </c>
      <c r="K9" t="s">
        <v>1604</v>
      </c>
    </row>
    <row r="10" spans="1:11">
      <c r="A10" t="s">
        <v>1612</v>
      </c>
      <c r="B10">
        <v>202609</v>
      </c>
      <c r="C10" t="s">
        <v>600</v>
      </c>
      <c r="D10">
        <v>5000</v>
      </c>
      <c r="E10" t="s">
        <v>1602</v>
      </c>
      <c r="F10" t="s">
        <v>982</v>
      </c>
      <c r="G10">
        <v>676666</v>
      </c>
      <c r="H10" t="s">
        <v>1001</v>
      </c>
      <c r="I10" t="s">
        <v>1002</v>
      </c>
      <c r="J10" t="s">
        <v>1603</v>
      </c>
      <c r="K10" t="s">
        <v>1604</v>
      </c>
    </row>
    <row r="11" spans="1:11">
      <c r="A11" t="s">
        <v>1613</v>
      </c>
      <c r="B11">
        <v>202610</v>
      </c>
      <c r="C11" t="s">
        <v>600</v>
      </c>
      <c r="D11">
        <v>5000</v>
      </c>
      <c r="E11" t="s">
        <v>1614</v>
      </c>
      <c r="F11" t="s">
        <v>985</v>
      </c>
      <c r="G11">
        <v>676666</v>
      </c>
      <c r="H11" t="s">
        <v>1001</v>
      </c>
      <c r="I11" t="s">
        <v>1002</v>
      </c>
      <c r="J11" t="s">
        <v>1603</v>
      </c>
      <c r="K11" t="s">
        <v>1604</v>
      </c>
    </row>
    <row r="12" spans="1:11">
      <c r="A12" t="s">
        <v>1615</v>
      </c>
      <c r="B12">
        <v>202611</v>
      </c>
      <c r="C12" t="s">
        <v>600</v>
      </c>
      <c r="D12">
        <v>5000</v>
      </c>
      <c r="E12" t="s">
        <v>1614</v>
      </c>
      <c r="F12" t="s">
        <v>985</v>
      </c>
      <c r="G12">
        <v>676666</v>
      </c>
      <c r="H12" t="s">
        <v>1001</v>
      </c>
      <c r="I12" t="s">
        <v>1002</v>
      </c>
      <c r="J12" t="s">
        <v>1603</v>
      </c>
      <c r="K12" t="s">
        <v>1604</v>
      </c>
    </row>
    <row r="13" spans="1:11">
      <c r="A13" t="s">
        <v>1616</v>
      </c>
      <c r="B13">
        <v>202612</v>
      </c>
      <c r="C13" t="s">
        <v>600</v>
      </c>
      <c r="D13">
        <v>5000</v>
      </c>
      <c r="E13" t="s">
        <v>1614</v>
      </c>
      <c r="F13" t="s">
        <v>985</v>
      </c>
      <c r="G13">
        <v>676674</v>
      </c>
      <c r="H13" t="s">
        <v>1001</v>
      </c>
      <c r="I13" t="s">
        <v>1002</v>
      </c>
      <c r="J13" t="s">
        <v>1603</v>
      </c>
      <c r="K13" t="s">
        <v>1604</v>
      </c>
    </row>
    <row r="14" spans="1:11">
      <c r="A14" t="s">
        <v>1617</v>
      </c>
      <c r="B14">
        <v>202601</v>
      </c>
      <c r="C14" t="s">
        <v>600</v>
      </c>
      <c r="D14">
        <v>5080</v>
      </c>
      <c r="E14" t="s">
        <v>1602</v>
      </c>
      <c r="F14" t="s">
        <v>982</v>
      </c>
      <c r="G14">
        <v>65333</v>
      </c>
      <c r="H14" t="s">
        <v>1001</v>
      </c>
      <c r="I14" t="s">
        <v>1002</v>
      </c>
      <c r="J14" t="s">
        <v>1603</v>
      </c>
      <c r="K14" t="s">
        <v>1618</v>
      </c>
    </row>
    <row r="15" spans="1:11">
      <c r="A15" t="s">
        <v>1619</v>
      </c>
      <c r="B15">
        <v>202602</v>
      </c>
      <c r="C15" t="s">
        <v>600</v>
      </c>
      <c r="D15">
        <v>5080</v>
      </c>
      <c r="E15" t="s">
        <v>1602</v>
      </c>
      <c r="F15" t="s">
        <v>982</v>
      </c>
      <c r="G15">
        <v>65333</v>
      </c>
      <c r="H15" t="s">
        <v>1001</v>
      </c>
      <c r="I15" t="s">
        <v>1002</v>
      </c>
      <c r="J15" t="s">
        <v>1603</v>
      </c>
      <c r="K15" t="s">
        <v>1618</v>
      </c>
    </row>
    <row r="16" spans="1:11">
      <c r="A16" t="s">
        <v>1620</v>
      </c>
      <c r="B16">
        <v>202603</v>
      </c>
      <c r="C16" t="s">
        <v>600</v>
      </c>
      <c r="D16">
        <v>5080</v>
      </c>
      <c r="E16" t="s">
        <v>1602</v>
      </c>
      <c r="F16" t="s">
        <v>982</v>
      </c>
      <c r="G16">
        <v>65333</v>
      </c>
      <c r="H16" t="s">
        <v>1001</v>
      </c>
      <c r="I16" t="s">
        <v>1002</v>
      </c>
      <c r="J16" t="s">
        <v>1603</v>
      </c>
      <c r="K16" t="s">
        <v>1618</v>
      </c>
    </row>
    <row r="17" spans="1:11">
      <c r="A17" t="s">
        <v>1621</v>
      </c>
      <c r="B17">
        <v>202604</v>
      </c>
      <c r="C17" t="s">
        <v>600</v>
      </c>
      <c r="D17">
        <v>5080</v>
      </c>
      <c r="E17" t="s">
        <v>1602</v>
      </c>
      <c r="F17" t="s">
        <v>982</v>
      </c>
      <c r="G17">
        <v>65333</v>
      </c>
      <c r="H17" t="s">
        <v>1001</v>
      </c>
      <c r="I17" t="s">
        <v>1002</v>
      </c>
      <c r="J17" t="s">
        <v>1603</v>
      </c>
      <c r="K17" t="s">
        <v>1618</v>
      </c>
    </row>
    <row r="18" spans="1:11">
      <c r="A18" t="s">
        <v>1622</v>
      </c>
      <c r="B18">
        <v>202605</v>
      </c>
      <c r="C18" t="s">
        <v>600</v>
      </c>
      <c r="D18">
        <v>5080</v>
      </c>
      <c r="E18" t="s">
        <v>1602</v>
      </c>
      <c r="F18" t="s">
        <v>982</v>
      </c>
      <c r="G18">
        <v>65333</v>
      </c>
      <c r="H18" t="s">
        <v>1001</v>
      </c>
      <c r="I18" t="s">
        <v>1002</v>
      </c>
      <c r="J18" t="s">
        <v>1603</v>
      </c>
      <c r="K18" t="s">
        <v>1618</v>
      </c>
    </row>
    <row r="19" spans="1:11">
      <c r="A19" t="s">
        <v>1623</v>
      </c>
      <c r="B19">
        <v>202606</v>
      </c>
      <c r="C19" t="s">
        <v>600</v>
      </c>
      <c r="D19">
        <v>5080</v>
      </c>
      <c r="E19" t="s">
        <v>1602</v>
      </c>
      <c r="F19" t="s">
        <v>982</v>
      </c>
      <c r="G19">
        <v>114332</v>
      </c>
      <c r="H19" t="s">
        <v>1001</v>
      </c>
      <c r="I19" t="s">
        <v>1002</v>
      </c>
      <c r="J19" t="s">
        <v>1603</v>
      </c>
      <c r="K19" t="s">
        <v>1618</v>
      </c>
    </row>
    <row r="20" spans="1:11">
      <c r="A20" t="s">
        <v>1624</v>
      </c>
      <c r="B20">
        <v>202607</v>
      </c>
      <c r="C20" t="s">
        <v>600</v>
      </c>
      <c r="D20">
        <v>5080</v>
      </c>
      <c r="E20" t="s">
        <v>1602</v>
      </c>
      <c r="F20" t="s">
        <v>982</v>
      </c>
      <c r="G20">
        <v>65333</v>
      </c>
      <c r="H20" t="s">
        <v>1001</v>
      </c>
      <c r="I20" t="s">
        <v>1002</v>
      </c>
      <c r="J20" t="s">
        <v>1603</v>
      </c>
      <c r="K20" t="s">
        <v>1618</v>
      </c>
    </row>
    <row r="21" spans="1:11">
      <c r="A21" t="s">
        <v>1625</v>
      </c>
      <c r="B21">
        <v>202608</v>
      </c>
      <c r="C21" t="s">
        <v>600</v>
      </c>
      <c r="D21">
        <v>5080</v>
      </c>
      <c r="E21" t="s">
        <v>1602</v>
      </c>
      <c r="F21" t="s">
        <v>982</v>
      </c>
      <c r="G21">
        <v>65333</v>
      </c>
      <c r="H21" t="s">
        <v>1001</v>
      </c>
      <c r="I21" t="s">
        <v>1002</v>
      </c>
      <c r="J21" t="s">
        <v>1603</v>
      </c>
      <c r="K21" t="s">
        <v>1618</v>
      </c>
    </row>
    <row r="22" spans="1:11">
      <c r="A22" t="s">
        <v>1626</v>
      </c>
      <c r="B22">
        <v>202609</v>
      </c>
      <c r="C22" t="s">
        <v>600</v>
      </c>
      <c r="D22">
        <v>5080</v>
      </c>
      <c r="E22" t="s">
        <v>1602</v>
      </c>
      <c r="F22" t="s">
        <v>982</v>
      </c>
      <c r="G22">
        <v>65333</v>
      </c>
      <c r="H22" t="s">
        <v>1001</v>
      </c>
      <c r="I22" t="s">
        <v>1002</v>
      </c>
      <c r="J22" t="s">
        <v>1603</v>
      </c>
      <c r="K22" t="s">
        <v>1618</v>
      </c>
    </row>
    <row r="23" spans="1:11">
      <c r="A23" t="s">
        <v>1627</v>
      </c>
      <c r="B23">
        <v>202610</v>
      </c>
      <c r="C23" t="s">
        <v>600</v>
      </c>
      <c r="D23">
        <v>5080</v>
      </c>
      <c r="E23" t="s">
        <v>1614</v>
      </c>
      <c r="F23" t="s">
        <v>985</v>
      </c>
      <c r="G23">
        <v>65333</v>
      </c>
      <c r="H23" t="s">
        <v>1001</v>
      </c>
      <c r="I23" t="s">
        <v>1002</v>
      </c>
      <c r="J23" t="s">
        <v>1603</v>
      </c>
      <c r="K23" t="s">
        <v>1618</v>
      </c>
    </row>
    <row r="24" spans="1:11">
      <c r="A24" t="s">
        <v>1628</v>
      </c>
      <c r="B24">
        <v>202611</v>
      </c>
      <c r="C24" t="s">
        <v>600</v>
      </c>
      <c r="D24">
        <v>5080</v>
      </c>
      <c r="E24" t="s">
        <v>1614</v>
      </c>
      <c r="F24" t="s">
        <v>985</v>
      </c>
      <c r="G24">
        <v>65333</v>
      </c>
      <c r="H24" t="s">
        <v>1001</v>
      </c>
      <c r="I24" t="s">
        <v>1002</v>
      </c>
      <c r="J24" t="s">
        <v>1603</v>
      </c>
      <c r="K24" t="s">
        <v>1618</v>
      </c>
    </row>
    <row r="25" spans="1:11">
      <c r="A25" t="s">
        <v>1629</v>
      </c>
      <c r="B25">
        <v>202612</v>
      </c>
      <c r="C25" t="s">
        <v>600</v>
      </c>
      <c r="D25">
        <v>5080</v>
      </c>
      <c r="E25" t="s">
        <v>1614</v>
      </c>
      <c r="F25" t="s">
        <v>985</v>
      </c>
      <c r="G25">
        <v>65339</v>
      </c>
      <c r="H25" t="s">
        <v>1001</v>
      </c>
      <c r="I25" t="s">
        <v>1002</v>
      </c>
      <c r="J25" t="s">
        <v>1603</v>
      </c>
      <c r="K25" t="s">
        <v>1618</v>
      </c>
    </row>
    <row r="26" spans="1:11">
      <c r="A26" t="s">
        <v>1630</v>
      </c>
      <c r="B26">
        <v>202601</v>
      </c>
      <c r="C26" t="s">
        <v>600</v>
      </c>
      <c r="D26">
        <v>5400</v>
      </c>
      <c r="E26" t="s">
        <v>1602</v>
      </c>
      <c r="F26" t="s">
        <v>982</v>
      </c>
      <c r="G26">
        <v>93333</v>
      </c>
      <c r="H26" t="s">
        <v>1001</v>
      </c>
      <c r="I26" t="s">
        <v>1002</v>
      </c>
      <c r="J26" t="s">
        <v>1603</v>
      </c>
      <c r="K26" t="s">
        <v>1604</v>
      </c>
    </row>
    <row r="27" spans="1:11">
      <c r="A27" t="s">
        <v>1631</v>
      </c>
      <c r="B27">
        <v>202602</v>
      </c>
      <c r="C27" t="s">
        <v>600</v>
      </c>
      <c r="D27">
        <v>5400</v>
      </c>
      <c r="E27" t="s">
        <v>1602</v>
      </c>
      <c r="F27" t="s">
        <v>982</v>
      </c>
      <c r="G27">
        <v>93333</v>
      </c>
      <c r="H27" t="s">
        <v>1001</v>
      </c>
      <c r="I27" t="s">
        <v>1002</v>
      </c>
      <c r="J27" t="s">
        <v>1603</v>
      </c>
      <c r="K27" t="s">
        <v>1604</v>
      </c>
    </row>
    <row r="28" spans="1:11">
      <c r="A28" t="s">
        <v>1632</v>
      </c>
      <c r="B28">
        <v>202603</v>
      </c>
      <c r="C28" t="s">
        <v>600</v>
      </c>
      <c r="D28">
        <v>5400</v>
      </c>
      <c r="E28" t="s">
        <v>1602</v>
      </c>
      <c r="F28" t="s">
        <v>982</v>
      </c>
      <c r="G28">
        <v>93333</v>
      </c>
      <c r="H28" t="s">
        <v>1001</v>
      </c>
      <c r="I28" t="s">
        <v>1002</v>
      </c>
      <c r="J28" t="s">
        <v>1603</v>
      </c>
      <c r="K28" t="s">
        <v>1604</v>
      </c>
    </row>
    <row r="29" spans="1:11">
      <c r="A29" t="s">
        <v>1633</v>
      </c>
      <c r="B29">
        <v>202604</v>
      </c>
      <c r="C29" t="s">
        <v>600</v>
      </c>
      <c r="D29">
        <v>5400</v>
      </c>
      <c r="E29" t="s">
        <v>1602</v>
      </c>
      <c r="F29" t="s">
        <v>982</v>
      </c>
      <c r="G29">
        <v>93333</v>
      </c>
      <c r="H29" t="s">
        <v>1001</v>
      </c>
      <c r="I29" t="s">
        <v>1002</v>
      </c>
      <c r="J29" t="s">
        <v>1603</v>
      </c>
      <c r="K29" t="s">
        <v>1604</v>
      </c>
    </row>
    <row r="30" spans="1:11">
      <c r="A30" t="s">
        <v>1634</v>
      </c>
      <c r="B30">
        <v>202605</v>
      </c>
      <c r="C30" t="s">
        <v>600</v>
      </c>
      <c r="D30">
        <v>5400</v>
      </c>
      <c r="E30" t="s">
        <v>1602</v>
      </c>
      <c r="F30" t="s">
        <v>982</v>
      </c>
      <c r="G30">
        <v>93333</v>
      </c>
      <c r="H30" t="s">
        <v>1001</v>
      </c>
      <c r="I30" t="s">
        <v>1002</v>
      </c>
      <c r="J30" t="s">
        <v>1603</v>
      </c>
      <c r="K30" t="s">
        <v>1604</v>
      </c>
    </row>
    <row r="31" spans="1:11">
      <c r="A31" t="s">
        <v>1635</v>
      </c>
      <c r="B31">
        <v>202606</v>
      </c>
      <c r="C31" t="s">
        <v>600</v>
      </c>
      <c r="D31">
        <v>5400</v>
      </c>
      <c r="E31" t="s">
        <v>1602</v>
      </c>
      <c r="F31" t="s">
        <v>982</v>
      </c>
      <c r="G31">
        <v>93333</v>
      </c>
      <c r="H31" t="s">
        <v>1001</v>
      </c>
      <c r="I31" t="s">
        <v>1002</v>
      </c>
      <c r="J31" t="s">
        <v>1603</v>
      </c>
      <c r="K31" t="s">
        <v>1604</v>
      </c>
    </row>
    <row r="32" spans="1:11">
      <c r="A32" t="s">
        <v>1636</v>
      </c>
      <c r="B32">
        <v>202607</v>
      </c>
      <c r="C32" t="s">
        <v>600</v>
      </c>
      <c r="D32">
        <v>5400</v>
      </c>
      <c r="E32" t="s">
        <v>1602</v>
      </c>
      <c r="F32" t="s">
        <v>982</v>
      </c>
      <c r="G32">
        <v>93333</v>
      </c>
      <c r="H32" t="s">
        <v>1001</v>
      </c>
      <c r="I32" t="s">
        <v>1002</v>
      </c>
      <c r="J32" t="s">
        <v>1603</v>
      </c>
      <c r="K32" t="s">
        <v>1604</v>
      </c>
    </row>
    <row r="33" spans="1:11">
      <c r="A33" t="s">
        <v>1637</v>
      </c>
      <c r="B33">
        <v>202608</v>
      </c>
      <c r="C33" t="s">
        <v>600</v>
      </c>
      <c r="D33">
        <v>5400</v>
      </c>
      <c r="E33" t="s">
        <v>1602</v>
      </c>
      <c r="F33" t="s">
        <v>982</v>
      </c>
      <c r="G33">
        <v>93333</v>
      </c>
      <c r="H33" t="s">
        <v>1001</v>
      </c>
      <c r="I33" t="s">
        <v>1002</v>
      </c>
      <c r="J33" t="s">
        <v>1603</v>
      </c>
      <c r="K33" t="s">
        <v>1604</v>
      </c>
    </row>
    <row r="34" spans="1:11">
      <c r="A34" t="s">
        <v>1638</v>
      </c>
      <c r="B34">
        <v>202609</v>
      </c>
      <c r="C34" t="s">
        <v>600</v>
      </c>
      <c r="D34">
        <v>5400</v>
      </c>
      <c r="E34" t="s">
        <v>1602</v>
      </c>
      <c r="F34" t="s">
        <v>982</v>
      </c>
      <c r="G34">
        <v>93333</v>
      </c>
      <c r="H34" t="s">
        <v>1001</v>
      </c>
      <c r="I34" t="s">
        <v>1002</v>
      </c>
      <c r="J34" t="s">
        <v>1603</v>
      </c>
      <c r="K34" t="s">
        <v>1604</v>
      </c>
    </row>
    <row r="35" spans="1:11">
      <c r="A35" t="s">
        <v>1639</v>
      </c>
      <c r="B35">
        <v>202610</v>
      </c>
      <c r="C35" t="s">
        <v>600</v>
      </c>
      <c r="D35">
        <v>5400</v>
      </c>
      <c r="E35" t="s">
        <v>1614</v>
      </c>
      <c r="F35" t="s">
        <v>985</v>
      </c>
      <c r="G35">
        <v>93333</v>
      </c>
      <c r="H35" t="s">
        <v>1001</v>
      </c>
      <c r="I35" t="s">
        <v>1002</v>
      </c>
      <c r="J35" t="s">
        <v>1603</v>
      </c>
      <c r="K35" t="s">
        <v>1604</v>
      </c>
    </row>
    <row r="36" spans="1:11">
      <c r="A36" t="s">
        <v>1640</v>
      </c>
      <c r="B36">
        <v>202611</v>
      </c>
      <c r="C36" t="s">
        <v>600</v>
      </c>
      <c r="D36">
        <v>5400</v>
      </c>
      <c r="E36" t="s">
        <v>1614</v>
      </c>
      <c r="F36" t="s">
        <v>985</v>
      </c>
      <c r="G36">
        <v>93333</v>
      </c>
      <c r="H36" t="s">
        <v>1001</v>
      </c>
      <c r="I36" t="s">
        <v>1002</v>
      </c>
      <c r="J36" t="s">
        <v>1603</v>
      </c>
      <c r="K36" t="s">
        <v>1604</v>
      </c>
    </row>
    <row r="37" spans="1:11">
      <c r="A37" t="s">
        <v>1641</v>
      </c>
      <c r="B37">
        <v>202612</v>
      </c>
      <c r="C37" t="s">
        <v>600</v>
      </c>
      <c r="D37">
        <v>5400</v>
      </c>
      <c r="E37" t="s">
        <v>1614</v>
      </c>
      <c r="F37" t="s">
        <v>985</v>
      </c>
      <c r="G37">
        <v>93337</v>
      </c>
      <c r="H37" t="s">
        <v>1001</v>
      </c>
      <c r="I37" t="s">
        <v>1002</v>
      </c>
      <c r="J37" t="s">
        <v>1603</v>
      </c>
      <c r="K37" t="s">
        <v>1604</v>
      </c>
    </row>
    <row r="38" spans="1:11">
      <c r="A38" t="s">
        <v>1642</v>
      </c>
      <c r="B38">
        <v>202601</v>
      </c>
      <c r="C38" t="s">
        <v>600</v>
      </c>
      <c r="D38">
        <v>5420</v>
      </c>
      <c r="E38" t="s">
        <v>1602</v>
      </c>
      <c r="F38" t="s">
        <v>982</v>
      </c>
      <c r="G38">
        <v>70000</v>
      </c>
      <c r="H38" t="s">
        <v>1001</v>
      </c>
      <c r="I38" t="s">
        <v>1002</v>
      </c>
      <c r="J38" t="s">
        <v>1603</v>
      </c>
      <c r="K38" t="s">
        <v>1604</v>
      </c>
    </row>
    <row r="39" spans="1:11">
      <c r="A39" t="s">
        <v>1643</v>
      </c>
      <c r="B39">
        <v>202602</v>
      </c>
      <c r="C39" t="s">
        <v>600</v>
      </c>
      <c r="D39">
        <v>5420</v>
      </c>
      <c r="E39" t="s">
        <v>1602</v>
      </c>
      <c r="F39" t="s">
        <v>982</v>
      </c>
      <c r="G39">
        <v>70000</v>
      </c>
      <c r="H39" t="s">
        <v>1001</v>
      </c>
      <c r="I39" t="s">
        <v>1002</v>
      </c>
      <c r="J39" t="s">
        <v>1603</v>
      </c>
      <c r="K39" t="s">
        <v>1604</v>
      </c>
    </row>
    <row r="40" spans="1:11">
      <c r="A40" t="s">
        <v>1644</v>
      </c>
      <c r="B40">
        <v>202603</v>
      </c>
      <c r="C40" t="s">
        <v>600</v>
      </c>
      <c r="D40">
        <v>5420</v>
      </c>
      <c r="E40" t="s">
        <v>1602</v>
      </c>
      <c r="F40" t="s">
        <v>982</v>
      </c>
      <c r="G40">
        <v>70000</v>
      </c>
      <c r="H40" t="s">
        <v>1001</v>
      </c>
      <c r="I40" t="s">
        <v>1002</v>
      </c>
      <c r="J40" t="s">
        <v>1603</v>
      </c>
      <c r="K40" t="s">
        <v>1604</v>
      </c>
    </row>
    <row r="41" spans="1:11">
      <c r="A41" t="s">
        <v>1645</v>
      </c>
      <c r="B41">
        <v>202604</v>
      </c>
      <c r="C41" t="s">
        <v>600</v>
      </c>
      <c r="D41">
        <v>5420</v>
      </c>
      <c r="E41" t="s">
        <v>1602</v>
      </c>
      <c r="F41" t="s">
        <v>982</v>
      </c>
      <c r="G41">
        <v>70000</v>
      </c>
      <c r="H41" t="s">
        <v>1001</v>
      </c>
      <c r="I41" t="s">
        <v>1002</v>
      </c>
      <c r="J41" t="s">
        <v>1603</v>
      </c>
      <c r="K41" t="s">
        <v>1604</v>
      </c>
    </row>
    <row r="42" spans="1:11">
      <c r="A42" t="s">
        <v>1646</v>
      </c>
      <c r="B42">
        <v>202605</v>
      </c>
      <c r="C42" t="s">
        <v>600</v>
      </c>
      <c r="D42">
        <v>5420</v>
      </c>
      <c r="E42" t="s">
        <v>1602</v>
      </c>
      <c r="F42" t="s">
        <v>982</v>
      </c>
      <c r="G42">
        <v>70000</v>
      </c>
      <c r="H42" t="s">
        <v>1001</v>
      </c>
      <c r="I42" t="s">
        <v>1002</v>
      </c>
      <c r="J42" t="s">
        <v>1603</v>
      </c>
      <c r="K42" t="s">
        <v>1604</v>
      </c>
    </row>
    <row r="43" spans="1:11">
      <c r="A43" t="s">
        <v>1647</v>
      </c>
      <c r="B43">
        <v>202606</v>
      </c>
      <c r="C43" t="s">
        <v>600</v>
      </c>
      <c r="D43">
        <v>5420</v>
      </c>
      <c r="E43" t="s">
        <v>1602</v>
      </c>
      <c r="F43" t="s">
        <v>982</v>
      </c>
      <c r="G43">
        <v>70000</v>
      </c>
      <c r="H43" t="s">
        <v>1001</v>
      </c>
      <c r="I43" t="s">
        <v>1002</v>
      </c>
      <c r="J43" t="s">
        <v>1603</v>
      </c>
      <c r="K43" t="s">
        <v>1604</v>
      </c>
    </row>
    <row r="44" spans="1:11">
      <c r="A44" t="s">
        <v>1648</v>
      </c>
      <c r="B44">
        <v>202607</v>
      </c>
      <c r="C44" t="s">
        <v>600</v>
      </c>
      <c r="D44">
        <v>5420</v>
      </c>
      <c r="E44" t="s">
        <v>1602</v>
      </c>
      <c r="F44" t="s">
        <v>982</v>
      </c>
      <c r="G44">
        <v>70000</v>
      </c>
      <c r="H44" t="s">
        <v>1001</v>
      </c>
      <c r="I44" t="s">
        <v>1002</v>
      </c>
      <c r="J44" t="s">
        <v>1603</v>
      </c>
      <c r="K44" t="s">
        <v>1604</v>
      </c>
    </row>
    <row r="45" spans="1:11">
      <c r="A45" t="s">
        <v>1649</v>
      </c>
      <c r="B45">
        <v>202608</v>
      </c>
      <c r="C45" t="s">
        <v>600</v>
      </c>
      <c r="D45">
        <v>5420</v>
      </c>
      <c r="E45" t="s">
        <v>1602</v>
      </c>
      <c r="F45" t="s">
        <v>982</v>
      </c>
      <c r="G45">
        <v>70000</v>
      </c>
      <c r="H45" t="s">
        <v>1001</v>
      </c>
      <c r="I45" t="s">
        <v>1002</v>
      </c>
      <c r="J45" t="s">
        <v>1603</v>
      </c>
      <c r="K45" t="s">
        <v>1604</v>
      </c>
    </row>
    <row r="46" spans="1:11">
      <c r="A46" t="s">
        <v>1650</v>
      </c>
      <c r="B46">
        <v>202609</v>
      </c>
      <c r="C46" t="s">
        <v>600</v>
      </c>
      <c r="D46">
        <v>5420</v>
      </c>
      <c r="E46" t="s">
        <v>1602</v>
      </c>
      <c r="F46" t="s">
        <v>982</v>
      </c>
      <c r="G46">
        <v>70000</v>
      </c>
      <c r="H46" t="s">
        <v>1001</v>
      </c>
      <c r="I46" t="s">
        <v>1002</v>
      </c>
      <c r="J46" t="s">
        <v>1603</v>
      </c>
      <c r="K46" t="s">
        <v>1604</v>
      </c>
    </row>
    <row r="47" spans="1:11">
      <c r="A47" t="s">
        <v>1651</v>
      </c>
      <c r="B47">
        <v>202610</v>
      </c>
      <c r="C47" t="s">
        <v>600</v>
      </c>
      <c r="D47">
        <v>5420</v>
      </c>
      <c r="E47" t="s">
        <v>1614</v>
      </c>
      <c r="F47" t="s">
        <v>985</v>
      </c>
      <c r="G47">
        <v>70000</v>
      </c>
      <c r="H47" t="s">
        <v>1001</v>
      </c>
      <c r="I47" t="s">
        <v>1002</v>
      </c>
      <c r="J47" t="s">
        <v>1603</v>
      </c>
      <c r="K47" t="s">
        <v>1604</v>
      </c>
    </row>
    <row r="48" spans="1:11">
      <c r="A48" t="s">
        <v>1652</v>
      </c>
      <c r="B48">
        <v>202611</v>
      </c>
      <c r="C48" t="s">
        <v>600</v>
      </c>
      <c r="D48">
        <v>5420</v>
      </c>
      <c r="E48" t="s">
        <v>1614</v>
      </c>
      <c r="F48" t="s">
        <v>985</v>
      </c>
      <c r="G48">
        <v>70000</v>
      </c>
      <c r="H48" t="s">
        <v>1001</v>
      </c>
      <c r="I48" t="s">
        <v>1002</v>
      </c>
      <c r="J48" t="s">
        <v>1603</v>
      </c>
      <c r="K48" t="s">
        <v>1604</v>
      </c>
    </row>
    <row r="49" spans="1:11">
      <c r="A49" t="s">
        <v>1653</v>
      </c>
      <c r="B49">
        <v>202612</v>
      </c>
      <c r="C49" t="s">
        <v>600</v>
      </c>
      <c r="D49">
        <v>5420</v>
      </c>
      <c r="E49" t="s">
        <v>1614</v>
      </c>
      <c r="F49" t="s">
        <v>985</v>
      </c>
      <c r="G49">
        <v>70000</v>
      </c>
      <c r="H49" t="s">
        <v>1001</v>
      </c>
      <c r="I49" t="s">
        <v>1002</v>
      </c>
      <c r="J49" t="s">
        <v>1603</v>
      </c>
      <c r="K49" t="s">
        <v>1604</v>
      </c>
    </row>
    <row r="50" spans="1:11">
      <c r="A50" t="s">
        <v>1654</v>
      </c>
      <c r="B50">
        <v>202601</v>
      </c>
      <c r="C50" t="s">
        <v>600</v>
      </c>
      <c r="D50">
        <v>5100</v>
      </c>
      <c r="E50" t="s">
        <v>1602</v>
      </c>
      <c r="F50" t="s">
        <v>982</v>
      </c>
      <c r="G50">
        <v>46666</v>
      </c>
      <c r="H50" t="s">
        <v>1001</v>
      </c>
      <c r="I50" t="s">
        <v>1002</v>
      </c>
      <c r="J50" t="s">
        <v>1603</v>
      </c>
      <c r="K50" t="s">
        <v>1604</v>
      </c>
    </row>
    <row r="51" spans="1:11">
      <c r="A51" t="s">
        <v>1655</v>
      </c>
      <c r="B51">
        <v>202602</v>
      </c>
      <c r="C51" t="s">
        <v>600</v>
      </c>
      <c r="D51">
        <v>5100</v>
      </c>
      <c r="E51" t="s">
        <v>1602</v>
      </c>
      <c r="F51" t="s">
        <v>982</v>
      </c>
      <c r="G51">
        <v>46666</v>
      </c>
      <c r="H51" t="s">
        <v>1001</v>
      </c>
      <c r="I51" t="s">
        <v>1002</v>
      </c>
      <c r="J51" t="s">
        <v>1603</v>
      </c>
      <c r="K51" t="s">
        <v>1604</v>
      </c>
    </row>
    <row r="52" spans="1:11">
      <c r="A52" t="s">
        <v>1656</v>
      </c>
      <c r="B52">
        <v>202603</v>
      </c>
      <c r="C52" t="s">
        <v>600</v>
      </c>
      <c r="D52">
        <v>5100</v>
      </c>
      <c r="E52" t="s">
        <v>1602</v>
      </c>
      <c r="F52" t="s">
        <v>982</v>
      </c>
      <c r="G52">
        <v>46666</v>
      </c>
      <c r="H52" t="s">
        <v>1001</v>
      </c>
      <c r="I52" t="s">
        <v>1002</v>
      </c>
      <c r="J52" t="s">
        <v>1603</v>
      </c>
      <c r="K52" t="s">
        <v>1604</v>
      </c>
    </row>
    <row r="53" spans="1:11">
      <c r="A53" t="s">
        <v>1657</v>
      </c>
      <c r="B53">
        <v>202604</v>
      </c>
      <c r="C53" t="s">
        <v>600</v>
      </c>
      <c r="D53">
        <v>5100</v>
      </c>
      <c r="E53" t="s">
        <v>1602</v>
      </c>
      <c r="F53" t="s">
        <v>982</v>
      </c>
      <c r="G53">
        <v>46666</v>
      </c>
      <c r="H53" t="s">
        <v>1001</v>
      </c>
      <c r="I53" t="s">
        <v>1002</v>
      </c>
      <c r="J53" t="s">
        <v>1603</v>
      </c>
      <c r="K53" t="s">
        <v>1604</v>
      </c>
    </row>
    <row r="54" spans="1:11">
      <c r="A54" t="s">
        <v>1658</v>
      </c>
      <c r="B54">
        <v>202605</v>
      </c>
      <c r="C54" t="s">
        <v>600</v>
      </c>
      <c r="D54">
        <v>5100</v>
      </c>
      <c r="E54" t="s">
        <v>1602</v>
      </c>
      <c r="F54" t="s">
        <v>982</v>
      </c>
      <c r="G54">
        <v>46666</v>
      </c>
      <c r="H54" t="s">
        <v>1001</v>
      </c>
      <c r="I54" t="s">
        <v>1002</v>
      </c>
      <c r="J54" t="s">
        <v>1603</v>
      </c>
      <c r="K54" t="s">
        <v>1604</v>
      </c>
    </row>
    <row r="55" spans="1:11">
      <c r="A55" t="s">
        <v>1659</v>
      </c>
      <c r="B55">
        <v>202606</v>
      </c>
      <c r="C55" t="s">
        <v>600</v>
      </c>
      <c r="D55">
        <v>5100</v>
      </c>
      <c r="E55" t="s">
        <v>1602</v>
      </c>
      <c r="F55" t="s">
        <v>982</v>
      </c>
      <c r="G55">
        <v>46666</v>
      </c>
      <c r="H55" t="s">
        <v>1001</v>
      </c>
      <c r="I55" t="s">
        <v>1002</v>
      </c>
      <c r="J55" t="s">
        <v>1603</v>
      </c>
      <c r="K55" t="s">
        <v>1604</v>
      </c>
    </row>
    <row r="56" spans="1:11">
      <c r="A56" t="s">
        <v>1660</v>
      </c>
      <c r="B56">
        <v>202607</v>
      </c>
      <c r="C56" t="s">
        <v>600</v>
      </c>
      <c r="D56">
        <v>5100</v>
      </c>
      <c r="E56" t="s">
        <v>1602</v>
      </c>
      <c r="F56" t="s">
        <v>982</v>
      </c>
      <c r="G56">
        <v>46666</v>
      </c>
      <c r="H56" t="s">
        <v>1001</v>
      </c>
      <c r="I56" t="s">
        <v>1002</v>
      </c>
      <c r="J56" t="s">
        <v>1603</v>
      </c>
      <c r="K56" t="s">
        <v>1604</v>
      </c>
    </row>
    <row r="57" spans="1:11">
      <c r="A57" t="s">
        <v>1661</v>
      </c>
      <c r="B57">
        <v>202608</v>
      </c>
      <c r="C57" t="s">
        <v>600</v>
      </c>
      <c r="D57">
        <v>5100</v>
      </c>
      <c r="E57" t="s">
        <v>1602</v>
      </c>
      <c r="F57" t="s">
        <v>982</v>
      </c>
      <c r="G57">
        <v>46666</v>
      </c>
      <c r="H57" t="s">
        <v>1001</v>
      </c>
      <c r="I57" t="s">
        <v>1002</v>
      </c>
      <c r="J57" t="s">
        <v>1603</v>
      </c>
      <c r="K57" t="s">
        <v>1604</v>
      </c>
    </row>
    <row r="58" spans="1:11">
      <c r="A58" t="s">
        <v>1662</v>
      </c>
      <c r="B58">
        <v>202609</v>
      </c>
      <c r="C58" t="s">
        <v>600</v>
      </c>
      <c r="D58">
        <v>5100</v>
      </c>
      <c r="E58" t="s">
        <v>1602</v>
      </c>
      <c r="F58" t="s">
        <v>982</v>
      </c>
      <c r="G58">
        <v>46666</v>
      </c>
      <c r="H58" t="s">
        <v>1001</v>
      </c>
      <c r="I58" t="s">
        <v>1002</v>
      </c>
      <c r="J58" t="s">
        <v>1603</v>
      </c>
      <c r="K58" t="s">
        <v>1604</v>
      </c>
    </row>
    <row r="59" spans="1:11">
      <c r="A59" t="s">
        <v>1663</v>
      </c>
      <c r="B59">
        <v>202610</v>
      </c>
      <c r="C59" t="s">
        <v>600</v>
      </c>
      <c r="D59">
        <v>5100</v>
      </c>
      <c r="E59" t="s">
        <v>1614</v>
      </c>
      <c r="F59" t="s">
        <v>985</v>
      </c>
      <c r="G59">
        <v>46666</v>
      </c>
      <c r="H59" t="s">
        <v>1001</v>
      </c>
      <c r="I59" t="s">
        <v>1002</v>
      </c>
      <c r="J59" t="s">
        <v>1603</v>
      </c>
      <c r="K59" t="s">
        <v>1604</v>
      </c>
    </row>
    <row r="60" spans="1:11">
      <c r="A60" t="s">
        <v>1664</v>
      </c>
      <c r="B60">
        <v>202611</v>
      </c>
      <c r="C60" t="s">
        <v>600</v>
      </c>
      <c r="D60">
        <v>5100</v>
      </c>
      <c r="E60" t="s">
        <v>1614</v>
      </c>
      <c r="F60" t="s">
        <v>985</v>
      </c>
      <c r="G60">
        <v>46666</v>
      </c>
      <c r="H60" t="s">
        <v>1001</v>
      </c>
      <c r="I60" t="s">
        <v>1002</v>
      </c>
      <c r="J60" t="s">
        <v>1603</v>
      </c>
      <c r="K60" t="s">
        <v>1604</v>
      </c>
    </row>
    <row r="61" spans="1:11">
      <c r="A61" t="s">
        <v>1665</v>
      </c>
      <c r="B61">
        <v>202612</v>
      </c>
      <c r="C61" t="s">
        <v>600</v>
      </c>
      <c r="D61">
        <v>5100</v>
      </c>
      <c r="E61" t="s">
        <v>1614</v>
      </c>
      <c r="F61" t="s">
        <v>985</v>
      </c>
      <c r="G61">
        <v>46674</v>
      </c>
      <c r="H61" t="s">
        <v>1001</v>
      </c>
      <c r="I61" t="s">
        <v>1002</v>
      </c>
      <c r="J61" t="s">
        <v>1603</v>
      </c>
      <c r="K61" t="s">
        <v>1604</v>
      </c>
    </row>
    <row r="62" spans="1:11">
      <c r="A62" t="s">
        <v>1666</v>
      </c>
      <c r="B62">
        <v>202601</v>
      </c>
      <c r="C62" t="s">
        <v>600</v>
      </c>
      <c r="D62">
        <v>6300</v>
      </c>
      <c r="E62" t="s">
        <v>1602</v>
      </c>
      <c r="F62" t="s">
        <v>982</v>
      </c>
      <c r="G62">
        <v>93333</v>
      </c>
      <c r="H62" t="s">
        <v>1001</v>
      </c>
      <c r="I62" t="s">
        <v>1002</v>
      </c>
      <c r="J62" t="s">
        <v>1603</v>
      </c>
      <c r="K62" t="s">
        <v>1604</v>
      </c>
    </row>
    <row r="63" spans="1:11">
      <c r="A63" t="s">
        <v>1667</v>
      </c>
      <c r="B63">
        <v>202602</v>
      </c>
      <c r="C63" t="s">
        <v>600</v>
      </c>
      <c r="D63">
        <v>6300</v>
      </c>
      <c r="E63" t="s">
        <v>1602</v>
      </c>
      <c r="F63" t="s">
        <v>982</v>
      </c>
      <c r="G63">
        <v>93333</v>
      </c>
      <c r="H63" t="s">
        <v>1001</v>
      </c>
      <c r="I63" t="s">
        <v>1002</v>
      </c>
      <c r="J63" t="s">
        <v>1603</v>
      </c>
      <c r="K63" t="s">
        <v>1604</v>
      </c>
    </row>
    <row r="64" spans="1:11">
      <c r="A64" t="s">
        <v>1668</v>
      </c>
      <c r="B64">
        <v>202603</v>
      </c>
      <c r="C64" t="s">
        <v>600</v>
      </c>
      <c r="D64">
        <v>6300</v>
      </c>
      <c r="E64" t="s">
        <v>1602</v>
      </c>
      <c r="F64" t="s">
        <v>982</v>
      </c>
      <c r="G64">
        <v>93333</v>
      </c>
      <c r="H64" t="s">
        <v>1001</v>
      </c>
      <c r="I64" t="s">
        <v>1002</v>
      </c>
      <c r="J64" t="s">
        <v>1603</v>
      </c>
      <c r="K64" t="s">
        <v>1604</v>
      </c>
    </row>
    <row r="65" spans="1:11">
      <c r="A65" t="s">
        <v>1669</v>
      </c>
      <c r="B65">
        <v>202604</v>
      </c>
      <c r="C65" t="s">
        <v>600</v>
      </c>
      <c r="D65">
        <v>6300</v>
      </c>
      <c r="E65" t="s">
        <v>1602</v>
      </c>
      <c r="F65" t="s">
        <v>982</v>
      </c>
      <c r="G65">
        <v>93333</v>
      </c>
      <c r="H65" t="s">
        <v>1001</v>
      </c>
      <c r="I65" t="s">
        <v>1002</v>
      </c>
      <c r="J65" t="s">
        <v>1603</v>
      </c>
      <c r="K65" t="s">
        <v>1604</v>
      </c>
    </row>
    <row r="66" spans="1:11">
      <c r="A66" t="s">
        <v>1670</v>
      </c>
      <c r="B66">
        <v>202605</v>
      </c>
      <c r="C66" t="s">
        <v>600</v>
      </c>
      <c r="D66">
        <v>6300</v>
      </c>
      <c r="E66" t="s">
        <v>1602</v>
      </c>
      <c r="F66" t="s">
        <v>982</v>
      </c>
      <c r="G66">
        <v>93333</v>
      </c>
      <c r="H66" t="s">
        <v>1001</v>
      </c>
      <c r="I66" t="s">
        <v>1002</v>
      </c>
      <c r="J66" t="s">
        <v>1603</v>
      </c>
      <c r="K66" t="s">
        <v>1604</v>
      </c>
    </row>
    <row r="67" spans="1:11">
      <c r="A67" t="s">
        <v>1671</v>
      </c>
      <c r="B67">
        <v>202606</v>
      </c>
      <c r="C67" t="s">
        <v>600</v>
      </c>
      <c r="D67">
        <v>6300</v>
      </c>
      <c r="E67" t="s">
        <v>1602</v>
      </c>
      <c r="F67" t="s">
        <v>982</v>
      </c>
      <c r="G67">
        <v>93333</v>
      </c>
      <c r="H67" t="s">
        <v>1001</v>
      </c>
      <c r="I67" t="s">
        <v>1002</v>
      </c>
      <c r="J67" t="s">
        <v>1603</v>
      </c>
      <c r="K67" t="s">
        <v>1604</v>
      </c>
    </row>
    <row r="68" spans="1:11">
      <c r="A68" t="s">
        <v>1672</v>
      </c>
      <c r="B68">
        <v>202607</v>
      </c>
      <c r="C68" t="s">
        <v>600</v>
      </c>
      <c r="D68">
        <v>6300</v>
      </c>
      <c r="E68" t="s">
        <v>1602</v>
      </c>
      <c r="F68" t="s">
        <v>982</v>
      </c>
      <c r="G68">
        <v>93333</v>
      </c>
      <c r="H68" t="s">
        <v>1001</v>
      </c>
      <c r="I68" t="s">
        <v>1002</v>
      </c>
      <c r="J68" t="s">
        <v>1603</v>
      </c>
      <c r="K68" t="s">
        <v>1604</v>
      </c>
    </row>
    <row r="69" spans="1:11">
      <c r="A69" t="s">
        <v>1673</v>
      </c>
      <c r="B69">
        <v>202608</v>
      </c>
      <c r="C69" t="s">
        <v>600</v>
      </c>
      <c r="D69">
        <v>6300</v>
      </c>
      <c r="E69" t="s">
        <v>1602</v>
      </c>
      <c r="F69" t="s">
        <v>982</v>
      </c>
      <c r="G69">
        <v>93333</v>
      </c>
      <c r="H69" t="s">
        <v>1001</v>
      </c>
      <c r="I69" t="s">
        <v>1002</v>
      </c>
      <c r="J69" t="s">
        <v>1603</v>
      </c>
      <c r="K69" t="s">
        <v>1604</v>
      </c>
    </row>
    <row r="70" spans="1:11">
      <c r="A70" t="s">
        <v>1674</v>
      </c>
      <c r="B70">
        <v>202609</v>
      </c>
      <c r="C70" t="s">
        <v>600</v>
      </c>
      <c r="D70">
        <v>6300</v>
      </c>
      <c r="E70" t="s">
        <v>1602</v>
      </c>
      <c r="F70" t="s">
        <v>982</v>
      </c>
      <c r="G70">
        <v>93333</v>
      </c>
      <c r="H70" t="s">
        <v>1001</v>
      </c>
      <c r="I70" t="s">
        <v>1002</v>
      </c>
      <c r="J70" t="s">
        <v>1603</v>
      </c>
      <c r="K70" t="s">
        <v>1604</v>
      </c>
    </row>
    <row r="71" spans="1:11">
      <c r="A71" t="s">
        <v>1675</v>
      </c>
      <c r="B71">
        <v>202610</v>
      </c>
      <c r="C71" t="s">
        <v>600</v>
      </c>
      <c r="D71">
        <v>6300</v>
      </c>
      <c r="E71" t="s">
        <v>1614</v>
      </c>
      <c r="F71" t="s">
        <v>985</v>
      </c>
      <c r="G71">
        <v>93333</v>
      </c>
      <c r="H71" t="s">
        <v>1001</v>
      </c>
      <c r="I71" t="s">
        <v>1002</v>
      </c>
      <c r="J71" t="s">
        <v>1603</v>
      </c>
      <c r="K71" t="s">
        <v>1604</v>
      </c>
    </row>
    <row r="72" spans="1:11">
      <c r="A72" t="s">
        <v>1676</v>
      </c>
      <c r="B72">
        <v>202611</v>
      </c>
      <c r="C72" t="s">
        <v>600</v>
      </c>
      <c r="D72">
        <v>6300</v>
      </c>
      <c r="E72" t="s">
        <v>1614</v>
      </c>
      <c r="F72" t="s">
        <v>985</v>
      </c>
      <c r="G72">
        <v>93333</v>
      </c>
      <c r="H72" t="s">
        <v>1001</v>
      </c>
      <c r="I72" t="s">
        <v>1002</v>
      </c>
      <c r="J72" t="s">
        <v>1603</v>
      </c>
      <c r="K72" t="s">
        <v>1604</v>
      </c>
    </row>
    <row r="73" spans="1:11">
      <c r="A73" t="s">
        <v>1677</v>
      </c>
      <c r="B73">
        <v>202612</v>
      </c>
      <c r="C73" t="s">
        <v>600</v>
      </c>
      <c r="D73">
        <v>6300</v>
      </c>
      <c r="E73" t="s">
        <v>1614</v>
      </c>
      <c r="F73" t="s">
        <v>985</v>
      </c>
      <c r="G73">
        <v>93337</v>
      </c>
      <c r="H73" t="s">
        <v>1001</v>
      </c>
      <c r="I73" t="s">
        <v>1002</v>
      </c>
      <c r="J73" t="s">
        <v>1603</v>
      </c>
      <c r="K73" t="s">
        <v>1604</v>
      </c>
    </row>
    <row r="74" spans="1:11">
      <c r="A74" t="s">
        <v>1678</v>
      </c>
      <c r="B74">
        <v>202601</v>
      </c>
      <c r="C74" t="s">
        <v>600</v>
      </c>
      <c r="D74">
        <v>6550</v>
      </c>
      <c r="E74" t="s">
        <v>1602</v>
      </c>
      <c r="F74" t="s">
        <v>982</v>
      </c>
      <c r="G74">
        <v>35000</v>
      </c>
      <c r="H74" t="s">
        <v>1001</v>
      </c>
      <c r="I74" t="s">
        <v>1002</v>
      </c>
      <c r="J74" t="s">
        <v>1603</v>
      </c>
      <c r="K74" t="s">
        <v>1604</v>
      </c>
    </row>
    <row r="75" spans="1:11">
      <c r="A75" t="s">
        <v>1679</v>
      </c>
      <c r="B75">
        <v>202602</v>
      </c>
      <c r="C75" t="s">
        <v>600</v>
      </c>
      <c r="D75">
        <v>6550</v>
      </c>
      <c r="E75" t="s">
        <v>1602</v>
      </c>
      <c r="F75" t="s">
        <v>982</v>
      </c>
      <c r="G75">
        <v>35000</v>
      </c>
      <c r="H75" t="s">
        <v>1001</v>
      </c>
      <c r="I75" t="s">
        <v>1002</v>
      </c>
      <c r="J75" t="s">
        <v>1603</v>
      </c>
      <c r="K75" t="s">
        <v>1604</v>
      </c>
    </row>
    <row r="76" spans="1:11">
      <c r="A76" t="s">
        <v>1680</v>
      </c>
      <c r="B76">
        <v>202603</v>
      </c>
      <c r="C76" t="s">
        <v>600</v>
      </c>
      <c r="D76">
        <v>6550</v>
      </c>
      <c r="E76" t="s">
        <v>1602</v>
      </c>
      <c r="F76" t="s">
        <v>982</v>
      </c>
      <c r="G76">
        <v>35000</v>
      </c>
      <c r="H76" t="s">
        <v>1001</v>
      </c>
      <c r="I76" t="s">
        <v>1002</v>
      </c>
      <c r="J76" t="s">
        <v>1603</v>
      </c>
      <c r="K76" t="s">
        <v>1604</v>
      </c>
    </row>
    <row r="77" spans="1:11">
      <c r="A77" t="s">
        <v>1681</v>
      </c>
      <c r="B77">
        <v>202604</v>
      </c>
      <c r="C77" t="s">
        <v>600</v>
      </c>
      <c r="D77">
        <v>6550</v>
      </c>
      <c r="E77" t="s">
        <v>1602</v>
      </c>
      <c r="F77" t="s">
        <v>982</v>
      </c>
      <c r="G77">
        <v>35000</v>
      </c>
      <c r="H77" t="s">
        <v>1001</v>
      </c>
      <c r="I77" t="s">
        <v>1002</v>
      </c>
      <c r="J77" t="s">
        <v>1603</v>
      </c>
      <c r="K77" t="s">
        <v>1604</v>
      </c>
    </row>
    <row r="78" spans="1:11">
      <c r="A78" t="s">
        <v>1682</v>
      </c>
      <c r="B78">
        <v>202605</v>
      </c>
      <c r="C78" t="s">
        <v>600</v>
      </c>
      <c r="D78">
        <v>6550</v>
      </c>
      <c r="E78" t="s">
        <v>1602</v>
      </c>
      <c r="F78" t="s">
        <v>982</v>
      </c>
      <c r="G78">
        <v>35000</v>
      </c>
      <c r="H78" t="s">
        <v>1001</v>
      </c>
      <c r="I78" t="s">
        <v>1002</v>
      </c>
      <c r="J78" t="s">
        <v>1603</v>
      </c>
      <c r="K78" t="s">
        <v>1604</v>
      </c>
    </row>
    <row r="79" spans="1:11">
      <c r="A79" t="s">
        <v>1683</v>
      </c>
      <c r="B79">
        <v>202606</v>
      </c>
      <c r="C79" t="s">
        <v>600</v>
      </c>
      <c r="D79">
        <v>6550</v>
      </c>
      <c r="E79" t="s">
        <v>1602</v>
      </c>
      <c r="F79" t="s">
        <v>982</v>
      </c>
      <c r="G79">
        <v>35000</v>
      </c>
      <c r="H79" t="s">
        <v>1001</v>
      </c>
      <c r="I79" t="s">
        <v>1002</v>
      </c>
      <c r="J79" t="s">
        <v>1603</v>
      </c>
      <c r="K79" t="s">
        <v>1604</v>
      </c>
    </row>
    <row r="80" spans="1:11">
      <c r="A80" t="s">
        <v>1684</v>
      </c>
      <c r="B80">
        <v>202607</v>
      </c>
      <c r="C80" t="s">
        <v>600</v>
      </c>
      <c r="D80">
        <v>6550</v>
      </c>
      <c r="E80" t="s">
        <v>1602</v>
      </c>
      <c r="F80" t="s">
        <v>982</v>
      </c>
      <c r="G80">
        <v>35000</v>
      </c>
      <c r="H80" t="s">
        <v>1001</v>
      </c>
      <c r="I80" t="s">
        <v>1002</v>
      </c>
      <c r="J80" t="s">
        <v>1603</v>
      </c>
      <c r="K80" t="s">
        <v>1604</v>
      </c>
    </row>
    <row r="81" spans="1:11">
      <c r="A81" t="s">
        <v>1685</v>
      </c>
      <c r="B81">
        <v>202608</v>
      </c>
      <c r="C81" t="s">
        <v>600</v>
      </c>
      <c r="D81">
        <v>6550</v>
      </c>
      <c r="E81" t="s">
        <v>1602</v>
      </c>
      <c r="F81" t="s">
        <v>982</v>
      </c>
      <c r="G81">
        <v>35000</v>
      </c>
      <c r="H81" t="s">
        <v>1001</v>
      </c>
      <c r="I81" t="s">
        <v>1002</v>
      </c>
      <c r="J81" t="s">
        <v>1603</v>
      </c>
      <c r="K81" t="s">
        <v>1604</v>
      </c>
    </row>
    <row r="82" spans="1:11">
      <c r="A82" t="s">
        <v>1686</v>
      </c>
      <c r="B82">
        <v>202609</v>
      </c>
      <c r="C82" t="s">
        <v>600</v>
      </c>
      <c r="D82">
        <v>6550</v>
      </c>
      <c r="E82" t="s">
        <v>1602</v>
      </c>
      <c r="F82" t="s">
        <v>982</v>
      </c>
      <c r="G82">
        <v>35000</v>
      </c>
      <c r="H82" t="s">
        <v>1001</v>
      </c>
      <c r="I82" t="s">
        <v>1002</v>
      </c>
      <c r="J82" t="s">
        <v>1603</v>
      </c>
      <c r="K82" t="s">
        <v>1604</v>
      </c>
    </row>
    <row r="83" spans="1:11">
      <c r="A83" t="s">
        <v>1687</v>
      </c>
      <c r="B83">
        <v>202610</v>
      </c>
      <c r="C83" t="s">
        <v>600</v>
      </c>
      <c r="D83">
        <v>6550</v>
      </c>
      <c r="E83" t="s">
        <v>1614</v>
      </c>
      <c r="F83" t="s">
        <v>985</v>
      </c>
      <c r="G83">
        <v>35000</v>
      </c>
      <c r="H83" t="s">
        <v>1001</v>
      </c>
      <c r="I83" t="s">
        <v>1002</v>
      </c>
      <c r="J83" t="s">
        <v>1603</v>
      </c>
      <c r="K83" t="s">
        <v>1604</v>
      </c>
    </row>
    <row r="84" spans="1:11">
      <c r="A84" t="s">
        <v>1688</v>
      </c>
      <c r="B84">
        <v>202611</v>
      </c>
      <c r="C84" t="s">
        <v>600</v>
      </c>
      <c r="D84">
        <v>6550</v>
      </c>
      <c r="E84" t="s">
        <v>1614</v>
      </c>
      <c r="F84" t="s">
        <v>985</v>
      </c>
      <c r="G84">
        <v>35000</v>
      </c>
      <c r="H84" t="s">
        <v>1001</v>
      </c>
      <c r="I84" t="s">
        <v>1002</v>
      </c>
      <c r="J84" t="s">
        <v>1603</v>
      </c>
      <c r="K84" t="s">
        <v>1604</v>
      </c>
    </row>
    <row r="85" spans="1:11">
      <c r="A85" t="s">
        <v>1689</v>
      </c>
      <c r="B85">
        <v>202612</v>
      </c>
      <c r="C85" t="s">
        <v>600</v>
      </c>
      <c r="D85">
        <v>6550</v>
      </c>
      <c r="E85" t="s">
        <v>1614</v>
      </c>
      <c r="F85" t="s">
        <v>985</v>
      </c>
      <c r="G85">
        <v>35000</v>
      </c>
      <c r="H85" t="s">
        <v>1001</v>
      </c>
      <c r="I85" t="s">
        <v>1002</v>
      </c>
      <c r="J85" t="s">
        <v>1603</v>
      </c>
      <c r="K85" t="s">
        <v>1604</v>
      </c>
    </row>
    <row r="86" spans="1:11">
      <c r="A86" t="s">
        <v>1690</v>
      </c>
      <c r="B86">
        <v>202601</v>
      </c>
      <c r="C86" t="s">
        <v>600</v>
      </c>
      <c r="D86">
        <v>6700</v>
      </c>
      <c r="E86" t="s">
        <v>1602</v>
      </c>
      <c r="F86" t="s">
        <v>982</v>
      </c>
      <c r="G86">
        <v>35000</v>
      </c>
      <c r="H86" t="s">
        <v>1001</v>
      </c>
      <c r="I86" t="s">
        <v>1002</v>
      </c>
      <c r="J86" t="s">
        <v>1603</v>
      </c>
      <c r="K86" t="s">
        <v>1604</v>
      </c>
    </row>
    <row r="87" spans="1:11">
      <c r="A87" t="s">
        <v>1691</v>
      </c>
      <c r="B87">
        <v>202602</v>
      </c>
      <c r="C87" t="s">
        <v>600</v>
      </c>
      <c r="D87">
        <v>6700</v>
      </c>
      <c r="E87" t="s">
        <v>1602</v>
      </c>
      <c r="F87" t="s">
        <v>982</v>
      </c>
      <c r="G87">
        <v>35000</v>
      </c>
      <c r="H87" t="s">
        <v>1001</v>
      </c>
      <c r="I87" t="s">
        <v>1002</v>
      </c>
      <c r="J87" t="s">
        <v>1603</v>
      </c>
      <c r="K87" t="s">
        <v>1604</v>
      </c>
    </row>
    <row r="88" spans="1:11">
      <c r="A88" t="s">
        <v>1692</v>
      </c>
      <c r="B88">
        <v>202603</v>
      </c>
      <c r="C88" t="s">
        <v>600</v>
      </c>
      <c r="D88">
        <v>6700</v>
      </c>
      <c r="E88" t="s">
        <v>1602</v>
      </c>
      <c r="F88" t="s">
        <v>982</v>
      </c>
      <c r="G88">
        <v>64750</v>
      </c>
      <c r="H88" t="s">
        <v>1001</v>
      </c>
      <c r="I88" t="s">
        <v>1002</v>
      </c>
      <c r="J88" t="s">
        <v>1603</v>
      </c>
      <c r="K88" t="s">
        <v>1618</v>
      </c>
    </row>
    <row r="89" spans="1:11">
      <c r="A89" t="s">
        <v>1693</v>
      </c>
      <c r="B89">
        <v>202604</v>
      </c>
      <c r="C89" t="s">
        <v>600</v>
      </c>
      <c r="D89">
        <v>6700</v>
      </c>
      <c r="E89" t="s">
        <v>1602</v>
      </c>
      <c r="F89" t="s">
        <v>982</v>
      </c>
      <c r="G89">
        <v>35000</v>
      </c>
      <c r="H89" t="s">
        <v>1001</v>
      </c>
      <c r="I89" t="s">
        <v>1002</v>
      </c>
      <c r="J89" t="s">
        <v>1603</v>
      </c>
      <c r="K89" t="s">
        <v>1604</v>
      </c>
    </row>
    <row r="90" spans="1:11">
      <c r="A90" t="s">
        <v>1694</v>
      </c>
      <c r="B90">
        <v>202605</v>
      </c>
      <c r="C90" t="s">
        <v>600</v>
      </c>
      <c r="D90">
        <v>6700</v>
      </c>
      <c r="E90" t="s">
        <v>1602</v>
      </c>
      <c r="F90" t="s">
        <v>982</v>
      </c>
      <c r="G90">
        <v>35000</v>
      </c>
      <c r="H90" t="s">
        <v>1001</v>
      </c>
      <c r="I90" t="s">
        <v>1002</v>
      </c>
      <c r="J90" t="s">
        <v>1603</v>
      </c>
      <c r="K90" t="s">
        <v>1604</v>
      </c>
    </row>
    <row r="91" spans="1:11">
      <c r="A91" t="s">
        <v>1695</v>
      </c>
      <c r="B91">
        <v>202606</v>
      </c>
      <c r="C91" t="s">
        <v>600</v>
      </c>
      <c r="D91">
        <v>6700</v>
      </c>
      <c r="E91" t="s">
        <v>1602</v>
      </c>
      <c r="F91" t="s">
        <v>982</v>
      </c>
      <c r="G91">
        <v>35000</v>
      </c>
      <c r="H91" t="s">
        <v>1001</v>
      </c>
      <c r="I91" t="s">
        <v>1002</v>
      </c>
      <c r="J91" t="s">
        <v>1603</v>
      </c>
      <c r="K91" t="s">
        <v>1604</v>
      </c>
    </row>
    <row r="92" spans="1:11">
      <c r="A92" t="s">
        <v>1696</v>
      </c>
      <c r="B92">
        <v>202607</v>
      </c>
      <c r="C92" t="s">
        <v>600</v>
      </c>
      <c r="D92">
        <v>6700</v>
      </c>
      <c r="E92" t="s">
        <v>1602</v>
      </c>
      <c r="F92" t="s">
        <v>982</v>
      </c>
      <c r="G92">
        <v>35000</v>
      </c>
      <c r="H92" t="s">
        <v>1001</v>
      </c>
      <c r="I92" t="s">
        <v>1002</v>
      </c>
      <c r="J92" t="s">
        <v>1603</v>
      </c>
      <c r="K92" t="s">
        <v>1604</v>
      </c>
    </row>
    <row r="93" spans="1:11">
      <c r="A93" t="s">
        <v>1697</v>
      </c>
      <c r="B93">
        <v>202608</v>
      </c>
      <c r="C93" t="s">
        <v>600</v>
      </c>
      <c r="D93">
        <v>6700</v>
      </c>
      <c r="E93" t="s">
        <v>1602</v>
      </c>
      <c r="F93" t="s">
        <v>982</v>
      </c>
      <c r="G93">
        <v>35000</v>
      </c>
      <c r="H93" t="s">
        <v>1001</v>
      </c>
      <c r="I93" t="s">
        <v>1002</v>
      </c>
      <c r="J93" t="s">
        <v>1603</v>
      </c>
      <c r="K93" t="s">
        <v>1604</v>
      </c>
    </row>
    <row r="94" spans="1:11">
      <c r="A94" t="s">
        <v>1698</v>
      </c>
      <c r="B94">
        <v>202609</v>
      </c>
      <c r="C94" t="s">
        <v>600</v>
      </c>
      <c r="D94">
        <v>6700</v>
      </c>
      <c r="E94" t="s">
        <v>1602</v>
      </c>
      <c r="F94" t="s">
        <v>982</v>
      </c>
      <c r="G94">
        <v>64750</v>
      </c>
      <c r="H94" t="s">
        <v>1001</v>
      </c>
      <c r="I94" t="s">
        <v>1002</v>
      </c>
      <c r="J94" t="s">
        <v>1603</v>
      </c>
      <c r="K94" t="s">
        <v>1618</v>
      </c>
    </row>
    <row r="95" spans="1:11">
      <c r="A95" t="s">
        <v>1699</v>
      </c>
      <c r="B95">
        <v>202610</v>
      </c>
      <c r="C95" t="s">
        <v>600</v>
      </c>
      <c r="D95">
        <v>6700</v>
      </c>
      <c r="E95" t="s">
        <v>1614</v>
      </c>
      <c r="F95" t="s">
        <v>985</v>
      </c>
      <c r="G95">
        <v>35000</v>
      </c>
      <c r="H95" t="s">
        <v>1001</v>
      </c>
      <c r="I95" t="s">
        <v>1002</v>
      </c>
      <c r="J95" t="s">
        <v>1603</v>
      </c>
      <c r="K95" t="s">
        <v>1604</v>
      </c>
    </row>
    <row r="96" spans="1:11">
      <c r="A96" t="s">
        <v>1700</v>
      </c>
      <c r="B96">
        <v>202611</v>
      </c>
      <c r="C96" t="s">
        <v>600</v>
      </c>
      <c r="D96">
        <v>6700</v>
      </c>
      <c r="E96" t="s">
        <v>1614</v>
      </c>
      <c r="F96" t="s">
        <v>985</v>
      </c>
      <c r="G96">
        <v>35000</v>
      </c>
      <c r="H96" t="s">
        <v>1001</v>
      </c>
      <c r="I96" t="s">
        <v>1002</v>
      </c>
      <c r="J96" t="s">
        <v>1603</v>
      </c>
      <c r="K96" t="s">
        <v>1604</v>
      </c>
    </row>
    <row r="97" spans="1:11">
      <c r="A97" t="s">
        <v>1701</v>
      </c>
      <c r="B97">
        <v>202612</v>
      </c>
      <c r="C97" t="s">
        <v>600</v>
      </c>
      <c r="D97">
        <v>6700</v>
      </c>
      <c r="E97" t="s">
        <v>1614</v>
      </c>
      <c r="F97" t="s">
        <v>985</v>
      </c>
      <c r="G97">
        <v>35000</v>
      </c>
      <c r="H97" t="s">
        <v>1001</v>
      </c>
      <c r="I97" t="s">
        <v>1002</v>
      </c>
      <c r="J97" t="s">
        <v>1603</v>
      </c>
      <c r="K97" t="s">
        <v>1604</v>
      </c>
    </row>
    <row r="98" spans="1:11">
      <c r="A98" t="s">
        <v>1702</v>
      </c>
      <c r="B98">
        <v>202601</v>
      </c>
      <c r="C98" t="s">
        <v>600</v>
      </c>
      <c r="D98">
        <v>7130</v>
      </c>
      <c r="E98" t="s">
        <v>1602</v>
      </c>
      <c r="F98" t="s">
        <v>982</v>
      </c>
      <c r="G98">
        <v>35000</v>
      </c>
      <c r="H98" t="s">
        <v>1001</v>
      </c>
      <c r="I98" t="s">
        <v>1002</v>
      </c>
      <c r="J98" t="s">
        <v>1603</v>
      </c>
      <c r="K98" t="s">
        <v>1604</v>
      </c>
    </row>
    <row r="99" spans="1:11">
      <c r="A99" t="s">
        <v>1703</v>
      </c>
      <c r="B99">
        <v>202602</v>
      </c>
      <c r="C99" t="s">
        <v>600</v>
      </c>
      <c r="D99">
        <v>7130</v>
      </c>
      <c r="E99" t="s">
        <v>1602</v>
      </c>
      <c r="F99" t="s">
        <v>982</v>
      </c>
      <c r="G99">
        <v>35000</v>
      </c>
      <c r="H99" t="s">
        <v>1001</v>
      </c>
      <c r="I99" t="s">
        <v>1002</v>
      </c>
      <c r="J99" t="s">
        <v>1603</v>
      </c>
      <c r="K99" t="s">
        <v>1604</v>
      </c>
    </row>
    <row r="100" spans="1:11">
      <c r="A100" t="s">
        <v>1704</v>
      </c>
      <c r="B100">
        <v>202603</v>
      </c>
      <c r="C100" t="s">
        <v>600</v>
      </c>
      <c r="D100">
        <v>7130</v>
      </c>
      <c r="E100" t="s">
        <v>1602</v>
      </c>
      <c r="F100" t="s">
        <v>982</v>
      </c>
      <c r="G100">
        <v>35000</v>
      </c>
      <c r="H100" t="s">
        <v>1001</v>
      </c>
      <c r="I100" t="s">
        <v>1002</v>
      </c>
      <c r="J100" t="s">
        <v>1603</v>
      </c>
      <c r="K100" t="s">
        <v>1604</v>
      </c>
    </row>
    <row r="101" spans="1:11">
      <c r="A101" t="s">
        <v>1705</v>
      </c>
      <c r="B101">
        <v>202604</v>
      </c>
      <c r="C101" t="s">
        <v>600</v>
      </c>
      <c r="D101">
        <v>7130</v>
      </c>
      <c r="E101" t="s">
        <v>1602</v>
      </c>
      <c r="F101" t="s">
        <v>982</v>
      </c>
      <c r="G101">
        <v>35000</v>
      </c>
      <c r="H101" t="s">
        <v>1001</v>
      </c>
      <c r="I101" t="s">
        <v>1002</v>
      </c>
      <c r="J101" t="s">
        <v>1603</v>
      </c>
      <c r="K101" t="s">
        <v>1604</v>
      </c>
    </row>
    <row r="102" spans="1:11">
      <c r="A102" t="s">
        <v>1706</v>
      </c>
      <c r="B102">
        <v>202605</v>
      </c>
      <c r="C102" t="s">
        <v>600</v>
      </c>
      <c r="D102">
        <v>7130</v>
      </c>
      <c r="E102" t="s">
        <v>1602</v>
      </c>
      <c r="F102" t="s">
        <v>982</v>
      </c>
      <c r="G102">
        <v>35000</v>
      </c>
      <c r="H102" t="s">
        <v>1001</v>
      </c>
      <c r="I102" t="s">
        <v>1002</v>
      </c>
      <c r="J102" t="s">
        <v>1603</v>
      </c>
      <c r="K102" t="s">
        <v>1604</v>
      </c>
    </row>
    <row r="103" spans="1:11">
      <c r="A103" t="s">
        <v>1707</v>
      </c>
      <c r="B103">
        <v>202606</v>
      </c>
      <c r="C103" t="s">
        <v>600</v>
      </c>
      <c r="D103">
        <v>7130</v>
      </c>
      <c r="E103" t="s">
        <v>1602</v>
      </c>
      <c r="F103" t="s">
        <v>982</v>
      </c>
      <c r="G103">
        <v>35000</v>
      </c>
      <c r="H103" t="s">
        <v>1001</v>
      </c>
      <c r="I103" t="s">
        <v>1002</v>
      </c>
      <c r="J103" t="s">
        <v>1603</v>
      </c>
      <c r="K103" t="s">
        <v>1604</v>
      </c>
    </row>
    <row r="104" spans="1:11">
      <c r="A104" t="s">
        <v>1708</v>
      </c>
      <c r="B104">
        <v>202607</v>
      </c>
      <c r="C104" t="s">
        <v>600</v>
      </c>
      <c r="D104">
        <v>7130</v>
      </c>
      <c r="E104" t="s">
        <v>1602</v>
      </c>
      <c r="F104" t="s">
        <v>982</v>
      </c>
      <c r="G104">
        <v>35000</v>
      </c>
      <c r="H104" t="s">
        <v>1001</v>
      </c>
      <c r="I104" t="s">
        <v>1002</v>
      </c>
      <c r="J104" t="s">
        <v>1603</v>
      </c>
      <c r="K104" t="s">
        <v>1604</v>
      </c>
    </row>
    <row r="105" spans="1:11">
      <c r="A105" t="s">
        <v>1709</v>
      </c>
      <c r="B105">
        <v>202608</v>
      </c>
      <c r="C105" t="s">
        <v>600</v>
      </c>
      <c r="D105">
        <v>7130</v>
      </c>
      <c r="E105" t="s">
        <v>1602</v>
      </c>
      <c r="F105" t="s">
        <v>982</v>
      </c>
      <c r="G105">
        <v>35000</v>
      </c>
      <c r="H105" t="s">
        <v>1001</v>
      </c>
      <c r="I105" t="s">
        <v>1002</v>
      </c>
      <c r="J105" t="s">
        <v>1603</v>
      </c>
      <c r="K105" t="s">
        <v>1604</v>
      </c>
    </row>
    <row r="106" spans="1:11">
      <c r="A106" t="s">
        <v>1710</v>
      </c>
      <c r="B106">
        <v>202609</v>
      </c>
      <c r="C106" t="s">
        <v>600</v>
      </c>
      <c r="D106">
        <v>7130</v>
      </c>
      <c r="E106" t="s">
        <v>1602</v>
      </c>
      <c r="F106" t="s">
        <v>982</v>
      </c>
      <c r="G106">
        <v>35000</v>
      </c>
      <c r="H106" t="s">
        <v>1001</v>
      </c>
      <c r="I106" t="s">
        <v>1002</v>
      </c>
      <c r="J106" t="s">
        <v>1603</v>
      </c>
      <c r="K106" t="s">
        <v>1604</v>
      </c>
    </row>
    <row r="107" spans="1:11">
      <c r="A107" t="s">
        <v>1711</v>
      </c>
      <c r="B107">
        <v>202610</v>
      </c>
      <c r="C107" t="s">
        <v>600</v>
      </c>
      <c r="D107">
        <v>7130</v>
      </c>
      <c r="E107" t="s">
        <v>1614</v>
      </c>
      <c r="F107" t="s">
        <v>985</v>
      </c>
      <c r="G107">
        <v>35000</v>
      </c>
      <c r="H107" t="s">
        <v>1001</v>
      </c>
      <c r="I107" t="s">
        <v>1002</v>
      </c>
      <c r="J107" t="s">
        <v>1603</v>
      </c>
      <c r="K107" t="s">
        <v>1604</v>
      </c>
    </row>
    <row r="108" spans="1:11">
      <c r="A108" t="s">
        <v>1712</v>
      </c>
      <c r="B108">
        <v>202611</v>
      </c>
      <c r="C108" t="s">
        <v>600</v>
      </c>
      <c r="D108">
        <v>7130</v>
      </c>
      <c r="E108" t="s">
        <v>1614</v>
      </c>
      <c r="F108" t="s">
        <v>985</v>
      </c>
      <c r="G108">
        <v>35000</v>
      </c>
      <c r="H108" t="s">
        <v>1001</v>
      </c>
      <c r="I108" t="s">
        <v>1002</v>
      </c>
      <c r="J108" t="s">
        <v>1603</v>
      </c>
      <c r="K108" t="s">
        <v>1604</v>
      </c>
    </row>
    <row r="109" spans="1:11">
      <c r="A109" t="s">
        <v>1713</v>
      </c>
      <c r="B109">
        <v>202612</v>
      </c>
      <c r="C109" t="s">
        <v>600</v>
      </c>
      <c r="D109">
        <v>7130</v>
      </c>
      <c r="E109" t="s">
        <v>1614</v>
      </c>
      <c r="F109" t="s">
        <v>985</v>
      </c>
      <c r="G109">
        <v>35000</v>
      </c>
      <c r="H109" t="s">
        <v>1001</v>
      </c>
      <c r="I109" t="s">
        <v>1002</v>
      </c>
      <c r="J109" t="s">
        <v>1603</v>
      </c>
      <c r="K109" t="s">
        <v>1604</v>
      </c>
    </row>
    <row r="110" spans="1:11">
      <c r="A110" t="s">
        <v>1714</v>
      </c>
      <c r="B110">
        <v>202601</v>
      </c>
      <c r="C110" t="s">
        <v>606</v>
      </c>
      <c r="D110">
        <v>5000</v>
      </c>
      <c r="E110" t="s">
        <v>1602</v>
      </c>
      <c r="F110" t="s">
        <v>982</v>
      </c>
      <c r="G110">
        <v>1860833</v>
      </c>
      <c r="H110" t="s">
        <v>1042</v>
      </c>
      <c r="I110" t="s">
        <v>1005</v>
      </c>
      <c r="J110" t="s">
        <v>1603</v>
      </c>
      <c r="K110" t="s">
        <v>1604</v>
      </c>
    </row>
    <row r="111" spans="1:11">
      <c r="A111" t="s">
        <v>1715</v>
      </c>
      <c r="B111">
        <v>202602</v>
      </c>
      <c r="C111" t="s">
        <v>606</v>
      </c>
      <c r="D111">
        <v>5000</v>
      </c>
      <c r="E111" t="s">
        <v>1602</v>
      </c>
      <c r="F111" t="s">
        <v>982</v>
      </c>
      <c r="G111">
        <v>1860833</v>
      </c>
      <c r="H111" t="s">
        <v>1042</v>
      </c>
      <c r="I111" t="s">
        <v>1005</v>
      </c>
      <c r="J111" t="s">
        <v>1603</v>
      </c>
      <c r="K111" t="s">
        <v>1604</v>
      </c>
    </row>
    <row r="112" spans="1:11">
      <c r="A112" t="s">
        <v>1716</v>
      </c>
      <c r="B112">
        <v>202603</v>
      </c>
      <c r="C112" t="s">
        <v>606</v>
      </c>
      <c r="D112">
        <v>5000</v>
      </c>
      <c r="E112" t="s">
        <v>1602</v>
      </c>
      <c r="F112" t="s">
        <v>982</v>
      </c>
      <c r="G112">
        <v>1860833</v>
      </c>
      <c r="H112" t="s">
        <v>1042</v>
      </c>
      <c r="I112" t="s">
        <v>1005</v>
      </c>
      <c r="J112" t="s">
        <v>1603</v>
      </c>
      <c r="K112" t="s">
        <v>1604</v>
      </c>
    </row>
    <row r="113" spans="1:11">
      <c r="A113" t="s">
        <v>1717</v>
      </c>
      <c r="B113">
        <v>202604</v>
      </c>
      <c r="C113" t="s">
        <v>606</v>
      </c>
      <c r="D113">
        <v>5000</v>
      </c>
      <c r="E113" t="s">
        <v>1602</v>
      </c>
      <c r="F113" t="s">
        <v>982</v>
      </c>
      <c r="G113">
        <v>1860833</v>
      </c>
      <c r="H113" t="s">
        <v>1042</v>
      </c>
      <c r="I113" t="s">
        <v>1005</v>
      </c>
      <c r="J113" t="s">
        <v>1603</v>
      </c>
      <c r="K113" t="s">
        <v>1604</v>
      </c>
    </row>
    <row r="114" spans="1:11">
      <c r="A114" t="s">
        <v>1718</v>
      </c>
      <c r="B114">
        <v>202605</v>
      </c>
      <c r="C114" t="s">
        <v>606</v>
      </c>
      <c r="D114">
        <v>5000</v>
      </c>
      <c r="E114" t="s">
        <v>1602</v>
      </c>
      <c r="F114" t="s">
        <v>982</v>
      </c>
      <c r="G114">
        <v>1860833</v>
      </c>
      <c r="H114" t="s">
        <v>1042</v>
      </c>
      <c r="I114" t="s">
        <v>1005</v>
      </c>
      <c r="J114" t="s">
        <v>1603</v>
      </c>
      <c r="K114" t="s">
        <v>1604</v>
      </c>
    </row>
    <row r="115" spans="1:11">
      <c r="A115" t="s">
        <v>1719</v>
      </c>
      <c r="B115">
        <v>202606</v>
      </c>
      <c r="C115" t="s">
        <v>606</v>
      </c>
      <c r="D115">
        <v>5000</v>
      </c>
      <c r="E115" t="s">
        <v>1602</v>
      </c>
      <c r="F115" t="s">
        <v>982</v>
      </c>
      <c r="G115">
        <v>1860833</v>
      </c>
      <c r="H115" t="s">
        <v>1042</v>
      </c>
      <c r="I115" t="s">
        <v>1005</v>
      </c>
      <c r="J115" t="s">
        <v>1603</v>
      </c>
      <c r="K115" t="s">
        <v>1604</v>
      </c>
    </row>
    <row r="116" spans="1:11">
      <c r="A116" t="s">
        <v>1720</v>
      </c>
      <c r="B116">
        <v>202607</v>
      </c>
      <c r="C116" t="s">
        <v>606</v>
      </c>
      <c r="D116">
        <v>5000</v>
      </c>
      <c r="E116" t="s">
        <v>1602</v>
      </c>
      <c r="F116" t="s">
        <v>982</v>
      </c>
      <c r="G116">
        <v>1860833</v>
      </c>
      <c r="H116" t="s">
        <v>1042</v>
      </c>
      <c r="I116" t="s">
        <v>1005</v>
      </c>
      <c r="J116" t="s">
        <v>1603</v>
      </c>
      <c r="K116" t="s">
        <v>1604</v>
      </c>
    </row>
    <row r="117" spans="1:11">
      <c r="A117" t="s">
        <v>1721</v>
      </c>
      <c r="B117">
        <v>202608</v>
      </c>
      <c r="C117" t="s">
        <v>606</v>
      </c>
      <c r="D117">
        <v>5000</v>
      </c>
      <c r="E117" t="s">
        <v>1602</v>
      </c>
      <c r="F117" t="s">
        <v>982</v>
      </c>
      <c r="G117">
        <v>1860833</v>
      </c>
      <c r="H117" t="s">
        <v>1042</v>
      </c>
      <c r="I117" t="s">
        <v>1005</v>
      </c>
      <c r="J117" t="s">
        <v>1603</v>
      </c>
      <c r="K117" t="s">
        <v>1604</v>
      </c>
    </row>
    <row r="118" spans="1:11">
      <c r="A118" t="s">
        <v>1722</v>
      </c>
      <c r="B118">
        <v>202609</v>
      </c>
      <c r="C118" t="s">
        <v>606</v>
      </c>
      <c r="D118">
        <v>5000</v>
      </c>
      <c r="E118" t="s">
        <v>1602</v>
      </c>
      <c r="F118" t="s">
        <v>982</v>
      </c>
      <c r="G118">
        <v>1860833</v>
      </c>
      <c r="H118" t="s">
        <v>1042</v>
      </c>
      <c r="I118" t="s">
        <v>1005</v>
      </c>
      <c r="J118" t="s">
        <v>1603</v>
      </c>
      <c r="K118" t="s">
        <v>1604</v>
      </c>
    </row>
    <row r="119" spans="1:11">
      <c r="A119" t="s">
        <v>1723</v>
      </c>
      <c r="B119">
        <v>202610</v>
      </c>
      <c r="C119" t="s">
        <v>606</v>
      </c>
      <c r="D119">
        <v>5000</v>
      </c>
      <c r="E119" t="s">
        <v>1614</v>
      </c>
      <c r="F119" t="s">
        <v>985</v>
      </c>
      <c r="G119">
        <v>1860833</v>
      </c>
      <c r="H119" t="s">
        <v>1042</v>
      </c>
      <c r="I119" t="s">
        <v>1005</v>
      </c>
      <c r="J119" t="s">
        <v>1603</v>
      </c>
      <c r="K119" t="s">
        <v>1604</v>
      </c>
    </row>
    <row r="120" spans="1:11">
      <c r="A120" t="s">
        <v>1724</v>
      </c>
      <c r="B120">
        <v>202611</v>
      </c>
      <c r="C120" t="s">
        <v>606</v>
      </c>
      <c r="D120">
        <v>5000</v>
      </c>
      <c r="E120" t="s">
        <v>1614</v>
      </c>
      <c r="F120" t="s">
        <v>985</v>
      </c>
      <c r="G120">
        <v>1860833</v>
      </c>
      <c r="H120" t="s">
        <v>1042</v>
      </c>
      <c r="I120" t="s">
        <v>1005</v>
      </c>
      <c r="J120" t="s">
        <v>1603</v>
      </c>
      <c r="K120" t="s">
        <v>1604</v>
      </c>
    </row>
    <row r="121" spans="1:11">
      <c r="A121" t="s">
        <v>1725</v>
      </c>
      <c r="B121">
        <v>202612</v>
      </c>
      <c r="C121" t="s">
        <v>606</v>
      </c>
      <c r="D121">
        <v>5000</v>
      </c>
      <c r="E121" t="s">
        <v>1614</v>
      </c>
      <c r="F121" t="s">
        <v>985</v>
      </c>
      <c r="G121">
        <v>1860837</v>
      </c>
      <c r="H121" t="s">
        <v>1042</v>
      </c>
      <c r="I121" t="s">
        <v>1005</v>
      </c>
      <c r="J121" t="s">
        <v>1603</v>
      </c>
      <c r="K121" t="s">
        <v>1604</v>
      </c>
    </row>
    <row r="122" spans="1:11">
      <c r="A122" t="s">
        <v>1726</v>
      </c>
      <c r="B122">
        <v>202601</v>
      </c>
      <c r="C122" t="s">
        <v>606</v>
      </c>
      <c r="D122">
        <v>5080</v>
      </c>
      <c r="E122" t="s">
        <v>1602</v>
      </c>
      <c r="F122" t="s">
        <v>982</v>
      </c>
      <c r="G122">
        <v>179666</v>
      </c>
      <c r="H122" t="s">
        <v>1042</v>
      </c>
      <c r="I122" t="s">
        <v>1005</v>
      </c>
      <c r="J122" t="s">
        <v>1603</v>
      </c>
      <c r="K122" t="s">
        <v>1618</v>
      </c>
    </row>
    <row r="123" spans="1:11">
      <c r="A123" t="s">
        <v>1727</v>
      </c>
      <c r="B123">
        <v>202602</v>
      </c>
      <c r="C123" t="s">
        <v>606</v>
      </c>
      <c r="D123">
        <v>5080</v>
      </c>
      <c r="E123" t="s">
        <v>1602</v>
      </c>
      <c r="F123" t="s">
        <v>982</v>
      </c>
      <c r="G123">
        <v>179666</v>
      </c>
      <c r="H123" t="s">
        <v>1042</v>
      </c>
      <c r="I123" t="s">
        <v>1005</v>
      </c>
      <c r="J123" t="s">
        <v>1603</v>
      </c>
      <c r="K123" t="s">
        <v>1618</v>
      </c>
    </row>
    <row r="124" spans="1:11">
      <c r="A124" t="s">
        <v>1728</v>
      </c>
      <c r="B124">
        <v>202603</v>
      </c>
      <c r="C124" t="s">
        <v>606</v>
      </c>
      <c r="D124">
        <v>5080</v>
      </c>
      <c r="E124" t="s">
        <v>1602</v>
      </c>
      <c r="F124" t="s">
        <v>982</v>
      </c>
      <c r="G124">
        <v>179666</v>
      </c>
      <c r="H124" t="s">
        <v>1042</v>
      </c>
      <c r="I124" t="s">
        <v>1005</v>
      </c>
      <c r="J124" t="s">
        <v>1603</v>
      </c>
      <c r="K124" t="s">
        <v>1618</v>
      </c>
    </row>
    <row r="125" spans="1:11">
      <c r="A125" t="s">
        <v>1729</v>
      </c>
      <c r="B125">
        <v>202604</v>
      </c>
      <c r="C125" t="s">
        <v>606</v>
      </c>
      <c r="D125">
        <v>5080</v>
      </c>
      <c r="E125" t="s">
        <v>1602</v>
      </c>
      <c r="F125" t="s">
        <v>982</v>
      </c>
      <c r="G125">
        <v>179666</v>
      </c>
      <c r="H125" t="s">
        <v>1042</v>
      </c>
      <c r="I125" t="s">
        <v>1005</v>
      </c>
      <c r="J125" t="s">
        <v>1603</v>
      </c>
      <c r="K125" t="s">
        <v>1618</v>
      </c>
    </row>
    <row r="126" spans="1:11">
      <c r="A126" t="s">
        <v>1730</v>
      </c>
      <c r="B126">
        <v>202605</v>
      </c>
      <c r="C126" t="s">
        <v>606</v>
      </c>
      <c r="D126">
        <v>5080</v>
      </c>
      <c r="E126" t="s">
        <v>1602</v>
      </c>
      <c r="F126" t="s">
        <v>982</v>
      </c>
      <c r="G126">
        <v>179666</v>
      </c>
      <c r="H126" t="s">
        <v>1042</v>
      </c>
      <c r="I126" t="s">
        <v>1005</v>
      </c>
      <c r="J126" t="s">
        <v>1603</v>
      </c>
      <c r="K126" t="s">
        <v>1618</v>
      </c>
    </row>
    <row r="127" spans="1:11">
      <c r="A127" t="s">
        <v>1731</v>
      </c>
      <c r="B127">
        <v>202606</v>
      </c>
      <c r="C127" t="s">
        <v>606</v>
      </c>
      <c r="D127">
        <v>5080</v>
      </c>
      <c r="E127" t="s">
        <v>1602</v>
      </c>
      <c r="F127" t="s">
        <v>982</v>
      </c>
      <c r="G127">
        <v>314416</v>
      </c>
      <c r="H127" t="s">
        <v>1042</v>
      </c>
      <c r="I127" t="s">
        <v>1005</v>
      </c>
      <c r="J127" t="s">
        <v>1603</v>
      </c>
      <c r="K127" t="s">
        <v>1618</v>
      </c>
    </row>
    <row r="128" spans="1:11">
      <c r="A128" t="s">
        <v>1732</v>
      </c>
      <c r="B128">
        <v>202607</v>
      </c>
      <c r="C128" t="s">
        <v>606</v>
      </c>
      <c r="D128">
        <v>5080</v>
      </c>
      <c r="E128" t="s">
        <v>1602</v>
      </c>
      <c r="F128" t="s">
        <v>982</v>
      </c>
      <c r="G128">
        <v>179666</v>
      </c>
      <c r="H128" t="s">
        <v>1042</v>
      </c>
      <c r="I128" t="s">
        <v>1005</v>
      </c>
      <c r="J128" t="s">
        <v>1603</v>
      </c>
      <c r="K128" t="s">
        <v>1618</v>
      </c>
    </row>
    <row r="129" spans="1:11">
      <c r="A129" t="s">
        <v>1733</v>
      </c>
      <c r="B129">
        <v>202608</v>
      </c>
      <c r="C129" t="s">
        <v>606</v>
      </c>
      <c r="D129">
        <v>5080</v>
      </c>
      <c r="E129" t="s">
        <v>1602</v>
      </c>
      <c r="F129" t="s">
        <v>982</v>
      </c>
      <c r="G129">
        <v>179666</v>
      </c>
      <c r="H129" t="s">
        <v>1042</v>
      </c>
      <c r="I129" t="s">
        <v>1005</v>
      </c>
      <c r="J129" t="s">
        <v>1603</v>
      </c>
      <c r="K129" t="s">
        <v>1618</v>
      </c>
    </row>
    <row r="130" spans="1:11">
      <c r="A130" t="s">
        <v>1734</v>
      </c>
      <c r="B130">
        <v>202609</v>
      </c>
      <c r="C130" t="s">
        <v>606</v>
      </c>
      <c r="D130">
        <v>5080</v>
      </c>
      <c r="E130" t="s">
        <v>1602</v>
      </c>
      <c r="F130" t="s">
        <v>982</v>
      </c>
      <c r="G130">
        <v>179666</v>
      </c>
      <c r="H130" t="s">
        <v>1042</v>
      </c>
      <c r="I130" t="s">
        <v>1005</v>
      </c>
      <c r="J130" t="s">
        <v>1603</v>
      </c>
      <c r="K130" t="s">
        <v>1618</v>
      </c>
    </row>
    <row r="131" spans="1:11">
      <c r="A131" t="s">
        <v>1735</v>
      </c>
      <c r="B131">
        <v>202610</v>
      </c>
      <c r="C131" t="s">
        <v>606</v>
      </c>
      <c r="D131">
        <v>5080</v>
      </c>
      <c r="E131" t="s">
        <v>1614</v>
      </c>
      <c r="F131" t="s">
        <v>985</v>
      </c>
      <c r="G131">
        <v>179666</v>
      </c>
      <c r="H131" t="s">
        <v>1042</v>
      </c>
      <c r="I131" t="s">
        <v>1005</v>
      </c>
      <c r="J131" t="s">
        <v>1603</v>
      </c>
      <c r="K131" t="s">
        <v>1618</v>
      </c>
    </row>
    <row r="132" spans="1:11">
      <c r="A132" t="s">
        <v>1736</v>
      </c>
      <c r="B132">
        <v>202611</v>
      </c>
      <c r="C132" t="s">
        <v>606</v>
      </c>
      <c r="D132">
        <v>5080</v>
      </c>
      <c r="E132" t="s">
        <v>1614</v>
      </c>
      <c r="F132" t="s">
        <v>985</v>
      </c>
      <c r="G132">
        <v>179666</v>
      </c>
      <c r="H132" t="s">
        <v>1042</v>
      </c>
      <c r="I132" t="s">
        <v>1005</v>
      </c>
      <c r="J132" t="s">
        <v>1603</v>
      </c>
      <c r="K132" t="s">
        <v>1618</v>
      </c>
    </row>
    <row r="133" spans="1:11">
      <c r="A133" t="s">
        <v>1737</v>
      </c>
      <c r="B133">
        <v>202612</v>
      </c>
      <c r="C133" t="s">
        <v>606</v>
      </c>
      <c r="D133">
        <v>5080</v>
      </c>
      <c r="E133" t="s">
        <v>1614</v>
      </c>
      <c r="F133" t="s">
        <v>985</v>
      </c>
      <c r="G133">
        <v>179670</v>
      </c>
      <c r="H133" t="s">
        <v>1042</v>
      </c>
      <c r="I133" t="s">
        <v>1005</v>
      </c>
      <c r="J133" t="s">
        <v>1603</v>
      </c>
      <c r="K133" t="s">
        <v>1618</v>
      </c>
    </row>
    <row r="134" spans="1:11">
      <c r="A134" t="s">
        <v>1738</v>
      </c>
      <c r="B134">
        <v>202601</v>
      </c>
      <c r="C134" t="s">
        <v>606</v>
      </c>
      <c r="D134">
        <v>5400</v>
      </c>
      <c r="E134" t="s">
        <v>1602</v>
      </c>
      <c r="F134" t="s">
        <v>982</v>
      </c>
      <c r="G134">
        <v>256666</v>
      </c>
      <c r="H134" t="s">
        <v>1042</v>
      </c>
      <c r="I134" t="s">
        <v>1005</v>
      </c>
      <c r="J134" t="s">
        <v>1603</v>
      </c>
      <c r="K134" t="s">
        <v>1604</v>
      </c>
    </row>
    <row r="135" spans="1:11">
      <c r="A135" t="s">
        <v>1739</v>
      </c>
      <c r="B135">
        <v>202602</v>
      </c>
      <c r="C135" t="s">
        <v>606</v>
      </c>
      <c r="D135">
        <v>5400</v>
      </c>
      <c r="E135" t="s">
        <v>1602</v>
      </c>
      <c r="F135" t="s">
        <v>982</v>
      </c>
      <c r="G135">
        <v>256666</v>
      </c>
      <c r="H135" t="s">
        <v>1042</v>
      </c>
      <c r="I135" t="s">
        <v>1005</v>
      </c>
      <c r="J135" t="s">
        <v>1603</v>
      </c>
      <c r="K135" t="s">
        <v>1604</v>
      </c>
    </row>
    <row r="136" spans="1:11">
      <c r="A136" t="s">
        <v>1740</v>
      </c>
      <c r="B136">
        <v>202603</v>
      </c>
      <c r="C136" t="s">
        <v>606</v>
      </c>
      <c r="D136">
        <v>5400</v>
      </c>
      <c r="E136" t="s">
        <v>1602</v>
      </c>
      <c r="F136" t="s">
        <v>982</v>
      </c>
      <c r="G136">
        <v>256666</v>
      </c>
      <c r="H136" t="s">
        <v>1042</v>
      </c>
      <c r="I136" t="s">
        <v>1005</v>
      </c>
      <c r="J136" t="s">
        <v>1603</v>
      </c>
      <c r="K136" t="s">
        <v>1604</v>
      </c>
    </row>
    <row r="137" spans="1:11">
      <c r="A137" t="s">
        <v>1741</v>
      </c>
      <c r="B137">
        <v>202604</v>
      </c>
      <c r="C137" t="s">
        <v>606</v>
      </c>
      <c r="D137">
        <v>5400</v>
      </c>
      <c r="E137" t="s">
        <v>1602</v>
      </c>
      <c r="F137" t="s">
        <v>982</v>
      </c>
      <c r="G137">
        <v>256666</v>
      </c>
      <c r="H137" t="s">
        <v>1042</v>
      </c>
      <c r="I137" t="s">
        <v>1005</v>
      </c>
      <c r="J137" t="s">
        <v>1603</v>
      </c>
      <c r="K137" t="s">
        <v>1604</v>
      </c>
    </row>
    <row r="138" spans="1:11">
      <c r="A138" t="s">
        <v>1742</v>
      </c>
      <c r="B138">
        <v>202605</v>
      </c>
      <c r="C138" t="s">
        <v>606</v>
      </c>
      <c r="D138">
        <v>5400</v>
      </c>
      <c r="E138" t="s">
        <v>1602</v>
      </c>
      <c r="F138" t="s">
        <v>982</v>
      </c>
      <c r="G138">
        <v>256666</v>
      </c>
      <c r="H138" t="s">
        <v>1042</v>
      </c>
      <c r="I138" t="s">
        <v>1005</v>
      </c>
      <c r="J138" t="s">
        <v>1603</v>
      </c>
      <c r="K138" t="s">
        <v>1604</v>
      </c>
    </row>
    <row r="139" spans="1:11">
      <c r="A139" t="s">
        <v>1743</v>
      </c>
      <c r="B139">
        <v>202606</v>
      </c>
      <c r="C139" t="s">
        <v>606</v>
      </c>
      <c r="D139">
        <v>5400</v>
      </c>
      <c r="E139" t="s">
        <v>1602</v>
      </c>
      <c r="F139" t="s">
        <v>982</v>
      </c>
      <c r="G139">
        <v>256666</v>
      </c>
      <c r="H139" t="s">
        <v>1042</v>
      </c>
      <c r="I139" t="s">
        <v>1005</v>
      </c>
      <c r="J139" t="s">
        <v>1603</v>
      </c>
      <c r="K139" t="s">
        <v>1604</v>
      </c>
    </row>
    <row r="140" spans="1:11">
      <c r="A140" t="s">
        <v>1744</v>
      </c>
      <c r="B140">
        <v>202607</v>
      </c>
      <c r="C140" t="s">
        <v>606</v>
      </c>
      <c r="D140">
        <v>5400</v>
      </c>
      <c r="E140" t="s">
        <v>1602</v>
      </c>
      <c r="F140" t="s">
        <v>982</v>
      </c>
      <c r="G140">
        <v>256666</v>
      </c>
      <c r="H140" t="s">
        <v>1042</v>
      </c>
      <c r="I140" t="s">
        <v>1005</v>
      </c>
      <c r="J140" t="s">
        <v>1603</v>
      </c>
      <c r="K140" t="s">
        <v>1604</v>
      </c>
    </row>
    <row r="141" spans="1:11">
      <c r="A141" t="s">
        <v>1745</v>
      </c>
      <c r="B141">
        <v>202608</v>
      </c>
      <c r="C141" t="s">
        <v>606</v>
      </c>
      <c r="D141">
        <v>5400</v>
      </c>
      <c r="E141" t="s">
        <v>1602</v>
      </c>
      <c r="F141" t="s">
        <v>982</v>
      </c>
      <c r="G141">
        <v>256666</v>
      </c>
      <c r="H141" t="s">
        <v>1042</v>
      </c>
      <c r="I141" t="s">
        <v>1005</v>
      </c>
      <c r="J141" t="s">
        <v>1603</v>
      </c>
      <c r="K141" t="s">
        <v>1604</v>
      </c>
    </row>
    <row r="142" spans="1:11">
      <c r="A142" t="s">
        <v>1746</v>
      </c>
      <c r="B142">
        <v>202609</v>
      </c>
      <c r="C142" t="s">
        <v>606</v>
      </c>
      <c r="D142">
        <v>5400</v>
      </c>
      <c r="E142" t="s">
        <v>1602</v>
      </c>
      <c r="F142" t="s">
        <v>982</v>
      </c>
      <c r="G142">
        <v>256666</v>
      </c>
      <c r="H142" t="s">
        <v>1042</v>
      </c>
      <c r="I142" t="s">
        <v>1005</v>
      </c>
      <c r="J142" t="s">
        <v>1603</v>
      </c>
      <c r="K142" t="s">
        <v>1604</v>
      </c>
    </row>
    <row r="143" spans="1:11">
      <c r="A143" t="s">
        <v>1747</v>
      </c>
      <c r="B143">
        <v>202610</v>
      </c>
      <c r="C143" t="s">
        <v>606</v>
      </c>
      <c r="D143">
        <v>5400</v>
      </c>
      <c r="E143" t="s">
        <v>1614</v>
      </c>
      <c r="F143" t="s">
        <v>985</v>
      </c>
      <c r="G143">
        <v>256666</v>
      </c>
      <c r="H143" t="s">
        <v>1042</v>
      </c>
      <c r="I143" t="s">
        <v>1005</v>
      </c>
      <c r="J143" t="s">
        <v>1603</v>
      </c>
      <c r="K143" t="s">
        <v>1604</v>
      </c>
    </row>
    <row r="144" spans="1:11">
      <c r="A144" t="s">
        <v>1748</v>
      </c>
      <c r="B144">
        <v>202611</v>
      </c>
      <c r="C144" t="s">
        <v>606</v>
      </c>
      <c r="D144">
        <v>5400</v>
      </c>
      <c r="E144" t="s">
        <v>1614</v>
      </c>
      <c r="F144" t="s">
        <v>985</v>
      </c>
      <c r="G144">
        <v>256666</v>
      </c>
      <c r="H144" t="s">
        <v>1042</v>
      </c>
      <c r="I144" t="s">
        <v>1005</v>
      </c>
      <c r="J144" t="s">
        <v>1603</v>
      </c>
      <c r="K144" t="s">
        <v>1604</v>
      </c>
    </row>
    <row r="145" spans="1:11">
      <c r="A145" t="s">
        <v>1749</v>
      </c>
      <c r="B145">
        <v>202612</v>
      </c>
      <c r="C145" t="s">
        <v>606</v>
      </c>
      <c r="D145">
        <v>5400</v>
      </c>
      <c r="E145" t="s">
        <v>1614</v>
      </c>
      <c r="F145" t="s">
        <v>985</v>
      </c>
      <c r="G145">
        <v>256674</v>
      </c>
      <c r="H145" t="s">
        <v>1042</v>
      </c>
      <c r="I145" t="s">
        <v>1005</v>
      </c>
      <c r="J145" t="s">
        <v>1603</v>
      </c>
      <c r="K145" t="s">
        <v>1604</v>
      </c>
    </row>
    <row r="146" spans="1:11">
      <c r="A146" t="s">
        <v>1750</v>
      </c>
      <c r="B146">
        <v>202601</v>
      </c>
      <c r="C146" t="s">
        <v>606</v>
      </c>
      <c r="D146">
        <v>5420</v>
      </c>
      <c r="E146" t="s">
        <v>1602</v>
      </c>
      <c r="F146" t="s">
        <v>982</v>
      </c>
      <c r="G146">
        <v>192500</v>
      </c>
      <c r="H146" t="s">
        <v>1042</v>
      </c>
      <c r="I146" t="s">
        <v>1005</v>
      </c>
      <c r="J146" t="s">
        <v>1603</v>
      </c>
      <c r="K146" t="s">
        <v>1604</v>
      </c>
    </row>
    <row r="147" spans="1:11">
      <c r="A147" t="s">
        <v>1751</v>
      </c>
      <c r="B147">
        <v>202602</v>
      </c>
      <c r="C147" t="s">
        <v>606</v>
      </c>
      <c r="D147">
        <v>5420</v>
      </c>
      <c r="E147" t="s">
        <v>1602</v>
      </c>
      <c r="F147" t="s">
        <v>982</v>
      </c>
      <c r="G147">
        <v>192500</v>
      </c>
      <c r="H147" t="s">
        <v>1042</v>
      </c>
      <c r="I147" t="s">
        <v>1005</v>
      </c>
      <c r="J147" t="s">
        <v>1603</v>
      </c>
      <c r="K147" t="s">
        <v>1604</v>
      </c>
    </row>
    <row r="148" spans="1:11">
      <c r="A148" t="s">
        <v>1752</v>
      </c>
      <c r="B148">
        <v>202603</v>
      </c>
      <c r="C148" t="s">
        <v>606</v>
      </c>
      <c r="D148">
        <v>5420</v>
      </c>
      <c r="E148" t="s">
        <v>1602</v>
      </c>
      <c r="F148" t="s">
        <v>982</v>
      </c>
      <c r="G148">
        <v>192500</v>
      </c>
      <c r="H148" t="s">
        <v>1042</v>
      </c>
      <c r="I148" t="s">
        <v>1005</v>
      </c>
      <c r="J148" t="s">
        <v>1603</v>
      </c>
      <c r="K148" t="s">
        <v>1604</v>
      </c>
    </row>
    <row r="149" spans="1:11">
      <c r="A149" t="s">
        <v>1753</v>
      </c>
      <c r="B149">
        <v>202604</v>
      </c>
      <c r="C149" t="s">
        <v>606</v>
      </c>
      <c r="D149">
        <v>5420</v>
      </c>
      <c r="E149" t="s">
        <v>1602</v>
      </c>
      <c r="F149" t="s">
        <v>982</v>
      </c>
      <c r="G149">
        <v>192500</v>
      </c>
      <c r="H149" t="s">
        <v>1042</v>
      </c>
      <c r="I149" t="s">
        <v>1005</v>
      </c>
      <c r="J149" t="s">
        <v>1603</v>
      </c>
      <c r="K149" t="s">
        <v>1604</v>
      </c>
    </row>
    <row r="150" spans="1:11">
      <c r="A150" t="s">
        <v>1754</v>
      </c>
      <c r="B150">
        <v>202605</v>
      </c>
      <c r="C150" t="s">
        <v>606</v>
      </c>
      <c r="D150">
        <v>5420</v>
      </c>
      <c r="E150" t="s">
        <v>1602</v>
      </c>
      <c r="F150" t="s">
        <v>982</v>
      </c>
      <c r="G150">
        <v>192500</v>
      </c>
      <c r="H150" t="s">
        <v>1042</v>
      </c>
      <c r="I150" t="s">
        <v>1005</v>
      </c>
      <c r="J150" t="s">
        <v>1603</v>
      </c>
      <c r="K150" t="s">
        <v>1604</v>
      </c>
    </row>
    <row r="151" spans="1:11">
      <c r="A151" t="s">
        <v>1755</v>
      </c>
      <c r="B151">
        <v>202606</v>
      </c>
      <c r="C151" t="s">
        <v>606</v>
      </c>
      <c r="D151">
        <v>5420</v>
      </c>
      <c r="E151" t="s">
        <v>1602</v>
      </c>
      <c r="F151" t="s">
        <v>982</v>
      </c>
      <c r="G151">
        <v>192500</v>
      </c>
      <c r="H151" t="s">
        <v>1042</v>
      </c>
      <c r="I151" t="s">
        <v>1005</v>
      </c>
      <c r="J151" t="s">
        <v>1603</v>
      </c>
      <c r="K151" t="s">
        <v>1604</v>
      </c>
    </row>
    <row r="152" spans="1:11">
      <c r="A152" t="s">
        <v>1756</v>
      </c>
      <c r="B152">
        <v>202607</v>
      </c>
      <c r="C152" t="s">
        <v>606</v>
      </c>
      <c r="D152">
        <v>5420</v>
      </c>
      <c r="E152" t="s">
        <v>1602</v>
      </c>
      <c r="F152" t="s">
        <v>982</v>
      </c>
      <c r="G152">
        <v>192500</v>
      </c>
      <c r="H152" t="s">
        <v>1042</v>
      </c>
      <c r="I152" t="s">
        <v>1005</v>
      </c>
      <c r="J152" t="s">
        <v>1603</v>
      </c>
      <c r="K152" t="s">
        <v>1604</v>
      </c>
    </row>
    <row r="153" spans="1:11">
      <c r="A153" t="s">
        <v>1757</v>
      </c>
      <c r="B153">
        <v>202608</v>
      </c>
      <c r="C153" t="s">
        <v>606</v>
      </c>
      <c r="D153">
        <v>5420</v>
      </c>
      <c r="E153" t="s">
        <v>1602</v>
      </c>
      <c r="F153" t="s">
        <v>982</v>
      </c>
      <c r="G153">
        <v>192500</v>
      </c>
      <c r="H153" t="s">
        <v>1042</v>
      </c>
      <c r="I153" t="s">
        <v>1005</v>
      </c>
      <c r="J153" t="s">
        <v>1603</v>
      </c>
      <c r="K153" t="s">
        <v>1604</v>
      </c>
    </row>
    <row r="154" spans="1:11">
      <c r="A154" t="s">
        <v>1758</v>
      </c>
      <c r="B154">
        <v>202609</v>
      </c>
      <c r="C154" t="s">
        <v>606</v>
      </c>
      <c r="D154">
        <v>5420</v>
      </c>
      <c r="E154" t="s">
        <v>1602</v>
      </c>
      <c r="F154" t="s">
        <v>982</v>
      </c>
      <c r="G154">
        <v>192500</v>
      </c>
      <c r="H154" t="s">
        <v>1042</v>
      </c>
      <c r="I154" t="s">
        <v>1005</v>
      </c>
      <c r="J154" t="s">
        <v>1603</v>
      </c>
      <c r="K154" t="s">
        <v>1604</v>
      </c>
    </row>
    <row r="155" spans="1:11">
      <c r="A155" t="s">
        <v>1759</v>
      </c>
      <c r="B155">
        <v>202610</v>
      </c>
      <c r="C155" t="s">
        <v>606</v>
      </c>
      <c r="D155">
        <v>5420</v>
      </c>
      <c r="E155" t="s">
        <v>1614</v>
      </c>
      <c r="F155" t="s">
        <v>985</v>
      </c>
      <c r="G155">
        <v>192500</v>
      </c>
      <c r="H155" t="s">
        <v>1042</v>
      </c>
      <c r="I155" t="s">
        <v>1005</v>
      </c>
      <c r="J155" t="s">
        <v>1603</v>
      </c>
      <c r="K155" t="s">
        <v>1604</v>
      </c>
    </row>
    <row r="156" spans="1:11">
      <c r="A156" t="s">
        <v>1760</v>
      </c>
      <c r="B156">
        <v>202611</v>
      </c>
      <c r="C156" t="s">
        <v>606</v>
      </c>
      <c r="D156">
        <v>5420</v>
      </c>
      <c r="E156" t="s">
        <v>1614</v>
      </c>
      <c r="F156" t="s">
        <v>985</v>
      </c>
      <c r="G156">
        <v>192500</v>
      </c>
      <c r="H156" t="s">
        <v>1042</v>
      </c>
      <c r="I156" t="s">
        <v>1005</v>
      </c>
      <c r="J156" t="s">
        <v>1603</v>
      </c>
      <c r="K156" t="s">
        <v>1604</v>
      </c>
    </row>
    <row r="157" spans="1:11">
      <c r="A157" t="s">
        <v>1761</v>
      </c>
      <c r="B157">
        <v>202612</v>
      </c>
      <c r="C157" t="s">
        <v>606</v>
      </c>
      <c r="D157">
        <v>5420</v>
      </c>
      <c r="E157" t="s">
        <v>1614</v>
      </c>
      <c r="F157" t="s">
        <v>985</v>
      </c>
      <c r="G157">
        <v>192500</v>
      </c>
      <c r="H157" t="s">
        <v>1042</v>
      </c>
      <c r="I157" t="s">
        <v>1005</v>
      </c>
      <c r="J157" t="s">
        <v>1603</v>
      </c>
      <c r="K157" t="s">
        <v>1604</v>
      </c>
    </row>
    <row r="158" spans="1:11">
      <c r="A158" t="s">
        <v>1762</v>
      </c>
      <c r="B158">
        <v>202601</v>
      </c>
      <c r="C158" t="s">
        <v>606</v>
      </c>
      <c r="D158">
        <v>5100</v>
      </c>
      <c r="E158" t="s">
        <v>1602</v>
      </c>
      <c r="F158" t="s">
        <v>982</v>
      </c>
      <c r="G158">
        <v>128333</v>
      </c>
      <c r="H158" t="s">
        <v>1042</v>
      </c>
      <c r="I158" t="s">
        <v>1005</v>
      </c>
      <c r="J158" t="s">
        <v>1603</v>
      </c>
      <c r="K158" t="s">
        <v>1604</v>
      </c>
    </row>
    <row r="159" spans="1:11">
      <c r="A159" t="s">
        <v>1763</v>
      </c>
      <c r="B159">
        <v>202602</v>
      </c>
      <c r="C159" t="s">
        <v>606</v>
      </c>
      <c r="D159">
        <v>5100</v>
      </c>
      <c r="E159" t="s">
        <v>1602</v>
      </c>
      <c r="F159" t="s">
        <v>982</v>
      </c>
      <c r="G159">
        <v>128333</v>
      </c>
      <c r="H159" t="s">
        <v>1042</v>
      </c>
      <c r="I159" t="s">
        <v>1005</v>
      </c>
      <c r="J159" t="s">
        <v>1603</v>
      </c>
      <c r="K159" t="s">
        <v>1604</v>
      </c>
    </row>
    <row r="160" spans="1:11">
      <c r="A160" t="s">
        <v>1764</v>
      </c>
      <c r="B160">
        <v>202603</v>
      </c>
      <c r="C160" t="s">
        <v>606</v>
      </c>
      <c r="D160">
        <v>5100</v>
      </c>
      <c r="E160" t="s">
        <v>1602</v>
      </c>
      <c r="F160" t="s">
        <v>982</v>
      </c>
      <c r="G160">
        <v>128333</v>
      </c>
      <c r="H160" t="s">
        <v>1042</v>
      </c>
      <c r="I160" t="s">
        <v>1005</v>
      </c>
      <c r="J160" t="s">
        <v>1603</v>
      </c>
      <c r="K160" t="s">
        <v>1604</v>
      </c>
    </row>
    <row r="161" spans="1:11">
      <c r="A161" t="s">
        <v>1765</v>
      </c>
      <c r="B161">
        <v>202604</v>
      </c>
      <c r="C161" t="s">
        <v>606</v>
      </c>
      <c r="D161">
        <v>5100</v>
      </c>
      <c r="E161" t="s">
        <v>1602</v>
      </c>
      <c r="F161" t="s">
        <v>982</v>
      </c>
      <c r="G161">
        <v>128333</v>
      </c>
      <c r="H161" t="s">
        <v>1042</v>
      </c>
      <c r="I161" t="s">
        <v>1005</v>
      </c>
      <c r="J161" t="s">
        <v>1603</v>
      </c>
      <c r="K161" t="s">
        <v>1604</v>
      </c>
    </row>
    <row r="162" spans="1:11">
      <c r="A162" t="s">
        <v>1766</v>
      </c>
      <c r="B162">
        <v>202605</v>
      </c>
      <c r="C162" t="s">
        <v>606</v>
      </c>
      <c r="D162">
        <v>5100</v>
      </c>
      <c r="E162" t="s">
        <v>1602</v>
      </c>
      <c r="F162" t="s">
        <v>982</v>
      </c>
      <c r="G162">
        <v>147583</v>
      </c>
      <c r="H162" t="s">
        <v>1042</v>
      </c>
      <c r="I162" t="s">
        <v>1005</v>
      </c>
      <c r="J162" t="s">
        <v>1603</v>
      </c>
      <c r="K162" t="s">
        <v>1618</v>
      </c>
    </row>
    <row r="163" spans="1:11">
      <c r="A163" t="s">
        <v>1767</v>
      </c>
      <c r="B163">
        <v>202606</v>
      </c>
      <c r="C163" t="s">
        <v>606</v>
      </c>
      <c r="D163">
        <v>5100</v>
      </c>
      <c r="E163" t="s">
        <v>1602</v>
      </c>
      <c r="F163" t="s">
        <v>982</v>
      </c>
      <c r="G163">
        <v>147583</v>
      </c>
      <c r="H163" t="s">
        <v>1042</v>
      </c>
      <c r="I163" t="s">
        <v>1005</v>
      </c>
      <c r="J163" t="s">
        <v>1603</v>
      </c>
      <c r="K163" t="s">
        <v>1618</v>
      </c>
    </row>
    <row r="164" spans="1:11">
      <c r="A164" t="s">
        <v>1768</v>
      </c>
      <c r="B164">
        <v>202607</v>
      </c>
      <c r="C164" t="s">
        <v>606</v>
      </c>
      <c r="D164">
        <v>5100</v>
      </c>
      <c r="E164" t="s">
        <v>1602</v>
      </c>
      <c r="F164" t="s">
        <v>982</v>
      </c>
      <c r="G164">
        <v>128333</v>
      </c>
      <c r="H164" t="s">
        <v>1042</v>
      </c>
      <c r="I164" t="s">
        <v>1005</v>
      </c>
      <c r="J164" t="s">
        <v>1603</v>
      </c>
      <c r="K164" t="s">
        <v>1604</v>
      </c>
    </row>
    <row r="165" spans="1:11">
      <c r="A165" t="s">
        <v>1769</v>
      </c>
      <c r="B165">
        <v>202608</v>
      </c>
      <c r="C165" t="s">
        <v>606</v>
      </c>
      <c r="D165">
        <v>5100</v>
      </c>
      <c r="E165" t="s">
        <v>1602</v>
      </c>
      <c r="F165" t="s">
        <v>982</v>
      </c>
      <c r="G165">
        <v>128333</v>
      </c>
      <c r="H165" t="s">
        <v>1042</v>
      </c>
      <c r="I165" t="s">
        <v>1005</v>
      </c>
      <c r="J165" t="s">
        <v>1603</v>
      </c>
      <c r="K165" t="s">
        <v>1604</v>
      </c>
    </row>
    <row r="166" spans="1:11">
      <c r="A166" t="s">
        <v>1770</v>
      </c>
      <c r="B166">
        <v>202609</v>
      </c>
      <c r="C166" t="s">
        <v>606</v>
      </c>
      <c r="D166">
        <v>5100</v>
      </c>
      <c r="E166" t="s">
        <v>1602</v>
      </c>
      <c r="F166" t="s">
        <v>982</v>
      </c>
      <c r="G166">
        <v>147583</v>
      </c>
      <c r="H166" t="s">
        <v>1042</v>
      </c>
      <c r="I166" t="s">
        <v>1005</v>
      </c>
      <c r="J166" t="s">
        <v>1603</v>
      </c>
      <c r="K166" t="s">
        <v>1618</v>
      </c>
    </row>
    <row r="167" spans="1:11">
      <c r="A167" t="s">
        <v>1771</v>
      </c>
      <c r="B167">
        <v>202610</v>
      </c>
      <c r="C167" t="s">
        <v>606</v>
      </c>
      <c r="D167">
        <v>5100</v>
      </c>
      <c r="E167" t="s">
        <v>1614</v>
      </c>
      <c r="F167" t="s">
        <v>985</v>
      </c>
      <c r="G167">
        <v>128333</v>
      </c>
      <c r="H167" t="s">
        <v>1042</v>
      </c>
      <c r="I167" t="s">
        <v>1005</v>
      </c>
      <c r="J167" t="s">
        <v>1603</v>
      </c>
      <c r="K167" t="s">
        <v>1604</v>
      </c>
    </row>
    <row r="168" spans="1:11">
      <c r="A168" t="s">
        <v>1772</v>
      </c>
      <c r="B168">
        <v>202611</v>
      </c>
      <c r="C168" t="s">
        <v>606</v>
      </c>
      <c r="D168">
        <v>5100</v>
      </c>
      <c r="E168" t="s">
        <v>1614</v>
      </c>
      <c r="F168" t="s">
        <v>985</v>
      </c>
      <c r="G168">
        <v>128333</v>
      </c>
      <c r="H168" t="s">
        <v>1042</v>
      </c>
      <c r="I168" t="s">
        <v>1005</v>
      </c>
      <c r="J168" t="s">
        <v>1603</v>
      </c>
      <c r="K168" t="s">
        <v>1604</v>
      </c>
    </row>
    <row r="169" spans="1:11">
      <c r="A169" t="s">
        <v>1773</v>
      </c>
      <c r="B169">
        <v>202612</v>
      </c>
      <c r="C169" t="s">
        <v>606</v>
      </c>
      <c r="D169">
        <v>5100</v>
      </c>
      <c r="E169" t="s">
        <v>1614</v>
      </c>
      <c r="F169" t="s">
        <v>985</v>
      </c>
      <c r="G169">
        <v>128337</v>
      </c>
      <c r="H169" t="s">
        <v>1042</v>
      </c>
      <c r="I169" t="s">
        <v>1005</v>
      </c>
      <c r="J169" t="s">
        <v>1603</v>
      </c>
      <c r="K169" t="s">
        <v>1604</v>
      </c>
    </row>
    <row r="170" spans="1:11">
      <c r="A170" t="s">
        <v>1774</v>
      </c>
      <c r="B170">
        <v>202601</v>
      </c>
      <c r="C170" t="s">
        <v>606</v>
      </c>
      <c r="D170">
        <v>6300</v>
      </c>
      <c r="E170" t="s">
        <v>1602</v>
      </c>
      <c r="F170" t="s">
        <v>982</v>
      </c>
      <c r="G170">
        <v>256666</v>
      </c>
      <c r="H170" t="s">
        <v>1042</v>
      </c>
      <c r="I170" t="s">
        <v>1005</v>
      </c>
      <c r="J170" t="s">
        <v>1603</v>
      </c>
      <c r="K170" t="s">
        <v>1604</v>
      </c>
    </row>
    <row r="171" spans="1:11">
      <c r="A171" t="s">
        <v>1775</v>
      </c>
      <c r="B171">
        <v>202602</v>
      </c>
      <c r="C171" t="s">
        <v>606</v>
      </c>
      <c r="D171">
        <v>6300</v>
      </c>
      <c r="E171" t="s">
        <v>1602</v>
      </c>
      <c r="F171" t="s">
        <v>982</v>
      </c>
      <c r="G171">
        <v>256666</v>
      </c>
      <c r="H171" t="s">
        <v>1042</v>
      </c>
      <c r="I171" t="s">
        <v>1005</v>
      </c>
      <c r="J171" t="s">
        <v>1603</v>
      </c>
      <c r="K171" t="s">
        <v>1604</v>
      </c>
    </row>
    <row r="172" spans="1:11">
      <c r="A172" t="s">
        <v>1776</v>
      </c>
      <c r="B172">
        <v>202603</v>
      </c>
      <c r="C172" t="s">
        <v>606</v>
      </c>
      <c r="D172">
        <v>6300</v>
      </c>
      <c r="E172" t="s">
        <v>1602</v>
      </c>
      <c r="F172" t="s">
        <v>982</v>
      </c>
      <c r="G172">
        <v>256666</v>
      </c>
      <c r="H172" t="s">
        <v>1042</v>
      </c>
      <c r="I172" t="s">
        <v>1005</v>
      </c>
      <c r="J172" t="s">
        <v>1603</v>
      </c>
      <c r="K172" t="s">
        <v>1604</v>
      </c>
    </row>
    <row r="173" spans="1:11">
      <c r="A173" t="s">
        <v>1777</v>
      </c>
      <c r="B173">
        <v>202604</v>
      </c>
      <c r="C173" t="s">
        <v>606</v>
      </c>
      <c r="D173">
        <v>6300</v>
      </c>
      <c r="E173" t="s">
        <v>1602</v>
      </c>
      <c r="F173" t="s">
        <v>982</v>
      </c>
      <c r="G173">
        <v>256666</v>
      </c>
      <c r="H173" t="s">
        <v>1042</v>
      </c>
      <c r="I173" t="s">
        <v>1005</v>
      </c>
      <c r="J173" t="s">
        <v>1603</v>
      </c>
      <c r="K173" t="s">
        <v>1604</v>
      </c>
    </row>
    <row r="174" spans="1:11">
      <c r="A174" t="s">
        <v>1778</v>
      </c>
      <c r="B174">
        <v>202605</v>
      </c>
      <c r="C174" t="s">
        <v>606</v>
      </c>
      <c r="D174">
        <v>6300</v>
      </c>
      <c r="E174" t="s">
        <v>1602</v>
      </c>
      <c r="F174" t="s">
        <v>982</v>
      </c>
      <c r="G174">
        <v>256666</v>
      </c>
      <c r="H174" t="s">
        <v>1042</v>
      </c>
      <c r="I174" t="s">
        <v>1005</v>
      </c>
      <c r="J174" t="s">
        <v>1603</v>
      </c>
      <c r="K174" t="s">
        <v>1604</v>
      </c>
    </row>
    <row r="175" spans="1:11">
      <c r="A175" t="s">
        <v>1779</v>
      </c>
      <c r="B175">
        <v>202606</v>
      </c>
      <c r="C175" t="s">
        <v>606</v>
      </c>
      <c r="D175">
        <v>6300</v>
      </c>
      <c r="E175" t="s">
        <v>1602</v>
      </c>
      <c r="F175" t="s">
        <v>982</v>
      </c>
      <c r="G175">
        <v>256666</v>
      </c>
      <c r="H175" t="s">
        <v>1042</v>
      </c>
      <c r="I175" t="s">
        <v>1005</v>
      </c>
      <c r="J175" t="s">
        <v>1603</v>
      </c>
      <c r="K175" t="s">
        <v>1604</v>
      </c>
    </row>
    <row r="176" spans="1:11">
      <c r="A176" t="s">
        <v>1780</v>
      </c>
      <c r="B176">
        <v>202607</v>
      </c>
      <c r="C176" t="s">
        <v>606</v>
      </c>
      <c r="D176">
        <v>6300</v>
      </c>
      <c r="E176" t="s">
        <v>1602</v>
      </c>
      <c r="F176" t="s">
        <v>982</v>
      </c>
      <c r="G176">
        <v>256666</v>
      </c>
      <c r="H176" t="s">
        <v>1042</v>
      </c>
      <c r="I176" t="s">
        <v>1005</v>
      </c>
      <c r="J176" t="s">
        <v>1603</v>
      </c>
      <c r="K176" t="s">
        <v>1604</v>
      </c>
    </row>
    <row r="177" spans="1:11">
      <c r="A177" t="s">
        <v>1781</v>
      </c>
      <c r="B177">
        <v>202608</v>
      </c>
      <c r="C177" t="s">
        <v>606</v>
      </c>
      <c r="D177">
        <v>6300</v>
      </c>
      <c r="E177" t="s">
        <v>1602</v>
      </c>
      <c r="F177" t="s">
        <v>982</v>
      </c>
      <c r="G177">
        <v>256666</v>
      </c>
      <c r="H177" t="s">
        <v>1042</v>
      </c>
      <c r="I177" t="s">
        <v>1005</v>
      </c>
      <c r="J177" t="s">
        <v>1603</v>
      </c>
      <c r="K177" t="s">
        <v>1604</v>
      </c>
    </row>
    <row r="178" spans="1:11">
      <c r="A178" t="s">
        <v>1782</v>
      </c>
      <c r="B178">
        <v>202609</v>
      </c>
      <c r="C178" t="s">
        <v>606</v>
      </c>
      <c r="D178">
        <v>6300</v>
      </c>
      <c r="E178" t="s">
        <v>1602</v>
      </c>
      <c r="F178" t="s">
        <v>982</v>
      </c>
      <c r="G178">
        <v>256666</v>
      </c>
      <c r="H178" t="s">
        <v>1042</v>
      </c>
      <c r="I178" t="s">
        <v>1005</v>
      </c>
      <c r="J178" t="s">
        <v>1603</v>
      </c>
      <c r="K178" t="s">
        <v>1604</v>
      </c>
    </row>
    <row r="179" spans="1:11">
      <c r="A179" t="s">
        <v>1783</v>
      </c>
      <c r="B179">
        <v>202610</v>
      </c>
      <c r="C179" t="s">
        <v>606</v>
      </c>
      <c r="D179">
        <v>6300</v>
      </c>
      <c r="E179" t="s">
        <v>1614</v>
      </c>
      <c r="F179" t="s">
        <v>985</v>
      </c>
      <c r="G179">
        <v>256666</v>
      </c>
      <c r="H179" t="s">
        <v>1042</v>
      </c>
      <c r="I179" t="s">
        <v>1005</v>
      </c>
      <c r="J179" t="s">
        <v>1603</v>
      </c>
      <c r="K179" t="s">
        <v>1604</v>
      </c>
    </row>
    <row r="180" spans="1:11">
      <c r="A180" t="s">
        <v>1784</v>
      </c>
      <c r="B180">
        <v>202611</v>
      </c>
      <c r="C180" t="s">
        <v>606</v>
      </c>
      <c r="D180">
        <v>6300</v>
      </c>
      <c r="E180" t="s">
        <v>1614</v>
      </c>
      <c r="F180" t="s">
        <v>985</v>
      </c>
      <c r="G180">
        <v>256666</v>
      </c>
      <c r="H180" t="s">
        <v>1042</v>
      </c>
      <c r="I180" t="s">
        <v>1005</v>
      </c>
      <c r="J180" t="s">
        <v>1603</v>
      </c>
      <c r="K180" t="s">
        <v>1604</v>
      </c>
    </row>
    <row r="181" spans="1:11">
      <c r="A181" t="s">
        <v>1785</v>
      </c>
      <c r="B181">
        <v>202612</v>
      </c>
      <c r="C181" t="s">
        <v>606</v>
      </c>
      <c r="D181">
        <v>6300</v>
      </c>
      <c r="E181" t="s">
        <v>1614</v>
      </c>
      <c r="F181" t="s">
        <v>985</v>
      </c>
      <c r="G181">
        <v>256674</v>
      </c>
      <c r="H181" t="s">
        <v>1042</v>
      </c>
      <c r="I181" t="s">
        <v>1005</v>
      </c>
      <c r="J181" t="s">
        <v>1603</v>
      </c>
      <c r="K181" t="s">
        <v>1604</v>
      </c>
    </row>
    <row r="182" spans="1:11">
      <c r="A182" t="s">
        <v>1786</v>
      </c>
      <c r="B182">
        <v>202601</v>
      </c>
      <c r="C182" t="s">
        <v>606</v>
      </c>
      <c r="D182">
        <v>6550</v>
      </c>
      <c r="E182" t="s">
        <v>1602</v>
      </c>
      <c r="F182" t="s">
        <v>982</v>
      </c>
      <c r="G182">
        <v>96250</v>
      </c>
      <c r="H182" t="s">
        <v>1042</v>
      </c>
      <c r="I182" t="s">
        <v>1005</v>
      </c>
      <c r="J182" t="s">
        <v>1603</v>
      </c>
      <c r="K182" t="s">
        <v>1604</v>
      </c>
    </row>
    <row r="183" spans="1:11">
      <c r="A183" t="s">
        <v>1787</v>
      </c>
      <c r="B183">
        <v>202602</v>
      </c>
      <c r="C183" t="s">
        <v>606</v>
      </c>
      <c r="D183">
        <v>6550</v>
      </c>
      <c r="E183" t="s">
        <v>1602</v>
      </c>
      <c r="F183" t="s">
        <v>982</v>
      </c>
      <c r="G183">
        <v>96250</v>
      </c>
      <c r="H183" t="s">
        <v>1042</v>
      </c>
      <c r="I183" t="s">
        <v>1005</v>
      </c>
      <c r="J183" t="s">
        <v>1603</v>
      </c>
      <c r="K183" t="s">
        <v>1604</v>
      </c>
    </row>
    <row r="184" spans="1:11">
      <c r="A184" t="s">
        <v>1788</v>
      </c>
      <c r="B184">
        <v>202603</v>
      </c>
      <c r="C184" t="s">
        <v>606</v>
      </c>
      <c r="D184">
        <v>6550</v>
      </c>
      <c r="E184" t="s">
        <v>1602</v>
      </c>
      <c r="F184" t="s">
        <v>982</v>
      </c>
      <c r="G184">
        <v>96250</v>
      </c>
      <c r="H184" t="s">
        <v>1042</v>
      </c>
      <c r="I184" t="s">
        <v>1005</v>
      </c>
      <c r="J184" t="s">
        <v>1603</v>
      </c>
      <c r="K184" t="s">
        <v>1604</v>
      </c>
    </row>
    <row r="185" spans="1:11">
      <c r="A185" t="s">
        <v>1789</v>
      </c>
      <c r="B185">
        <v>202604</v>
      </c>
      <c r="C185" t="s">
        <v>606</v>
      </c>
      <c r="D185">
        <v>6550</v>
      </c>
      <c r="E185" t="s">
        <v>1602</v>
      </c>
      <c r="F185" t="s">
        <v>982</v>
      </c>
      <c r="G185">
        <v>96250</v>
      </c>
      <c r="H185" t="s">
        <v>1042</v>
      </c>
      <c r="I185" t="s">
        <v>1005</v>
      </c>
      <c r="J185" t="s">
        <v>1603</v>
      </c>
      <c r="K185" t="s">
        <v>1604</v>
      </c>
    </row>
    <row r="186" spans="1:11">
      <c r="A186" t="s">
        <v>1790</v>
      </c>
      <c r="B186">
        <v>202605</v>
      </c>
      <c r="C186" t="s">
        <v>606</v>
      </c>
      <c r="D186">
        <v>6550</v>
      </c>
      <c r="E186" t="s">
        <v>1602</v>
      </c>
      <c r="F186" t="s">
        <v>982</v>
      </c>
      <c r="G186">
        <v>96250</v>
      </c>
      <c r="H186" t="s">
        <v>1042</v>
      </c>
      <c r="I186" t="s">
        <v>1005</v>
      </c>
      <c r="J186" t="s">
        <v>1603</v>
      </c>
      <c r="K186" t="s">
        <v>1604</v>
      </c>
    </row>
    <row r="187" spans="1:11">
      <c r="A187" t="s">
        <v>1791</v>
      </c>
      <c r="B187">
        <v>202606</v>
      </c>
      <c r="C187" t="s">
        <v>606</v>
      </c>
      <c r="D187">
        <v>6550</v>
      </c>
      <c r="E187" t="s">
        <v>1602</v>
      </c>
      <c r="F187" t="s">
        <v>982</v>
      </c>
      <c r="G187">
        <v>96250</v>
      </c>
      <c r="H187" t="s">
        <v>1042</v>
      </c>
      <c r="I187" t="s">
        <v>1005</v>
      </c>
      <c r="J187" t="s">
        <v>1603</v>
      </c>
      <c r="K187" t="s">
        <v>1604</v>
      </c>
    </row>
    <row r="188" spans="1:11">
      <c r="A188" t="s">
        <v>1792</v>
      </c>
      <c r="B188">
        <v>202607</v>
      </c>
      <c r="C188" t="s">
        <v>606</v>
      </c>
      <c r="D188">
        <v>6550</v>
      </c>
      <c r="E188" t="s">
        <v>1602</v>
      </c>
      <c r="F188" t="s">
        <v>982</v>
      </c>
      <c r="G188">
        <v>96250</v>
      </c>
      <c r="H188" t="s">
        <v>1042</v>
      </c>
      <c r="I188" t="s">
        <v>1005</v>
      </c>
      <c r="J188" t="s">
        <v>1603</v>
      </c>
      <c r="K188" t="s">
        <v>1604</v>
      </c>
    </row>
    <row r="189" spans="1:11">
      <c r="A189" t="s">
        <v>1793</v>
      </c>
      <c r="B189">
        <v>202608</v>
      </c>
      <c r="C189" t="s">
        <v>606</v>
      </c>
      <c r="D189">
        <v>6550</v>
      </c>
      <c r="E189" t="s">
        <v>1602</v>
      </c>
      <c r="F189" t="s">
        <v>982</v>
      </c>
      <c r="G189">
        <v>96250</v>
      </c>
      <c r="H189" t="s">
        <v>1042</v>
      </c>
      <c r="I189" t="s">
        <v>1005</v>
      </c>
      <c r="J189" t="s">
        <v>1603</v>
      </c>
      <c r="K189" t="s">
        <v>1604</v>
      </c>
    </row>
    <row r="190" spans="1:11">
      <c r="A190" t="s">
        <v>1794</v>
      </c>
      <c r="B190">
        <v>202609</v>
      </c>
      <c r="C190" t="s">
        <v>606</v>
      </c>
      <c r="D190">
        <v>6550</v>
      </c>
      <c r="E190" t="s">
        <v>1602</v>
      </c>
      <c r="F190" t="s">
        <v>982</v>
      </c>
      <c r="G190">
        <v>96250</v>
      </c>
      <c r="H190" t="s">
        <v>1042</v>
      </c>
      <c r="I190" t="s">
        <v>1005</v>
      </c>
      <c r="J190" t="s">
        <v>1603</v>
      </c>
      <c r="K190" t="s">
        <v>1604</v>
      </c>
    </row>
    <row r="191" spans="1:11">
      <c r="A191" t="s">
        <v>1795</v>
      </c>
      <c r="B191">
        <v>202610</v>
      </c>
      <c r="C191" t="s">
        <v>606</v>
      </c>
      <c r="D191">
        <v>6550</v>
      </c>
      <c r="E191" t="s">
        <v>1614</v>
      </c>
      <c r="F191" t="s">
        <v>985</v>
      </c>
      <c r="G191">
        <v>96250</v>
      </c>
      <c r="H191" t="s">
        <v>1042</v>
      </c>
      <c r="I191" t="s">
        <v>1005</v>
      </c>
      <c r="J191" t="s">
        <v>1603</v>
      </c>
      <c r="K191" t="s">
        <v>1604</v>
      </c>
    </row>
    <row r="192" spans="1:11">
      <c r="A192" t="s">
        <v>1796</v>
      </c>
      <c r="B192">
        <v>202611</v>
      </c>
      <c r="C192" t="s">
        <v>606</v>
      </c>
      <c r="D192">
        <v>6550</v>
      </c>
      <c r="E192" t="s">
        <v>1614</v>
      </c>
      <c r="F192" t="s">
        <v>985</v>
      </c>
      <c r="G192">
        <v>96250</v>
      </c>
      <c r="H192" t="s">
        <v>1042</v>
      </c>
      <c r="I192" t="s">
        <v>1005</v>
      </c>
      <c r="J192" t="s">
        <v>1603</v>
      </c>
      <c r="K192" t="s">
        <v>1604</v>
      </c>
    </row>
    <row r="193" spans="1:11">
      <c r="A193" t="s">
        <v>1797</v>
      </c>
      <c r="B193">
        <v>202612</v>
      </c>
      <c r="C193" t="s">
        <v>606</v>
      </c>
      <c r="D193">
        <v>6550</v>
      </c>
      <c r="E193" t="s">
        <v>1614</v>
      </c>
      <c r="F193" t="s">
        <v>985</v>
      </c>
      <c r="G193">
        <v>96250</v>
      </c>
      <c r="H193" t="s">
        <v>1042</v>
      </c>
      <c r="I193" t="s">
        <v>1005</v>
      </c>
      <c r="J193" t="s">
        <v>1603</v>
      </c>
      <c r="K193" t="s">
        <v>1604</v>
      </c>
    </row>
    <row r="194" spans="1:11">
      <c r="A194" t="s">
        <v>1798</v>
      </c>
      <c r="B194">
        <v>202601</v>
      </c>
      <c r="C194" t="s">
        <v>606</v>
      </c>
      <c r="D194">
        <v>6700</v>
      </c>
      <c r="E194" t="s">
        <v>1602</v>
      </c>
      <c r="F194" t="s">
        <v>982</v>
      </c>
      <c r="G194">
        <v>96250</v>
      </c>
      <c r="H194" t="s">
        <v>1042</v>
      </c>
      <c r="I194" t="s">
        <v>1005</v>
      </c>
      <c r="J194" t="s">
        <v>1603</v>
      </c>
      <c r="K194" t="s">
        <v>1604</v>
      </c>
    </row>
    <row r="195" spans="1:11">
      <c r="A195" t="s">
        <v>1799</v>
      </c>
      <c r="B195">
        <v>202602</v>
      </c>
      <c r="C195" t="s">
        <v>606</v>
      </c>
      <c r="D195">
        <v>6700</v>
      </c>
      <c r="E195" t="s">
        <v>1602</v>
      </c>
      <c r="F195" t="s">
        <v>982</v>
      </c>
      <c r="G195">
        <v>96250</v>
      </c>
      <c r="H195" t="s">
        <v>1042</v>
      </c>
      <c r="I195" t="s">
        <v>1005</v>
      </c>
      <c r="J195" t="s">
        <v>1603</v>
      </c>
      <c r="K195" t="s">
        <v>1604</v>
      </c>
    </row>
    <row r="196" spans="1:11">
      <c r="A196" t="s">
        <v>1800</v>
      </c>
      <c r="B196">
        <v>202603</v>
      </c>
      <c r="C196" t="s">
        <v>606</v>
      </c>
      <c r="D196">
        <v>6700</v>
      </c>
      <c r="E196" t="s">
        <v>1602</v>
      </c>
      <c r="F196" t="s">
        <v>982</v>
      </c>
      <c r="G196">
        <v>96250</v>
      </c>
      <c r="H196" t="s">
        <v>1042</v>
      </c>
      <c r="I196" t="s">
        <v>1005</v>
      </c>
      <c r="J196" t="s">
        <v>1603</v>
      </c>
      <c r="K196" t="s">
        <v>1604</v>
      </c>
    </row>
    <row r="197" spans="1:11">
      <c r="A197" t="s">
        <v>1801</v>
      </c>
      <c r="B197">
        <v>202604</v>
      </c>
      <c r="C197" t="s">
        <v>606</v>
      </c>
      <c r="D197">
        <v>6700</v>
      </c>
      <c r="E197" t="s">
        <v>1602</v>
      </c>
      <c r="F197" t="s">
        <v>982</v>
      </c>
      <c r="G197">
        <v>96250</v>
      </c>
      <c r="H197" t="s">
        <v>1042</v>
      </c>
      <c r="I197" t="s">
        <v>1005</v>
      </c>
      <c r="J197" t="s">
        <v>1603</v>
      </c>
      <c r="K197" t="s">
        <v>1604</v>
      </c>
    </row>
    <row r="198" spans="1:11">
      <c r="A198" t="s">
        <v>1802</v>
      </c>
      <c r="B198">
        <v>202605</v>
      </c>
      <c r="C198" t="s">
        <v>606</v>
      </c>
      <c r="D198">
        <v>6700</v>
      </c>
      <c r="E198" t="s">
        <v>1602</v>
      </c>
      <c r="F198" t="s">
        <v>982</v>
      </c>
      <c r="G198">
        <v>96250</v>
      </c>
      <c r="H198" t="s">
        <v>1042</v>
      </c>
      <c r="I198" t="s">
        <v>1005</v>
      </c>
      <c r="J198" t="s">
        <v>1603</v>
      </c>
      <c r="K198" t="s">
        <v>1604</v>
      </c>
    </row>
    <row r="199" spans="1:11">
      <c r="A199" t="s">
        <v>1803</v>
      </c>
      <c r="B199">
        <v>202606</v>
      </c>
      <c r="C199" t="s">
        <v>606</v>
      </c>
      <c r="D199">
        <v>6700</v>
      </c>
      <c r="E199" t="s">
        <v>1602</v>
      </c>
      <c r="F199" t="s">
        <v>982</v>
      </c>
      <c r="G199">
        <v>96250</v>
      </c>
      <c r="H199" t="s">
        <v>1042</v>
      </c>
      <c r="I199" t="s">
        <v>1005</v>
      </c>
      <c r="J199" t="s">
        <v>1603</v>
      </c>
      <c r="K199" t="s">
        <v>1604</v>
      </c>
    </row>
    <row r="200" spans="1:11">
      <c r="A200" t="s">
        <v>1804</v>
      </c>
      <c r="B200">
        <v>202607</v>
      </c>
      <c r="C200" t="s">
        <v>606</v>
      </c>
      <c r="D200">
        <v>6700</v>
      </c>
      <c r="E200" t="s">
        <v>1602</v>
      </c>
      <c r="F200" t="s">
        <v>982</v>
      </c>
      <c r="G200">
        <v>96250</v>
      </c>
      <c r="H200" t="s">
        <v>1042</v>
      </c>
      <c r="I200" t="s">
        <v>1005</v>
      </c>
      <c r="J200" t="s">
        <v>1603</v>
      </c>
      <c r="K200" t="s">
        <v>1604</v>
      </c>
    </row>
    <row r="201" spans="1:11">
      <c r="A201" t="s">
        <v>1805</v>
      </c>
      <c r="B201">
        <v>202608</v>
      </c>
      <c r="C201" t="s">
        <v>606</v>
      </c>
      <c r="D201">
        <v>6700</v>
      </c>
      <c r="E201" t="s">
        <v>1602</v>
      </c>
      <c r="F201" t="s">
        <v>982</v>
      </c>
      <c r="G201">
        <v>96250</v>
      </c>
      <c r="H201" t="s">
        <v>1042</v>
      </c>
      <c r="I201" t="s">
        <v>1005</v>
      </c>
      <c r="J201" t="s">
        <v>1603</v>
      </c>
      <c r="K201" t="s">
        <v>1604</v>
      </c>
    </row>
    <row r="202" spans="1:11">
      <c r="A202" t="s">
        <v>1806</v>
      </c>
      <c r="B202">
        <v>202609</v>
      </c>
      <c r="C202" t="s">
        <v>606</v>
      </c>
      <c r="D202">
        <v>6700</v>
      </c>
      <c r="E202" t="s">
        <v>1602</v>
      </c>
      <c r="F202" t="s">
        <v>982</v>
      </c>
      <c r="G202">
        <v>96250</v>
      </c>
      <c r="H202" t="s">
        <v>1042</v>
      </c>
      <c r="I202" t="s">
        <v>1005</v>
      </c>
      <c r="J202" t="s">
        <v>1603</v>
      </c>
      <c r="K202" t="s">
        <v>1604</v>
      </c>
    </row>
    <row r="203" spans="1:11">
      <c r="A203" t="s">
        <v>1807</v>
      </c>
      <c r="B203">
        <v>202610</v>
      </c>
      <c r="C203" t="s">
        <v>606</v>
      </c>
      <c r="D203">
        <v>6700</v>
      </c>
      <c r="E203" t="s">
        <v>1614</v>
      </c>
      <c r="F203" t="s">
        <v>985</v>
      </c>
      <c r="G203">
        <v>96250</v>
      </c>
      <c r="H203" t="s">
        <v>1042</v>
      </c>
      <c r="I203" t="s">
        <v>1005</v>
      </c>
      <c r="J203" t="s">
        <v>1603</v>
      </c>
      <c r="K203" t="s">
        <v>1604</v>
      </c>
    </row>
    <row r="204" spans="1:11">
      <c r="A204" t="s">
        <v>1808</v>
      </c>
      <c r="B204">
        <v>202611</v>
      </c>
      <c r="C204" t="s">
        <v>606</v>
      </c>
      <c r="D204">
        <v>6700</v>
      </c>
      <c r="E204" t="s">
        <v>1614</v>
      </c>
      <c r="F204" t="s">
        <v>985</v>
      </c>
      <c r="G204">
        <v>96250</v>
      </c>
      <c r="H204" t="s">
        <v>1042</v>
      </c>
      <c r="I204" t="s">
        <v>1005</v>
      </c>
      <c r="J204" t="s">
        <v>1603</v>
      </c>
      <c r="K204" t="s">
        <v>1604</v>
      </c>
    </row>
    <row r="205" spans="1:11">
      <c r="A205" t="s">
        <v>1809</v>
      </c>
      <c r="B205">
        <v>202612</v>
      </c>
      <c r="C205" t="s">
        <v>606</v>
      </c>
      <c r="D205">
        <v>6700</v>
      </c>
      <c r="E205" t="s">
        <v>1614</v>
      </c>
      <c r="F205" t="s">
        <v>985</v>
      </c>
      <c r="G205">
        <v>96250</v>
      </c>
      <c r="H205" t="s">
        <v>1042</v>
      </c>
      <c r="I205" t="s">
        <v>1005</v>
      </c>
      <c r="J205" t="s">
        <v>1603</v>
      </c>
      <c r="K205" t="s">
        <v>1604</v>
      </c>
    </row>
    <row r="206" spans="1:11">
      <c r="A206" t="s">
        <v>1810</v>
      </c>
      <c r="B206">
        <v>202601</v>
      </c>
      <c r="C206" t="s">
        <v>606</v>
      </c>
      <c r="D206">
        <v>7130</v>
      </c>
      <c r="E206" t="s">
        <v>1602</v>
      </c>
      <c r="F206" t="s">
        <v>982</v>
      </c>
      <c r="G206">
        <v>96250</v>
      </c>
      <c r="H206" t="s">
        <v>1042</v>
      </c>
      <c r="I206" t="s">
        <v>1005</v>
      </c>
      <c r="J206" t="s">
        <v>1603</v>
      </c>
      <c r="K206" t="s">
        <v>1604</v>
      </c>
    </row>
    <row r="207" spans="1:11">
      <c r="A207" t="s">
        <v>1811</v>
      </c>
      <c r="B207">
        <v>202602</v>
      </c>
      <c r="C207" t="s">
        <v>606</v>
      </c>
      <c r="D207">
        <v>7130</v>
      </c>
      <c r="E207" t="s">
        <v>1602</v>
      </c>
      <c r="F207" t="s">
        <v>982</v>
      </c>
      <c r="G207">
        <v>96250</v>
      </c>
      <c r="H207" t="s">
        <v>1042</v>
      </c>
      <c r="I207" t="s">
        <v>1005</v>
      </c>
      <c r="J207" t="s">
        <v>1603</v>
      </c>
      <c r="K207" t="s">
        <v>1604</v>
      </c>
    </row>
    <row r="208" spans="1:11">
      <c r="A208" t="s">
        <v>1812</v>
      </c>
      <c r="B208">
        <v>202603</v>
      </c>
      <c r="C208" t="s">
        <v>606</v>
      </c>
      <c r="D208">
        <v>7130</v>
      </c>
      <c r="E208" t="s">
        <v>1602</v>
      </c>
      <c r="F208" t="s">
        <v>982</v>
      </c>
      <c r="G208">
        <v>96250</v>
      </c>
      <c r="H208" t="s">
        <v>1042</v>
      </c>
      <c r="I208" t="s">
        <v>1005</v>
      </c>
      <c r="J208" t="s">
        <v>1603</v>
      </c>
      <c r="K208" t="s">
        <v>1604</v>
      </c>
    </row>
    <row r="209" spans="1:11">
      <c r="A209" t="s">
        <v>1813</v>
      </c>
      <c r="B209">
        <v>202604</v>
      </c>
      <c r="C209" t="s">
        <v>606</v>
      </c>
      <c r="D209">
        <v>7130</v>
      </c>
      <c r="E209" t="s">
        <v>1602</v>
      </c>
      <c r="F209" t="s">
        <v>982</v>
      </c>
      <c r="G209">
        <v>96250</v>
      </c>
      <c r="H209" t="s">
        <v>1042</v>
      </c>
      <c r="I209" t="s">
        <v>1005</v>
      </c>
      <c r="J209" t="s">
        <v>1603</v>
      </c>
      <c r="K209" t="s">
        <v>1604</v>
      </c>
    </row>
    <row r="210" spans="1:11">
      <c r="A210" t="s">
        <v>1814</v>
      </c>
      <c r="B210">
        <v>202605</v>
      </c>
      <c r="C210" t="s">
        <v>606</v>
      </c>
      <c r="D210">
        <v>7130</v>
      </c>
      <c r="E210" t="s">
        <v>1602</v>
      </c>
      <c r="F210" t="s">
        <v>982</v>
      </c>
      <c r="G210">
        <v>96250</v>
      </c>
      <c r="H210" t="s">
        <v>1042</v>
      </c>
      <c r="I210" t="s">
        <v>1005</v>
      </c>
      <c r="J210" t="s">
        <v>1603</v>
      </c>
      <c r="K210" t="s">
        <v>1604</v>
      </c>
    </row>
    <row r="211" spans="1:11">
      <c r="A211" t="s">
        <v>1815</v>
      </c>
      <c r="B211">
        <v>202606</v>
      </c>
      <c r="C211" t="s">
        <v>606</v>
      </c>
      <c r="D211">
        <v>7130</v>
      </c>
      <c r="E211" t="s">
        <v>1602</v>
      </c>
      <c r="F211" t="s">
        <v>982</v>
      </c>
      <c r="G211">
        <v>96250</v>
      </c>
      <c r="H211" t="s">
        <v>1042</v>
      </c>
      <c r="I211" t="s">
        <v>1005</v>
      </c>
      <c r="J211" t="s">
        <v>1603</v>
      </c>
      <c r="K211" t="s">
        <v>1604</v>
      </c>
    </row>
    <row r="212" spans="1:11">
      <c r="A212" t="s">
        <v>1816</v>
      </c>
      <c r="B212">
        <v>202607</v>
      </c>
      <c r="C212" t="s">
        <v>606</v>
      </c>
      <c r="D212">
        <v>7130</v>
      </c>
      <c r="E212" t="s">
        <v>1602</v>
      </c>
      <c r="F212" t="s">
        <v>982</v>
      </c>
      <c r="G212">
        <v>96250</v>
      </c>
      <c r="H212" t="s">
        <v>1042</v>
      </c>
      <c r="I212" t="s">
        <v>1005</v>
      </c>
      <c r="J212" t="s">
        <v>1603</v>
      </c>
      <c r="K212" t="s">
        <v>1604</v>
      </c>
    </row>
    <row r="213" spans="1:11">
      <c r="A213" t="s">
        <v>1817</v>
      </c>
      <c r="B213">
        <v>202608</v>
      </c>
      <c r="C213" t="s">
        <v>606</v>
      </c>
      <c r="D213">
        <v>7130</v>
      </c>
      <c r="E213" t="s">
        <v>1602</v>
      </c>
      <c r="F213" t="s">
        <v>982</v>
      </c>
      <c r="G213">
        <v>96250</v>
      </c>
      <c r="H213" t="s">
        <v>1042</v>
      </c>
      <c r="I213" t="s">
        <v>1005</v>
      </c>
      <c r="J213" t="s">
        <v>1603</v>
      </c>
      <c r="K213" t="s">
        <v>1604</v>
      </c>
    </row>
    <row r="214" spans="1:11">
      <c r="A214" t="s">
        <v>1818</v>
      </c>
      <c r="B214">
        <v>202609</v>
      </c>
      <c r="C214" t="s">
        <v>606</v>
      </c>
      <c r="D214">
        <v>7130</v>
      </c>
      <c r="E214" t="s">
        <v>1602</v>
      </c>
      <c r="F214" t="s">
        <v>982</v>
      </c>
      <c r="G214">
        <v>96250</v>
      </c>
      <c r="H214" t="s">
        <v>1042</v>
      </c>
      <c r="I214" t="s">
        <v>1005</v>
      </c>
      <c r="J214" t="s">
        <v>1603</v>
      </c>
      <c r="K214" t="s">
        <v>1604</v>
      </c>
    </row>
    <row r="215" spans="1:11">
      <c r="A215" t="s">
        <v>1819</v>
      </c>
      <c r="B215">
        <v>202610</v>
      </c>
      <c r="C215" t="s">
        <v>606</v>
      </c>
      <c r="D215">
        <v>7130</v>
      </c>
      <c r="E215" t="s">
        <v>1614</v>
      </c>
      <c r="F215" t="s">
        <v>985</v>
      </c>
      <c r="G215">
        <v>96250</v>
      </c>
      <c r="H215" t="s">
        <v>1042</v>
      </c>
      <c r="I215" t="s">
        <v>1005</v>
      </c>
      <c r="J215" t="s">
        <v>1603</v>
      </c>
      <c r="K215" t="s">
        <v>1604</v>
      </c>
    </row>
    <row r="216" spans="1:11">
      <c r="A216" t="s">
        <v>1820</v>
      </c>
      <c r="B216">
        <v>202611</v>
      </c>
      <c r="C216" t="s">
        <v>606</v>
      </c>
      <c r="D216">
        <v>7130</v>
      </c>
      <c r="E216" t="s">
        <v>1614</v>
      </c>
      <c r="F216" t="s">
        <v>985</v>
      </c>
      <c r="G216">
        <v>96250</v>
      </c>
      <c r="H216" t="s">
        <v>1042</v>
      </c>
      <c r="I216" t="s">
        <v>1005</v>
      </c>
      <c r="J216" t="s">
        <v>1603</v>
      </c>
      <c r="K216" t="s">
        <v>1604</v>
      </c>
    </row>
    <row r="217" spans="1:11">
      <c r="A217" t="s">
        <v>1821</v>
      </c>
      <c r="B217">
        <v>202612</v>
      </c>
      <c r="C217" t="s">
        <v>606</v>
      </c>
      <c r="D217">
        <v>7130</v>
      </c>
      <c r="E217" t="s">
        <v>1614</v>
      </c>
      <c r="F217" t="s">
        <v>985</v>
      </c>
      <c r="G217">
        <v>96250</v>
      </c>
      <c r="H217" t="s">
        <v>1042</v>
      </c>
      <c r="I217" t="s">
        <v>1005</v>
      </c>
      <c r="J217" t="s">
        <v>1603</v>
      </c>
      <c r="K217" t="s">
        <v>1604</v>
      </c>
    </row>
    <row r="218" spans="1:11">
      <c r="A218" t="s">
        <v>1822</v>
      </c>
      <c r="B218">
        <v>202601</v>
      </c>
      <c r="C218" t="s">
        <v>611</v>
      </c>
      <c r="D218">
        <v>5000</v>
      </c>
      <c r="E218" t="s">
        <v>1602</v>
      </c>
      <c r="F218" t="s">
        <v>982</v>
      </c>
      <c r="G218">
        <v>1357200</v>
      </c>
      <c r="H218" t="s">
        <v>1045</v>
      </c>
      <c r="I218" t="s">
        <v>1008</v>
      </c>
      <c r="J218" t="s">
        <v>1603</v>
      </c>
      <c r="K218" t="s">
        <v>1823</v>
      </c>
    </row>
    <row r="219" spans="1:11">
      <c r="A219" t="s">
        <v>1824</v>
      </c>
      <c r="B219">
        <v>202602</v>
      </c>
      <c r="C219" t="s">
        <v>611</v>
      </c>
      <c r="D219">
        <v>5000</v>
      </c>
      <c r="E219" t="s">
        <v>1602</v>
      </c>
      <c r="F219" t="s">
        <v>982</v>
      </c>
      <c r="G219">
        <v>1357200</v>
      </c>
      <c r="H219" t="s">
        <v>1045</v>
      </c>
      <c r="I219" t="s">
        <v>1008</v>
      </c>
      <c r="J219" t="s">
        <v>1603</v>
      </c>
      <c r="K219" t="s">
        <v>1823</v>
      </c>
    </row>
    <row r="220" spans="1:11">
      <c r="A220" t="s">
        <v>1825</v>
      </c>
      <c r="B220">
        <v>202603</v>
      </c>
      <c r="C220" t="s">
        <v>611</v>
      </c>
      <c r="D220">
        <v>5000</v>
      </c>
      <c r="E220" t="s">
        <v>1602</v>
      </c>
      <c r="F220" t="s">
        <v>982</v>
      </c>
      <c r="G220">
        <v>1357200</v>
      </c>
      <c r="H220" t="s">
        <v>1045</v>
      </c>
      <c r="I220" t="s">
        <v>1008</v>
      </c>
      <c r="J220" t="s">
        <v>1603</v>
      </c>
      <c r="K220" t="s">
        <v>1823</v>
      </c>
    </row>
    <row r="221" spans="1:11">
      <c r="A221" t="s">
        <v>1826</v>
      </c>
      <c r="B221">
        <v>202604</v>
      </c>
      <c r="C221" t="s">
        <v>611</v>
      </c>
      <c r="D221">
        <v>5000</v>
      </c>
      <c r="E221" t="s">
        <v>1602</v>
      </c>
      <c r="F221" t="s">
        <v>982</v>
      </c>
      <c r="G221">
        <v>1357200</v>
      </c>
      <c r="H221" t="s">
        <v>1045</v>
      </c>
      <c r="I221" t="s">
        <v>1008</v>
      </c>
      <c r="J221" t="s">
        <v>1603</v>
      </c>
      <c r="K221" t="s">
        <v>1823</v>
      </c>
    </row>
    <row r="222" spans="1:11">
      <c r="A222" t="s">
        <v>1827</v>
      </c>
      <c r="B222">
        <v>202605</v>
      </c>
      <c r="C222" t="s">
        <v>611</v>
      </c>
      <c r="D222">
        <v>5000</v>
      </c>
      <c r="E222" t="s">
        <v>1602</v>
      </c>
      <c r="F222" t="s">
        <v>982</v>
      </c>
      <c r="G222">
        <v>1357200</v>
      </c>
      <c r="H222" t="s">
        <v>1045</v>
      </c>
      <c r="I222" t="s">
        <v>1008</v>
      </c>
      <c r="J222" t="s">
        <v>1603</v>
      </c>
      <c r="K222" t="s">
        <v>1823</v>
      </c>
    </row>
    <row r="223" spans="1:11">
      <c r="A223" t="s">
        <v>1828</v>
      </c>
      <c r="B223">
        <v>202606</v>
      </c>
      <c r="C223" t="s">
        <v>611</v>
      </c>
      <c r="D223">
        <v>5000</v>
      </c>
      <c r="E223" t="s">
        <v>1602</v>
      </c>
      <c r="F223" t="s">
        <v>982</v>
      </c>
      <c r="G223">
        <v>1357200</v>
      </c>
      <c r="H223" t="s">
        <v>1045</v>
      </c>
      <c r="I223" t="s">
        <v>1008</v>
      </c>
      <c r="J223" t="s">
        <v>1603</v>
      </c>
      <c r="K223" t="s">
        <v>1823</v>
      </c>
    </row>
    <row r="224" spans="1:11">
      <c r="A224" t="s">
        <v>1829</v>
      </c>
      <c r="B224">
        <v>202607</v>
      </c>
      <c r="C224" t="s">
        <v>611</v>
      </c>
      <c r="D224">
        <v>5000</v>
      </c>
      <c r="E224" t="s">
        <v>1602</v>
      </c>
      <c r="F224" t="s">
        <v>982</v>
      </c>
      <c r="G224">
        <v>1357200</v>
      </c>
      <c r="H224" t="s">
        <v>1045</v>
      </c>
      <c r="I224" t="s">
        <v>1008</v>
      </c>
      <c r="J224" t="s">
        <v>1603</v>
      </c>
      <c r="K224" t="s">
        <v>1823</v>
      </c>
    </row>
    <row r="225" spans="1:11">
      <c r="A225" t="s">
        <v>1830</v>
      </c>
      <c r="B225">
        <v>202608</v>
      </c>
      <c r="C225" t="s">
        <v>611</v>
      </c>
      <c r="D225">
        <v>5000</v>
      </c>
      <c r="E225" t="s">
        <v>1602</v>
      </c>
      <c r="F225" t="s">
        <v>982</v>
      </c>
      <c r="G225">
        <v>1357200</v>
      </c>
      <c r="H225" t="s">
        <v>1045</v>
      </c>
      <c r="I225" t="s">
        <v>1008</v>
      </c>
      <c r="J225" t="s">
        <v>1603</v>
      </c>
      <c r="K225" t="s">
        <v>1823</v>
      </c>
    </row>
    <row r="226" spans="1:11">
      <c r="A226" t="s">
        <v>1831</v>
      </c>
      <c r="B226">
        <v>202609</v>
      </c>
      <c r="C226" t="s">
        <v>611</v>
      </c>
      <c r="D226">
        <v>5000</v>
      </c>
      <c r="E226" t="s">
        <v>1602</v>
      </c>
      <c r="F226" t="s">
        <v>982</v>
      </c>
      <c r="G226">
        <v>1357200</v>
      </c>
      <c r="H226" t="s">
        <v>1045</v>
      </c>
      <c r="I226" t="s">
        <v>1008</v>
      </c>
      <c r="J226" t="s">
        <v>1603</v>
      </c>
      <c r="K226" t="s">
        <v>1823</v>
      </c>
    </row>
    <row r="227" spans="1:11">
      <c r="A227" t="s">
        <v>1832</v>
      </c>
      <c r="B227">
        <v>202610</v>
      </c>
      <c r="C227" t="s">
        <v>611</v>
      </c>
      <c r="D227">
        <v>5000</v>
      </c>
      <c r="E227" t="s">
        <v>1614</v>
      </c>
      <c r="F227" t="s">
        <v>985</v>
      </c>
      <c r="G227">
        <v>1357200</v>
      </c>
      <c r="H227" t="s">
        <v>1045</v>
      </c>
      <c r="I227" t="s">
        <v>1008</v>
      </c>
      <c r="J227" t="s">
        <v>1603</v>
      </c>
      <c r="K227" t="s">
        <v>1823</v>
      </c>
    </row>
    <row r="228" spans="1:11">
      <c r="A228" t="s">
        <v>1833</v>
      </c>
      <c r="B228">
        <v>202611</v>
      </c>
      <c r="C228" t="s">
        <v>611</v>
      </c>
      <c r="D228">
        <v>5000</v>
      </c>
      <c r="E228" t="s">
        <v>1614</v>
      </c>
      <c r="F228" t="s">
        <v>985</v>
      </c>
      <c r="G228">
        <v>1357200</v>
      </c>
      <c r="H228" t="s">
        <v>1045</v>
      </c>
      <c r="I228" t="s">
        <v>1008</v>
      </c>
      <c r="J228" t="s">
        <v>1603</v>
      </c>
      <c r="K228" t="s">
        <v>1823</v>
      </c>
    </row>
    <row r="229" spans="1:11">
      <c r="A229" t="s">
        <v>1834</v>
      </c>
      <c r="B229">
        <v>202612</v>
      </c>
      <c r="C229" t="s">
        <v>611</v>
      </c>
      <c r="D229">
        <v>5000</v>
      </c>
      <c r="E229" t="s">
        <v>1614</v>
      </c>
      <c r="F229" t="s">
        <v>985</v>
      </c>
      <c r="G229">
        <v>1357200</v>
      </c>
      <c r="H229" t="s">
        <v>1045</v>
      </c>
      <c r="I229" t="s">
        <v>1008</v>
      </c>
      <c r="J229" t="s">
        <v>1603</v>
      </c>
      <c r="K229" t="s">
        <v>1823</v>
      </c>
    </row>
    <row r="230" spans="1:11">
      <c r="A230" t="s">
        <v>1835</v>
      </c>
      <c r="B230">
        <v>202601</v>
      </c>
      <c r="C230" t="s">
        <v>611</v>
      </c>
      <c r="D230">
        <v>5080</v>
      </c>
      <c r="E230" t="s">
        <v>1602</v>
      </c>
      <c r="F230" t="s">
        <v>982</v>
      </c>
      <c r="G230">
        <v>131040</v>
      </c>
      <c r="H230" t="s">
        <v>1045</v>
      </c>
      <c r="I230" t="s">
        <v>1008</v>
      </c>
      <c r="J230" t="s">
        <v>1603</v>
      </c>
      <c r="K230" t="s">
        <v>1823</v>
      </c>
    </row>
    <row r="231" spans="1:11">
      <c r="A231" t="s">
        <v>1836</v>
      </c>
      <c r="B231">
        <v>202602</v>
      </c>
      <c r="C231" t="s">
        <v>611</v>
      </c>
      <c r="D231">
        <v>5080</v>
      </c>
      <c r="E231" t="s">
        <v>1602</v>
      </c>
      <c r="F231" t="s">
        <v>982</v>
      </c>
      <c r="G231">
        <v>131040</v>
      </c>
      <c r="H231" t="s">
        <v>1045</v>
      </c>
      <c r="I231" t="s">
        <v>1008</v>
      </c>
      <c r="J231" t="s">
        <v>1603</v>
      </c>
      <c r="K231" t="s">
        <v>1823</v>
      </c>
    </row>
    <row r="232" spans="1:11">
      <c r="A232" t="s">
        <v>1837</v>
      </c>
      <c r="B232">
        <v>202603</v>
      </c>
      <c r="C232" t="s">
        <v>611</v>
      </c>
      <c r="D232">
        <v>5080</v>
      </c>
      <c r="E232" t="s">
        <v>1602</v>
      </c>
      <c r="F232" t="s">
        <v>982</v>
      </c>
      <c r="G232">
        <v>131040</v>
      </c>
      <c r="H232" t="s">
        <v>1045</v>
      </c>
      <c r="I232" t="s">
        <v>1008</v>
      </c>
      <c r="J232" t="s">
        <v>1603</v>
      </c>
      <c r="K232" t="s">
        <v>1823</v>
      </c>
    </row>
    <row r="233" spans="1:11">
      <c r="A233" t="s">
        <v>1838</v>
      </c>
      <c r="B233">
        <v>202604</v>
      </c>
      <c r="C233" t="s">
        <v>611</v>
      </c>
      <c r="D233">
        <v>5080</v>
      </c>
      <c r="E233" t="s">
        <v>1602</v>
      </c>
      <c r="F233" t="s">
        <v>982</v>
      </c>
      <c r="G233">
        <v>131040</v>
      </c>
      <c r="H233" t="s">
        <v>1045</v>
      </c>
      <c r="I233" t="s">
        <v>1008</v>
      </c>
      <c r="J233" t="s">
        <v>1603</v>
      </c>
      <c r="K233" t="s">
        <v>1823</v>
      </c>
    </row>
    <row r="234" spans="1:11">
      <c r="A234" t="s">
        <v>1839</v>
      </c>
      <c r="B234">
        <v>202605</v>
      </c>
      <c r="C234" t="s">
        <v>611</v>
      </c>
      <c r="D234">
        <v>5080</v>
      </c>
      <c r="E234" t="s">
        <v>1602</v>
      </c>
      <c r="F234" t="s">
        <v>982</v>
      </c>
      <c r="G234">
        <v>131040</v>
      </c>
      <c r="H234" t="s">
        <v>1045</v>
      </c>
      <c r="I234" t="s">
        <v>1008</v>
      </c>
      <c r="J234" t="s">
        <v>1603</v>
      </c>
      <c r="K234" t="s">
        <v>1823</v>
      </c>
    </row>
    <row r="235" spans="1:11">
      <c r="A235" t="s">
        <v>1840</v>
      </c>
      <c r="B235">
        <v>202606</v>
      </c>
      <c r="C235" t="s">
        <v>611</v>
      </c>
      <c r="D235">
        <v>5080</v>
      </c>
      <c r="E235" t="s">
        <v>1602</v>
      </c>
      <c r="F235" t="s">
        <v>982</v>
      </c>
      <c r="G235">
        <v>229320</v>
      </c>
      <c r="H235" t="s">
        <v>1045</v>
      </c>
      <c r="I235" t="s">
        <v>1008</v>
      </c>
      <c r="J235" t="s">
        <v>1603</v>
      </c>
      <c r="K235" t="s">
        <v>1823</v>
      </c>
    </row>
    <row r="236" spans="1:11">
      <c r="A236" t="s">
        <v>1841</v>
      </c>
      <c r="B236">
        <v>202607</v>
      </c>
      <c r="C236" t="s">
        <v>611</v>
      </c>
      <c r="D236">
        <v>5080</v>
      </c>
      <c r="E236" t="s">
        <v>1602</v>
      </c>
      <c r="F236" t="s">
        <v>982</v>
      </c>
      <c r="G236">
        <v>131040</v>
      </c>
      <c r="H236" t="s">
        <v>1045</v>
      </c>
      <c r="I236" t="s">
        <v>1008</v>
      </c>
      <c r="J236" t="s">
        <v>1603</v>
      </c>
      <c r="K236" t="s">
        <v>1823</v>
      </c>
    </row>
    <row r="237" spans="1:11">
      <c r="A237" t="s">
        <v>1842</v>
      </c>
      <c r="B237">
        <v>202608</v>
      </c>
      <c r="C237" t="s">
        <v>611</v>
      </c>
      <c r="D237">
        <v>5080</v>
      </c>
      <c r="E237" t="s">
        <v>1602</v>
      </c>
      <c r="F237" t="s">
        <v>982</v>
      </c>
      <c r="G237">
        <v>131040</v>
      </c>
      <c r="H237" t="s">
        <v>1045</v>
      </c>
      <c r="I237" t="s">
        <v>1008</v>
      </c>
      <c r="J237" t="s">
        <v>1603</v>
      </c>
      <c r="K237" t="s">
        <v>1823</v>
      </c>
    </row>
    <row r="238" spans="1:11">
      <c r="A238" t="s">
        <v>1843</v>
      </c>
      <c r="B238">
        <v>202609</v>
      </c>
      <c r="C238" t="s">
        <v>611</v>
      </c>
      <c r="D238">
        <v>5080</v>
      </c>
      <c r="E238" t="s">
        <v>1602</v>
      </c>
      <c r="F238" t="s">
        <v>982</v>
      </c>
      <c r="G238">
        <v>131040</v>
      </c>
      <c r="H238" t="s">
        <v>1045</v>
      </c>
      <c r="I238" t="s">
        <v>1008</v>
      </c>
      <c r="J238" t="s">
        <v>1603</v>
      </c>
      <c r="K238" t="s">
        <v>1823</v>
      </c>
    </row>
    <row r="239" spans="1:11">
      <c r="A239" t="s">
        <v>1844</v>
      </c>
      <c r="B239">
        <v>202610</v>
      </c>
      <c r="C239" t="s">
        <v>611</v>
      </c>
      <c r="D239">
        <v>5080</v>
      </c>
      <c r="E239" t="s">
        <v>1614</v>
      </c>
      <c r="F239" t="s">
        <v>985</v>
      </c>
      <c r="G239">
        <v>131040</v>
      </c>
      <c r="H239" t="s">
        <v>1045</v>
      </c>
      <c r="I239" t="s">
        <v>1008</v>
      </c>
      <c r="J239" t="s">
        <v>1603</v>
      </c>
      <c r="K239" t="s">
        <v>1823</v>
      </c>
    </row>
    <row r="240" spans="1:11">
      <c r="A240" t="s">
        <v>1845</v>
      </c>
      <c r="B240">
        <v>202611</v>
      </c>
      <c r="C240" t="s">
        <v>611</v>
      </c>
      <c r="D240">
        <v>5080</v>
      </c>
      <c r="E240" t="s">
        <v>1614</v>
      </c>
      <c r="F240" t="s">
        <v>985</v>
      </c>
      <c r="G240">
        <v>131040</v>
      </c>
      <c r="H240" t="s">
        <v>1045</v>
      </c>
      <c r="I240" t="s">
        <v>1008</v>
      </c>
      <c r="J240" t="s">
        <v>1603</v>
      </c>
      <c r="K240" t="s">
        <v>1823</v>
      </c>
    </row>
    <row r="241" spans="1:11">
      <c r="A241" t="s">
        <v>1846</v>
      </c>
      <c r="B241">
        <v>202612</v>
      </c>
      <c r="C241" t="s">
        <v>611</v>
      </c>
      <c r="D241">
        <v>5080</v>
      </c>
      <c r="E241" t="s">
        <v>1614</v>
      </c>
      <c r="F241" t="s">
        <v>985</v>
      </c>
      <c r="G241">
        <v>131040</v>
      </c>
      <c r="H241" t="s">
        <v>1045</v>
      </c>
      <c r="I241" t="s">
        <v>1008</v>
      </c>
      <c r="J241" t="s">
        <v>1603</v>
      </c>
      <c r="K241" t="s">
        <v>1823</v>
      </c>
    </row>
    <row r="242" spans="1:11">
      <c r="A242" t="s">
        <v>1847</v>
      </c>
      <c r="B242">
        <v>202601</v>
      </c>
      <c r="C242" t="s">
        <v>611</v>
      </c>
      <c r="D242">
        <v>5400</v>
      </c>
      <c r="E242" t="s">
        <v>1602</v>
      </c>
      <c r="F242" t="s">
        <v>982</v>
      </c>
      <c r="G242">
        <v>187200</v>
      </c>
      <c r="H242" t="s">
        <v>1045</v>
      </c>
      <c r="I242" t="s">
        <v>1008</v>
      </c>
      <c r="J242" t="s">
        <v>1603</v>
      </c>
      <c r="K242" t="s">
        <v>1823</v>
      </c>
    </row>
    <row r="243" spans="1:11">
      <c r="A243" t="s">
        <v>1848</v>
      </c>
      <c r="B243">
        <v>202602</v>
      </c>
      <c r="C243" t="s">
        <v>611</v>
      </c>
      <c r="D243">
        <v>5400</v>
      </c>
      <c r="E243" t="s">
        <v>1602</v>
      </c>
      <c r="F243" t="s">
        <v>982</v>
      </c>
      <c r="G243">
        <v>187200</v>
      </c>
      <c r="H243" t="s">
        <v>1045</v>
      </c>
      <c r="I243" t="s">
        <v>1008</v>
      </c>
      <c r="J243" t="s">
        <v>1603</v>
      </c>
      <c r="K243" t="s">
        <v>1823</v>
      </c>
    </row>
    <row r="244" spans="1:11">
      <c r="A244" t="s">
        <v>1849</v>
      </c>
      <c r="B244">
        <v>202603</v>
      </c>
      <c r="C244" t="s">
        <v>611</v>
      </c>
      <c r="D244">
        <v>5400</v>
      </c>
      <c r="E244" t="s">
        <v>1602</v>
      </c>
      <c r="F244" t="s">
        <v>982</v>
      </c>
      <c r="G244">
        <v>187200</v>
      </c>
      <c r="H244" t="s">
        <v>1045</v>
      </c>
      <c r="I244" t="s">
        <v>1008</v>
      </c>
      <c r="J244" t="s">
        <v>1603</v>
      </c>
      <c r="K244" t="s">
        <v>1823</v>
      </c>
    </row>
    <row r="245" spans="1:11">
      <c r="A245" t="s">
        <v>1850</v>
      </c>
      <c r="B245">
        <v>202604</v>
      </c>
      <c r="C245" t="s">
        <v>611</v>
      </c>
      <c r="D245">
        <v>5400</v>
      </c>
      <c r="E245" t="s">
        <v>1602</v>
      </c>
      <c r="F245" t="s">
        <v>982</v>
      </c>
      <c r="G245">
        <v>187200</v>
      </c>
      <c r="H245" t="s">
        <v>1045</v>
      </c>
      <c r="I245" t="s">
        <v>1008</v>
      </c>
      <c r="J245" t="s">
        <v>1603</v>
      </c>
      <c r="K245" t="s">
        <v>1823</v>
      </c>
    </row>
    <row r="246" spans="1:11">
      <c r="A246" t="s">
        <v>1851</v>
      </c>
      <c r="B246">
        <v>202605</v>
      </c>
      <c r="C246" t="s">
        <v>611</v>
      </c>
      <c r="D246">
        <v>5400</v>
      </c>
      <c r="E246" t="s">
        <v>1602</v>
      </c>
      <c r="F246" t="s">
        <v>982</v>
      </c>
      <c r="G246">
        <v>187200</v>
      </c>
      <c r="H246" t="s">
        <v>1045</v>
      </c>
      <c r="I246" t="s">
        <v>1008</v>
      </c>
      <c r="J246" t="s">
        <v>1603</v>
      </c>
      <c r="K246" t="s">
        <v>1823</v>
      </c>
    </row>
    <row r="247" spans="1:11">
      <c r="A247" t="s">
        <v>1852</v>
      </c>
      <c r="B247">
        <v>202606</v>
      </c>
      <c r="C247" t="s">
        <v>611</v>
      </c>
      <c r="D247">
        <v>5400</v>
      </c>
      <c r="E247" t="s">
        <v>1602</v>
      </c>
      <c r="F247" t="s">
        <v>982</v>
      </c>
      <c r="G247">
        <v>187200</v>
      </c>
      <c r="H247" t="s">
        <v>1045</v>
      </c>
      <c r="I247" t="s">
        <v>1008</v>
      </c>
      <c r="J247" t="s">
        <v>1603</v>
      </c>
      <c r="K247" t="s">
        <v>1823</v>
      </c>
    </row>
    <row r="248" spans="1:11">
      <c r="A248" t="s">
        <v>1853</v>
      </c>
      <c r="B248">
        <v>202607</v>
      </c>
      <c r="C248" t="s">
        <v>611</v>
      </c>
      <c r="D248">
        <v>5400</v>
      </c>
      <c r="E248" t="s">
        <v>1602</v>
      </c>
      <c r="F248" t="s">
        <v>982</v>
      </c>
      <c r="G248">
        <v>187200</v>
      </c>
      <c r="H248" t="s">
        <v>1045</v>
      </c>
      <c r="I248" t="s">
        <v>1008</v>
      </c>
      <c r="J248" t="s">
        <v>1603</v>
      </c>
      <c r="K248" t="s">
        <v>1823</v>
      </c>
    </row>
    <row r="249" spans="1:11">
      <c r="A249" t="s">
        <v>1854</v>
      </c>
      <c r="B249">
        <v>202608</v>
      </c>
      <c r="C249" t="s">
        <v>611</v>
      </c>
      <c r="D249">
        <v>5400</v>
      </c>
      <c r="E249" t="s">
        <v>1602</v>
      </c>
      <c r="F249" t="s">
        <v>982</v>
      </c>
      <c r="G249">
        <v>187200</v>
      </c>
      <c r="H249" t="s">
        <v>1045</v>
      </c>
      <c r="I249" t="s">
        <v>1008</v>
      </c>
      <c r="J249" t="s">
        <v>1603</v>
      </c>
      <c r="K249" t="s">
        <v>1823</v>
      </c>
    </row>
    <row r="250" spans="1:11">
      <c r="A250" t="s">
        <v>1855</v>
      </c>
      <c r="B250">
        <v>202609</v>
      </c>
      <c r="C250" t="s">
        <v>611</v>
      </c>
      <c r="D250">
        <v>5400</v>
      </c>
      <c r="E250" t="s">
        <v>1602</v>
      </c>
      <c r="F250" t="s">
        <v>982</v>
      </c>
      <c r="G250">
        <v>187200</v>
      </c>
      <c r="H250" t="s">
        <v>1045</v>
      </c>
      <c r="I250" t="s">
        <v>1008</v>
      </c>
      <c r="J250" t="s">
        <v>1603</v>
      </c>
      <c r="K250" t="s">
        <v>1823</v>
      </c>
    </row>
    <row r="251" spans="1:11">
      <c r="A251" t="s">
        <v>1856</v>
      </c>
      <c r="B251">
        <v>202610</v>
      </c>
      <c r="C251" t="s">
        <v>611</v>
      </c>
      <c r="D251">
        <v>5400</v>
      </c>
      <c r="E251" t="s">
        <v>1614</v>
      </c>
      <c r="F251" t="s">
        <v>985</v>
      </c>
      <c r="G251">
        <v>187200</v>
      </c>
      <c r="H251" t="s">
        <v>1045</v>
      </c>
      <c r="I251" t="s">
        <v>1008</v>
      </c>
      <c r="J251" t="s">
        <v>1603</v>
      </c>
      <c r="K251" t="s">
        <v>1823</v>
      </c>
    </row>
    <row r="252" spans="1:11">
      <c r="A252" t="s">
        <v>1857</v>
      </c>
      <c r="B252">
        <v>202611</v>
      </c>
      <c r="C252" t="s">
        <v>611</v>
      </c>
      <c r="D252">
        <v>5400</v>
      </c>
      <c r="E252" t="s">
        <v>1614</v>
      </c>
      <c r="F252" t="s">
        <v>985</v>
      </c>
      <c r="G252">
        <v>187200</v>
      </c>
      <c r="H252" t="s">
        <v>1045</v>
      </c>
      <c r="I252" t="s">
        <v>1008</v>
      </c>
      <c r="J252" t="s">
        <v>1603</v>
      </c>
      <c r="K252" t="s">
        <v>1823</v>
      </c>
    </row>
    <row r="253" spans="1:11">
      <c r="A253" t="s">
        <v>1858</v>
      </c>
      <c r="B253">
        <v>202612</v>
      </c>
      <c r="C253" t="s">
        <v>611</v>
      </c>
      <c r="D253">
        <v>5400</v>
      </c>
      <c r="E253" t="s">
        <v>1614</v>
      </c>
      <c r="F253" t="s">
        <v>985</v>
      </c>
      <c r="G253">
        <v>187200</v>
      </c>
      <c r="H253" t="s">
        <v>1045</v>
      </c>
      <c r="I253" t="s">
        <v>1008</v>
      </c>
      <c r="J253" t="s">
        <v>1603</v>
      </c>
      <c r="K253" t="s">
        <v>1823</v>
      </c>
    </row>
    <row r="254" spans="1:11">
      <c r="A254" t="s">
        <v>1859</v>
      </c>
      <c r="B254">
        <v>202601</v>
      </c>
      <c r="C254" t="s">
        <v>611</v>
      </c>
      <c r="D254">
        <v>5420</v>
      </c>
      <c r="E254" t="s">
        <v>1602</v>
      </c>
      <c r="F254" t="s">
        <v>982</v>
      </c>
      <c r="G254">
        <v>146250</v>
      </c>
      <c r="H254" t="s">
        <v>1045</v>
      </c>
      <c r="I254" t="s">
        <v>1008</v>
      </c>
      <c r="J254" t="s">
        <v>1603</v>
      </c>
      <c r="K254" t="s">
        <v>1604</v>
      </c>
    </row>
    <row r="255" spans="1:11">
      <c r="A255" t="s">
        <v>1860</v>
      </c>
      <c r="B255">
        <v>202602</v>
      </c>
      <c r="C255" t="s">
        <v>611</v>
      </c>
      <c r="D255">
        <v>5420</v>
      </c>
      <c r="E255" t="s">
        <v>1602</v>
      </c>
      <c r="F255" t="s">
        <v>982</v>
      </c>
      <c r="G255">
        <v>146250</v>
      </c>
      <c r="H255" t="s">
        <v>1045</v>
      </c>
      <c r="I255" t="s">
        <v>1008</v>
      </c>
      <c r="J255" t="s">
        <v>1603</v>
      </c>
      <c r="K255" t="s">
        <v>1604</v>
      </c>
    </row>
    <row r="256" spans="1:11">
      <c r="A256" t="s">
        <v>1861</v>
      </c>
      <c r="B256">
        <v>202603</v>
      </c>
      <c r="C256" t="s">
        <v>611</v>
      </c>
      <c r="D256">
        <v>5420</v>
      </c>
      <c r="E256" t="s">
        <v>1602</v>
      </c>
      <c r="F256" t="s">
        <v>982</v>
      </c>
      <c r="G256">
        <v>146250</v>
      </c>
      <c r="H256" t="s">
        <v>1045</v>
      </c>
      <c r="I256" t="s">
        <v>1008</v>
      </c>
      <c r="J256" t="s">
        <v>1603</v>
      </c>
      <c r="K256" t="s">
        <v>1604</v>
      </c>
    </row>
    <row r="257" spans="1:11">
      <c r="A257" t="s">
        <v>1862</v>
      </c>
      <c r="B257">
        <v>202604</v>
      </c>
      <c r="C257" t="s">
        <v>611</v>
      </c>
      <c r="D257">
        <v>5420</v>
      </c>
      <c r="E257" t="s">
        <v>1602</v>
      </c>
      <c r="F257" t="s">
        <v>982</v>
      </c>
      <c r="G257">
        <v>146250</v>
      </c>
      <c r="H257" t="s">
        <v>1045</v>
      </c>
      <c r="I257" t="s">
        <v>1008</v>
      </c>
      <c r="J257" t="s">
        <v>1603</v>
      </c>
      <c r="K257" t="s">
        <v>1604</v>
      </c>
    </row>
    <row r="258" spans="1:11">
      <c r="A258" t="s">
        <v>1863</v>
      </c>
      <c r="B258">
        <v>202605</v>
      </c>
      <c r="C258" t="s">
        <v>611</v>
      </c>
      <c r="D258">
        <v>5420</v>
      </c>
      <c r="E258" t="s">
        <v>1602</v>
      </c>
      <c r="F258" t="s">
        <v>982</v>
      </c>
      <c r="G258">
        <v>146250</v>
      </c>
      <c r="H258" t="s">
        <v>1045</v>
      </c>
      <c r="I258" t="s">
        <v>1008</v>
      </c>
      <c r="J258" t="s">
        <v>1603</v>
      </c>
      <c r="K258" t="s">
        <v>1604</v>
      </c>
    </row>
    <row r="259" spans="1:11">
      <c r="A259" t="s">
        <v>1864</v>
      </c>
      <c r="B259">
        <v>202606</v>
      </c>
      <c r="C259" t="s">
        <v>611</v>
      </c>
      <c r="D259">
        <v>5420</v>
      </c>
      <c r="E259" t="s">
        <v>1602</v>
      </c>
      <c r="F259" t="s">
        <v>982</v>
      </c>
      <c r="G259">
        <v>146250</v>
      </c>
      <c r="H259" t="s">
        <v>1045</v>
      </c>
      <c r="I259" t="s">
        <v>1008</v>
      </c>
      <c r="J259" t="s">
        <v>1603</v>
      </c>
      <c r="K259" t="s">
        <v>1604</v>
      </c>
    </row>
    <row r="260" spans="1:11">
      <c r="A260" t="s">
        <v>1865</v>
      </c>
      <c r="B260">
        <v>202607</v>
      </c>
      <c r="C260" t="s">
        <v>611</v>
      </c>
      <c r="D260">
        <v>5420</v>
      </c>
      <c r="E260" t="s">
        <v>1602</v>
      </c>
      <c r="F260" t="s">
        <v>982</v>
      </c>
      <c r="G260">
        <v>146250</v>
      </c>
      <c r="H260" t="s">
        <v>1045</v>
      </c>
      <c r="I260" t="s">
        <v>1008</v>
      </c>
      <c r="J260" t="s">
        <v>1603</v>
      </c>
      <c r="K260" t="s">
        <v>1604</v>
      </c>
    </row>
    <row r="261" spans="1:11">
      <c r="A261" t="s">
        <v>1866</v>
      </c>
      <c r="B261">
        <v>202608</v>
      </c>
      <c r="C261" t="s">
        <v>611</v>
      </c>
      <c r="D261">
        <v>5420</v>
      </c>
      <c r="E261" t="s">
        <v>1602</v>
      </c>
      <c r="F261" t="s">
        <v>982</v>
      </c>
      <c r="G261">
        <v>146250</v>
      </c>
      <c r="H261" t="s">
        <v>1045</v>
      </c>
      <c r="I261" t="s">
        <v>1008</v>
      </c>
      <c r="J261" t="s">
        <v>1603</v>
      </c>
      <c r="K261" t="s">
        <v>1604</v>
      </c>
    </row>
    <row r="262" spans="1:11">
      <c r="A262" t="s">
        <v>1867</v>
      </c>
      <c r="B262">
        <v>202609</v>
      </c>
      <c r="C262" t="s">
        <v>611</v>
      </c>
      <c r="D262">
        <v>5420</v>
      </c>
      <c r="E262" t="s">
        <v>1602</v>
      </c>
      <c r="F262" t="s">
        <v>982</v>
      </c>
      <c r="G262">
        <v>146250</v>
      </c>
      <c r="H262" t="s">
        <v>1045</v>
      </c>
      <c r="I262" t="s">
        <v>1008</v>
      </c>
      <c r="J262" t="s">
        <v>1603</v>
      </c>
      <c r="K262" t="s">
        <v>1604</v>
      </c>
    </row>
    <row r="263" spans="1:11">
      <c r="A263" t="s">
        <v>1868</v>
      </c>
      <c r="B263">
        <v>202610</v>
      </c>
      <c r="C263" t="s">
        <v>611</v>
      </c>
      <c r="D263">
        <v>5420</v>
      </c>
      <c r="E263" t="s">
        <v>1614</v>
      </c>
      <c r="F263" t="s">
        <v>985</v>
      </c>
      <c r="G263">
        <v>146250</v>
      </c>
      <c r="H263" t="s">
        <v>1045</v>
      </c>
      <c r="I263" t="s">
        <v>1008</v>
      </c>
      <c r="J263" t="s">
        <v>1603</v>
      </c>
      <c r="K263" t="s">
        <v>1604</v>
      </c>
    </row>
    <row r="264" spans="1:11">
      <c r="A264" t="s">
        <v>1869</v>
      </c>
      <c r="B264">
        <v>202611</v>
      </c>
      <c r="C264" t="s">
        <v>611</v>
      </c>
      <c r="D264">
        <v>5420</v>
      </c>
      <c r="E264" t="s">
        <v>1614</v>
      </c>
      <c r="F264" t="s">
        <v>985</v>
      </c>
      <c r="G264">
        <v>146250</v>
      </c>
      <c r="H264" t="s">
        <v>1045</v>
      </c>
      <c r="I264" t="s">
        <v>1008</v>
      </c>
      <c r="J264" t="s">
        <v>1603</v>
      </c>
      <c r="K264" t="s">
        <v>1604</v>
      </c>
    </row>
    <row r="265" spans="1:11">
      <c r="A265" t="s">
        <v>1870</v>
      </c>
      <c r="B265">
        <v>202612</v>
      </c>
      <c r="C265" t="s">
        <v>611</v>
      </c>
      <c r="D265">
        <v>5420</v>
      </c>
      <c r="E265" t="s">
        <v>1614</v>
      </c>
      <c r="F265" t="s">
        <v>985</v>
      </c>
      <c r="G265">
        <v>146250</v>
      </c>
      <c r="H265" t="s">
        <v>1045</v>
      </c>
      <c r="I265" t="s">
        <v>1008</v>
      </c>
      <c r="J265" t="s">
        <v>1603</v>
      </c>
      <c r="K265" t="s">
        <v>1604</v>
      </c>
    </row>
    <row r="266" spans="1:11">
      <c r="A266" t="s">
        <v>1871</v>
      </c>
      <c r="B266">
        <v>202601</v>
      </c>
      <c r="C266" t="s">
        <v>611</v>
      </c>
      <c r="D266">
        <v>5100</v>
      </c>
      <c r="E266" t="s">
        <v>1602</v>
      </c>
      <c r="F266" t="s">
        <v>982</v>
      </c>
      <c r="G266">
        <v>97500</v>
      </c>
      <c r="H266" t="s">
        <v>1045</v>
      </c>
      <c r="I266" t="s">
        <v>1008</v>
      </c>
      <c r="J266" t="s">
        <v>1603</v>
      </c>
      <c r="K266" t="s">
        <v>1604</v>
      </c>
    </row>
    <row r="267" spans="1:11">
      <c r="A267" t="s">
        <v>1872</v>
      </c>
      <c r="B267">
        <v>202602</v>
      </c>
      <c r="C267" t="s">
        <v>611</v>
      </c>
      <c r="D267">
        <v>5100</v>
      </c>
      <c r="E267" t="s">
        <v>1602</v>
      </c>
      <c r="F267" t="s">
        <v>982</v>
      </c>
      <c r="G267">
        <v>97500</v>
      </c>
      <c r="H267" t="s">
        <v>1045</v>
      </c>
      <c r="I267" t="s">
        <v>1008</v>
      </c>
      <c r="J267" t="s">
        <v>1603</v>
      </c>
      <c r="K267" t="s">
        <v>1604</v>
      </c>
    </row>
    <row r="268" spans="1:11">
      <c r="A268" t="s">
        <v>1873</v>
      </c>
      <c r="B268">
        <v>202603</v>
      </c>
      <c r="C268" t="s">
        <v>611</v>
      </c>
      <c r="D268">
        <v>5100</v>
      </c>
      <c r="E268" t="s">
        <v>1602</v>
      </c>
      <c r="F268" t="s">
        <v>982</v>
      </c>
      <c r="G268">
        <v>97500</v>
      </c>
      <c r="H268" t="s">
        <v>1045</v>
      </c>
      <c r="I268" t="s">
        <v>1008</v>
      </c>
      <c r="J268" t="s">
        <v>1603</v>
      </c>
      <c r="K268" t="s">
        <v>1604</v>
      </c>
    </row>
    <row r="269" spans="1:11">
      <c r="A269" t="s">
        <v>1874</v>
      </c>
      <c r="B269">
        <v>202604</v>
      </c>
      <c r="C269" t="s">
        <v>611</v>
      </c>
      <c r="D269">
        <v>5100</v>
      </c>
      <c r="E269" t="s">
        <v>1602</v>
      </c>
      <c r="F269" t="s">
        <v>982</v>
      </c>
      <c r="G269">
        <v>97500</v>
      </c>
      <c r="H269" t="s">
        <v>1045</v>
      </c>
      <c r="I269" t="s">
        <v>1008</v>
      </c>
      <c r="J269" t="s">
        <v>1603</v>
      </c>
      <c r="K269" t="s">
        <v>1604</v>
      </c>
    </row>
    <row r="270" spans="1:11">
      <c r="A270" t="s">
        <v>1875</v>
      </c>
      <c r="B270">
        <v>202605</v>
      </c>
      <c r="C270" t="s">
        <v>611</v>
      </c>
      <c r="D270">
        <v>5100</v>
      </c>
      <c r="E270" t="s">
        <v>1602</v>
      </c>
      <c r="F270" t="s">
        <v>982</v>
      </c>
      <c r="G270">
        <v>97500</v>
      </c>
      <c r="H270" t="s">
        <v>1045</v>
      </c>
      <c r="I270" t="s">
        <v>1008</v>
      </c>
      <c r="J270" t="s">
        <v>1603</v>
      </c>
      <c r="K270" t="s">
        <v>1604</v>
      </c>
    </row>
    <row r="271" spans="1:11">
      <c r="A271" t="s">
        <v>1876</v>
      </c>
      <c r="B271">
        <v>202606</v>
      </c>
      <c r="C271" t="s">
        <v>611</v>
      </c>
      <c r="D271">
        <v>5100</v>
      </c>
      <c r="E271" t="s">
        <v>1602</v>
      </c>
      <c r="F271" t="s">
        <v>982</v>
      </c>
      <c r="G271">
        <v>97500</v>
      </c>
      <c r="H271" t="s">
        <v>1045</v>
      </c>
      <c r="I271" t="s">
        <v>1008</v>
      </c>
      <c r="J271" t="s">
        <v>1603</v>
      </c>
      <c r="K271" t="s">
        <v>1604</v>
      </c>
    </row>
    <row r="272" spans="1:11">
      <c r="A272" t="s">
        <v>1877</v>
      </c>
      <c r="B272">
        <v>202607</v>
      </c>
      <c r="C272" t="s">
        <v>611</v>
      </c>
      <c r="D272">
        <v>5100</v>
      </c>
      <c r="E272" t="s">
        <v>1602</v>
      </c>
      <c r="F272" t="s">
        <v>982</v>
      </c>
      <c r="G272">
        <v>97500</v>
      </c>
      <c r="H272" t="s">
        <v>1045</v>
      </c>
      <c r="I272" t="s">
        <v>1008</v>
      </c>
      <c r="J272" t="s">
        <v>1603</v>
      </c>
      <c r="K272" t="s">
        <v>1604</v>
      </c>
    </row>
    <row r="273" spans="1:11">
      <c r="A273" t="s">
        <v>1878</v>
      </c>
      <c r="B273">
        <v>202608</v>
      </c>
      <c r="C273" t="s">
        <v>611</v>
      </c>
      <c r="D273">
        <v>5100</v>
      </c>
      <c r="E273" t="s">
        <v>1602</v>
      </c>
      <c r="F273" t="s">
        <v>982</v>
      </c>
      <c r="G273">
        <v>97500</v>
      </c>
      <c r="H273" t="s">
        <v>1045</v>
      </c>
      <c r="I273" t="s">
        <v>1008</v>
      </c>
      <c r="J273" t="s">
        <v>1603</v>
      </c>
      <c r="K273" t="s">
        <v>1604</v>
      </c>
    </row>
    <row r="274" spans="1:11">
      <c r="A274" t="s">
        <v>1879</v>
      </c>
      <c r="B274">
        <v>202609</v>
      </c>
      <c r="C274" t="s">
        <v>611</v>
      </c>
      <c r="D274">
        <v>5100</v>
      </c>
      <c r="E274" t="s">
        <v>1602</v>
      </c>
      <c r="F274" t="s">
        <v>982</v>
      </c>
      <c r="G274">
        <v>97500</v>
      </c>
      <c r="H274" t="s">
        <v>1045</v>
      </c>
      <c r="I274" t="s">
        <v>1008</v>
      </c>
      <c r="J274" t="s">
        <v>1603</v>
      </c>
      <c r="K274" t="s">
        <v>1604</v>
      </c>
    </row>
    <row r="275" spans="1:11">
      <c r="A275" t="s">
        <v>1880</v>
      </c>
      <c r="B275">
        <v>202610</v>
      </c>
      <c r="C275" t="s">
        <v>611</v>
      </c>
      <c r="D275">
        <v>5100</v>
      </c>
      <c r="E275" t="s">
        <v>1614</v>
      </c>
      <c r="F275" t="s">
        <v>985</v>
      </c>
      <c r="G275">
        <v>97500</v>
      </c>
      <c r="H275" t="s">
        <v>1045</v>
      </c>
      <c r="I275" t="s">
        <v>1008</v>
      </c>
      <c r="J275" t="s">
        <v>1603</v>
      </c>
      <c r="K275" t="s">
        <v>1604</v>
      </c>
    </row>
    <row r="276" spans="1:11">
      <c r="A276" t="s">
        <v>1881</v>
      </c>
      <c r="B276">
        <v>202611</v>
      </c>
      <c r="C276" t="s">
        <v>611</v>
      </c>
      <c r="D276">
        <v>5100</v>
      </c>
      <c r="E276" t="s">
        <v>1614</v>
      </c>
      <c r="F276" t="s">
        <v>985</v>
      </c>
      <c r="G276">
        <v>97500</v>
      </c>
      <c r="H276" t="s">
        <v>1045</v>
      </c>
      <c r="I276" t="s">
        <v>1008</v>
      </c>
      <c r="J276" t="s">
        <v>1603</v>
      </c>
      <c r="K276" t="s">
        <v>1604</v>
      </c>
    </row>
    <row r="277" spans="1:11">
      <c r="A277" t="s">
        <v>1882</v>
      </c>
      <c r="B277">
        <v>202612</v>
      </c>
      <c r="C277" t="s">
        <v>611</v>
      </c>
      <c r="D277">
        <v>5100</v>
      </c>
      <c r="E277" t="s">
        <v>1614</v>
      </c>
      <c r="F277" t="s">
        <v>985</v>
      </c>
      <c r="G277">
        <v>97500</v>
      </c>
      <c r="H277" t="s">
        <v>1045</v>
      </c>
      <c r="I277" t="s">
        <v>1008</v>
      </c>
      <c r="J277" t="s">
        <v>1603</v>
      </c>
      <c r="K277" t="s">
        <v>1604</v>
      </c>
    </row>
    <row r="278" spans="1:11">
      <c r="A278" t="s">
        <v>1883</v>
      </c>
      <c r="B278">
        <v>202601</v>
      </c>
      <c r="C278" t="s">
        <v>611</v>
      </c>
      <c r="D278">
        <v>6300</v>
      </c>
      <c r="E278" t="s">
        <v>1602</v>
      </c>
      <c r="F278" t="s">
        <v>982</v>
      </c>
      <c r="G278">
        <v>195000</v>
      </c>
      <c r="H278" t="s">
        <v>1045</v>
      </c>
      <c r="I278" t="s">
        <v>1008</v>
      </c>
      <c r="J278" t="s">
        <v>1603</v>
      </c>
      <c r="K278" t="s">
        <v>1604</v>
      </c>
    </row>
    <row r="279" spans="1:11">
      <c r="A279" t="s">
        <v>1884</v>
      </c>
      <c r="B279">
        <v>202602</v>
      </c>
      <c r="C279" t="s">
        <v>611</v>
      </c>
      <c r="D279">
        <v>6300</v>
      </c>
      <c r="E279" t="s">
        <v>1602</v>
      </c>
      <c r="F279" t="s">
        <v>982</v>
      </c>
      <c r="G279">
        <v>195000</v>
      </c>
      <c r="H279" t="s">
        <v>1045</v>
      </c>
      <c r="I279" t="s">
        <v>1008</v>
      </c>
      <c r="J279" t="s">
        <v>1603</v>
      </c>
      <c r="K279" t="s">
        <v>1604</v>
      </c>
    </row>
    <row r="280" spans="1:11">
      <c r="A280" t="s">
        <v>1885</v>
      </c>
      <c r="B280">
        <v>202603</v>
      </c>
      <c r="C280" t="s">
        <v>611</v>
      </c>
      <c r="D280">
        <v>6300</v>
      </c>
      <c r="E280" t="s">
        <v>1602</v>
      </c>
      <c r="F280" t="s">
        <v>982</v>
      </c>
      <c r="G280">
        <v>195000</v>
      </c>
      <c r="H280" t="s">
        <v>1045</v>
      </c>
      <c r="I280" t="s">
        <v>1008</v>
      </c>
      <c r="J280" t="s">
        <v>1603</v>
      </c>
      <c r="K280" t="s">
        <v>1604</v>
      </c>
    </row>
    <row r="281" spans="1:11">
      <c r="A281" t="s">
        <v>1886</v>
      </c>
      <c r="B281">
        <v>202604</v>
      </c>
      <c r="C281" t="s">
        <v>611</v>
      </c>
      <c r="D281">
        <v>6300</v>
      </c>
      <c r="E281" t="s">
        <v>1602</v>
      </c>
      <c r="F281" t="s">
        <v>982</v>
      </c>
      <c r="G281">
        <v>195000</v>
      </c>
      <c r="H281" t="s">
        <v>1045</v>
      </c>
      <c r="I281" t="s">
        <v>1008</v>
      </c>
      <c r="J281" t="s">
        <v>1603</v>
      </c>
      <c r="K281" t="s">
        <v>1604</v>
      </c>
    </row>
    <row r="282" spans="1:11">
      <c r="A282" t="s">
        <v>1887</v>
      </c>
      <c r="B282">
        <v>202605</v>
      </c>
      <c r="C282" t="s">
        <v>611</v>
      </c>
      <c r="D282">
        <v>6300</v>
      </c>
      <c r="E282" t="s">
        <v>1602</v>
      </c>
      <c r="F282" t="s">
        <v>982</v>
      </c>
      <c r="G282">
        <v>195000</v>
      </c>
      <c r="H282" t="s">
        <v>1045</v>
      </c>
      <c r="I282" t="s">
        <v>1008</v>
      </c>
      <c r="J282" t="s">
        <v>1603</v>
      </c>
      <c r="K282" t="s">
        <v>1604</v>
      </c>
    </row>
    <row r="283" spans="1:11">
      <c r="A283" t="s">
        <v>1888</v>
      </c>
      <c r="B283">
        <v>202606</v>
      </c>
      <c r="C283" t="s">
        <v>611</v>
      </c>
      <c r="D283">
        <v>6300</v>
      </c>
      <c r="E283" t="s">
        <v>1602</v>
      </c>
      <c r="F283" t="s">
        <v>982</v>
      </c>
      <c r="G283">
        <v>195000</v>
      </c>
      <c r="H283" t="s">
        <v>1045</v>
      </c>
      <c r="I283" t="s">
        <v>1008</v>
      </c>
      <c r="J283" t="s">
        <v>1603</v>
      </c>
      <c r="K283" t="s">
        <v>1604</v>
      </c>
    </row>
    <row r="284" spans="1:11">
      <c r="A284" t="s">
        <v>1889</v>
      </c>
      <c r="B284">
        <v>202607</v>
      </c>
      <c r="C284" t="s">
        <v>611</v>
      </c>
      <c r="D284">
        <v>6300</v>
      </c>
      <c r="E284" t="s">
        <v>1602</v>
      </c>
      <c r="F284" t="s">
        <v>982</v>
      </c>
      <c r="G284">
        <v>195000</v>
      </c>
      <c r="H284" t="s">
        <v>1045</v>
      </c>
      <c r="I284" t="s">
        <v>1008</v>
      </c>
      <c r="J284" t="s">
        <v>1603</v>
      </c>
      <c r="K284" t="s">
        <v>1604</v>
      </c>
    </row>
    <row r="285" spans="1:11">
      <c r="A285" t="s">
        <v>1890</v>
      </c>
      <c r="B285">
        <v>202608</v>
      </c>
      <c r="C285" t="s">
        <v>611</v>
      </c>
      <c r="D285">
        <v>6300</v>
      </c>
      <c r="E285" t="s">
        <v>1602</v>
      </c>
      <c r="F285" t="s">
        <v>982</v>
      </c>
      <c r="G285">
        <v>195000</v>
      </c>
      <c r="H285" t="s">
        <v>1045</v>
      </c>
      <c r="I285" t="s">
        <v>1008</v>
      </c>
      <c r="J285" t="s">
        <v>1603</v>
      </c>
      <c r="K285" t="s">
        <v>1604</v>
      </c>
    </row>
    <row r="286" spans="1:11">
      <c r="A286" t="s">
        <v>1891</v>
      </c>
      <c r="B286">
        <v>202609</v>
      </c>
      <c r="C286" t="s">
        <v>611</v>
      </c>
      <c r="D286">
        <v>6300</v>
      </c>
      <c r="E286" t="s">
        <v>1602</v>
      </c>
      <c r="F286" t="s">
        <v>982</v>
      </c>
      <c r="G286">
        <v>195000</v>
      </c>
      <c r="H286" t="s">
        <v>1045</v>
      </c>
      <c r="I286" t="s">
        <v>1008</v>
      </c>
      <c r="J286" t="s">
        <v>1603</v>
      </c>
      <c r="K286" t="s">
        <v>1604</v>
      </c>
    </row>
    <row r="287" spans="1:11">
      <c r="A287" t="s">
        <v>1892</v>
      </c>
      <c r="B287">
        <v>202610</v>
      </c>
      <c r="C287" t="s">
        <v>611</v>
      </c>
      <c r="D287">
        <v>6300</v>
      </c>
      <c r="E287" t="s">
        <v>1614</v>
      </c>
      <c r="F287" t="s">
        <v>985</v>
      </c>
      <c r="G287">
        <v>195000</v>
      </c>
      <c r="H287" t="s">
        <v>1045</v>
      </c>
      <c r="I287" t="s">
        <v>1008</v>
      </c>
      <c r="J287" t="s">
        <v>1603</v>
      </c>
      <c r="K287" t="s">
        <v>1604</v>
      </c>
    </row>
    <row r="288" spans="1:11">
      <c r="A288" t="s">
        <v>1893</v>
      </c>
      <c r="B288">
        <v>202611</v>
      </c>
      <c r="C288" t="s">
        <v>611</v>
      </c>
      <c r="D288">
        <v>6300</v>
      </c>
      <c r="E288" t="s">
        <v>1614</v>
      </c>
      <c r="F288" t="s">
        <v>985</v>
      </c>
      <c r="G288">
        <v>195000</v>
      </c>
      <c r="H288" t="s">
        <v>1045</v>
      </c>
      <c r="I288" t="s">
        <v>1008</v>
      </c>
      <c r="J288" t="s">
        <v>1603</v>
      </c>
      <c r="K288" t="s">
        <v>1604</v>
      </c>
    </row>
    <row r="289" spans="1:11">
      <c r="A289" t="s">
        <v>1894</v>
      </c>
      <c r="B289">
        <v>202612</v>
      </c>
      <c r="C289" t="s">
        <v>611</v>
      </c>
      <c r="D289">
        <v>6300</v>
      </c>
      <c r="E289" t="s">
        <v>1614</v>
      </c>
      <c r="F289" t="s">
        <v>985</v>
      </c>
      <c r="G289">
        <v>195000</v>
      </c>
      <c r="H289" t="s">
        <v>1045</v>
      </c>
      <c r="I289" t="s">
        <v>1008</v>
      </c>
      <c r="J289" t="s">
        <v>1603</v>
      </c>
      <c r="K289" t="s">
        <v>1604</v>
      </c>
    </row>
    <row r="290" spans="1:11">
      <c r="A290" t="s">
        <v>1895</v>
      </c>
      <c r="B290">
        <v>202601</v>
      </c>
      <c r="C290" t="s">
        <v>611</v>
      </c>
      <c r="D290">
        <v>6550</v>
      </c>
      <c r="E290" t="s">
        <v>1602</v>
      </c>
      <c r="F290" t="s">
        <v>982</v>
      </c>
      <c r="G290">
        <v>73125</v>
      </c>
      <c r="H290" t="s">
        <v>1045</v>
      </c>
      <c r="I290" t="s">
        <v>1008</v>
      </c>
      <c r="J290" t="s">
        <v>1603</v>
      </c>
      <c r="K290" t="s">
        <v>1604</v>
      </c>
    </row>
    <row r="291" spans="1:11">
      <c r="A291" t="s">
        <v>1896</v>
      </c>
      <c r="B291">
        <v>202602</v>
      </c>
      <c r="C291" t="s">
        <v>611</v>
      </c>
      <c r="D291">
        <v>6550</v>
      </c>
      <c r="E291" t="s">
        <v>1602</v>
      </c>
      <c r="F291" t="s">
        <v>982</v>
      </c>
      <c r="G291">
        <v>73125</v>
      </c>
      <c r="H291" t="s">
        <v>1045</v>
      </c>
      <c r="I291" t="s">
        <v>1008</v>
      </c>
      <c r="J291" t="s">
        <v>1603</v>
      </c>
      <c r="K291" t="s">
        <v>1604</v>
      </c>
    </row>
    <row r="292" spans="1:11">
      <c r="A292" t="s">
        <v>1897</v>
      </c>
      <c r="B292">
        <v>202603</v>
      </c>
      <c r="C292" t="s">
        <v>611</v>
      </c>
      <c r="D292">
        <v>6550</v>
      </c>
      <c r="E292" t="s">
        <v>1602</v>
      </c>
      <c r="F292" t="s">
        <v>982</v>
      </c>
      <c r="G292">
        <v>73125</v>
      </c>
      <c r="H292" t="s">
        <v>1045</v>
      </c>
      <c r="I292" t="s">
        <v>1008</v>
      </c>
      <c r="J292" t="s">
        <v>1603</v>
      </c>
      <c r="K292" t="s">
        <v>1604</v>
      </c>
    </row>
    <row r="293" spans="1:11">
      <c r="A293" t="s">
        <v>1898</v>
      </c>
      <c r="B293">
        <v>202604</v>
      </c>
      <c r="C293" t="s">
        <v>611</v>
      </c>
      <c r="D293">
        <v>6550</v>
      </c>
      <c r="E293" t="s">
        <v>1602</v>
      </c>
      <c r="F293" t="s">
        <v>982</v>
      </c>
      <c r="G293">
        <v>73125</v>
      </c>
      <c r="H293" t="s">
        <v>1045</v>
      </c>
      <c r="I293" t="s">
        <v>1008</v>
      </c>
      <c r="J293" t="s">
        <v>1603</v>
      </c>
      <c r="K293" t="s">
        <v>1604</v>
      </c>
    </row>
    <row r="294" spans="1:11">
      <c r="A294" t="s">
        <v>1899</v>
      </c>
      <c r="B294">
        <v>202605</v>
      </c>
      <c r="C294" t="s">
        <v>611</v>
      </c>
      <c r="D294">
        <v>6550</v>
      </c>
      <c r="E294" t="s">
        <v>1602</v>
      </c>
      <c r="F294" t="s">
        <v>982</v>
      </c>
      <c r="G294">
        <v>73125</v>
      </c>
      <c r="H294" t="s">
        <v>1045</v>
      </c>
      <c r="I294" t="s">
        <v>1008</v>
      </c>
      <c r="J294" t="s">
        <v>1603</v>
      </c>
      <c r="K294" t="s">
        <v>1604</v>
      </c>
    </row>
    <row r="295" spans="1:11">
      <c r="A295" t="s">
        <v>1900</v>
      </c>
      <c r="B295">
        <v>202606</v>
      </c>
      <c r="C295" t="s">
        <v>611</v>
      </c>
      <c r="D295">
        <v>6550</v>
      </c>
      <c r="E295" t="s">
        <v>1602</v>
      </c>
      <c r="F295" t="s">
        <v>982</v>
      </c>
      <c r="G295">
        <v>73125</v>
      </c>
      <c r="H295" t="s">
        <v>1045</v>
      </c>
      <c r="I295" t="s">
        <v>1008</v>
      </c>
      <c r="J295" t="s">
        <v>1603</v>
      </c>
      <c r="K295" t="s">
        <v>1604</v>
      </c>
    </row>
    <row r="296" spans="1:11">
      <c r="A296" t="s">
        <v>1901</v>
      </c>
      <c r="B296">
        <v>202607</v>
      </c>
      <c r="C296" t="s">
        <v>611</v>
      </c>
      <c r="D296">
        <v>6550</v>
      </c>
      <c r="E296" t="s">
        <v>1602</v>
      </c>
      <c r="F296" t="s">
        <v>982</v>
      </c>
      <c r="G296">
        <v>73125</v>
      </c>
      <c r="H296" t="s">
        <v>1045</v>
      </c>
      <c r="I296" t="s">
        <v>1008</v>
      </c>
      <c r="J296" t="s">
        <v>1603</v>
      </c>
      <c r="K296" t="s">
        <v>1604</v>
      </c>
    </row>
    <row r="297" spans="1:11">
      <c r="A297" t="s">
        <v>1902</v>
      </c>
      <c r="B297">
        <v>202608</v>
      </c>
      <c r="C297" t="s">
        <v>611</v>
      </c>
      <c r="D297">
        <v>6550</v>
      </c>
      <c r="E297" t="s">
        <v>1602</v>
      </c>
      <c r="F297" t="s">
        <v>982</v>
      </c>
      <c r="G297">
        <v>73125</v>
      </c>
      <c r="H297" t="s">
        <v>1045</v>
      </c>
      <c r="I297" t="s">
        <v>1008</v>
      </c>
      <c r="J297" t="s">
        <v>1603</v>
      </c>
      <c r="K297" t="s">
        <v>1604</v>
      </c>
    </row>
    <row r="298" spans="1:11">
      <c r="A298" t="s">
        <v>1903</v>
      </c>
      <c r="B298">
        <v>202609</v>
      </c>
      <c r="C298" t="s">
        <v>611</v>
      </c>
      <c r="D298">
        <v>6550</v>
      </c>
      <c r="E298" t="s">
        <v>1602</v>
      </c>
      <c r="F298" t="s">
        <v>982</v>
      </c>
      <c r="G298">
        <v>73125</v>
      </c>
      <c r="H298" t="s">
        <v>1045</v>
      </c>
      <c r="I298" t="s">
        <v>1008</v>
      </c>
      <c r="J298" t="s">
        <v>1603</v>
      </c>
      <c r="K298" t="s">
        <v>1604</v>
      </c>
    </row>
    <row r="299" spans="1:11">
      <c r="A299" t="s">
        <v>1904</v>
      </c>
      <c r="B299">
        <v>202610</v>
      </c>
      <c r="C299" t="s">
        <v>611</v>
      </c>
      <c r="D299">
        <v>6550</v>
      </c>
      <c r="E299" t="s">
        <v>1614</v>
      </c>
      <c r="F299" t="s">
        <v>985</v>
      </c>
      <c r="G299">
        <v>73125</v>
      </c>
      <c r="H299" t="s">
        <v>1045</v>
      </c>
      <c r="I299" t="s">
        <v>1008</v>
      </c>
      <c r="J299" t="s">
        <v>1603</v>
      </c>
      <c r="K299" t="s">
        <v>1604</v>
      </c>
    </row>
    <row r="300" spans="1:11">
      <c r="A300" t="s">
        <v>1905</v>
      </c>
      <c r="B300">
        <v>202611</v>
      </c>
      <c r="C300" t="s">
        <v>611</v>
      </c>
      <c r="D300">
        <v>6550</v>
      </c>
      <c r="E300" t="s">
        <v>1614</v>
      </c>
      <c r="F300" t="s">
        <v>985</v>
      </c>
      <c r="G300">
        <v>73125</v>
      </c>
      <c r="H300" t="s">
        <v>1045</v>
      </c>
      <c r="I300" t="s">
        <v>1008</v>
      </c>
      <c r="J300" t="s">
        <v>1603</v>
      </c>
      <c r="K300" t="s">
        <v>1604</v>
      </c>
    </row>
    <row r="301" spans="1:11">
      <c r="A301" t="s">
        <v>1906</v>
      </c>
      <c r="B301">
        <v>202612</v>
      </c>
      <c r="C301" t="s">
        <v>611</v>
      </c>
      <c r="D301">
        <v>6550</v>
      </c>
      <c r="E301" t="s">
        <v>1614</v>
      </c>
      <c r="F301" t="s">
        <v>985</v>
      </c>
      <c r="G301">
        <v>73125</v>
      </c>
      <c r="H301" t="s">
        <v>1045</v>
      </c>
      <c r="I301" t="s">
        <v>1008</v>
      </c>
      <c r="J301" t="s">
        <v>1603</v>
      </c>
      <c r="K301" t="s">
        <v>1604</v>
      </c>
    </row>
    <row r="302" spans="1:11">
      <c r="A302" t="s">
        <v>1907</v>
      </c>
      <c r="B302">
        <v>202601</v>
      </c>
      <c r="C302" t="s">
        <v>611</v>
      </c>
      <c r="D302">
        <v>6700</v>
      </c>
      <c r="E302" t="s">
        <v>1602</v>
      </c>
      <c r="F302" t="s">
        <v>982</v>
      </c>
      <c r="G302">
        <v>73125</v>
      </c>
      <c r="H302" t="s">
        <v>1045</v>
      </c>
      <c r="I302" t="s">
        <v>1008</v>
      </c>
      <c r="J302" t="s">
        <v>1603</v>
      </c>
      <c r="K302" t="s">
        <v>1604</v>
      </c>
    </row>
    <row r="303" spans="1:11">
      <c r="A303" t="s">
        <v>1908</v>
      </c>
      <c r="B303">
        <v>202602</v>
      </c>
      <c r="C303" t="s">
        <v>611</v>
      </c>
      <c r="D303">
        <v>6700</v>
      </c>
      <c r="E303" t="s">
        <v>1602</v>
      </c>
      <c r="F303" t="s">
        <v>982</v>
      </c>
      <c r="G303">
        <v>73125</v>
      </c>
      <c r="H303" t="s">
        <v>1045</v>
      </c>
      <c r="I303" t="s">
        <v>1008</v>
      </c>
      <c r="J303" t="s">
        <v>1603</v>
      </c>
      <c r="K303" t="s">
        <v>1604</v>
      </c>
    </row>
    <row r="304" spans="1:11">
      <c r="A304" t="s">
        <v>1909</v>
      </c>
      <c r="B304">
        <v>202603</v>
      </c>
      <c r="C304" t="s">
        <v>611</v>
      </c>
      <c r="D304">
        <v>6700</v>
      </c>
      <c r="E304" t="s">
        <v>1602</v>
      </c>
      <c r="F304" t="s">
        <v>982</v>
      </c>
      <c r="G304">
        <v>73125</v>
      </c>
      <c r="H304" t="s">
        <v>1045</v>
      </c>
      <c r="I304" t="s">
        <v>1008</v>
      </c>
      <c r="J304" t="s">
        <v>1603</v>
      </c>
      <c r="K304" t="s">
        <v>1604</v>
      </c>
    </row>
    <row r="305" spans="1:11">
      <c r="A305" t="s">
        <v>1910</v>
      </c>
      <c r="B305">
        <v>202604</v>
      </c>
      <c r="C305" t="s">
        <v>611</v>
      </c>
      <c r="D305">
        <v>6700</v>
      </c>
      <c r="E305" t="s">
        <v>1602</v>
      </c>
      <c r="F305" t="s">
        <v>982</v>
      </c>
      <c r="G305">
        <v>73125</v>
      </c>
      <c r="H305" t="s">
        <v>1045</v>
      </c>
      <c r="I305" t="s">
        <v>1008</v>
      </c>
      <c r="J305" t="s">
        <v>1603</v>
      </c>
      <c r="K305" t="s">
        <v>1604</v>
      </c>
    </row>
    <row r="306" spans="1:11">
      <c r="A306" t="s">
        <v>1911</v>
      </c>
      <c r="B306">
        <v>202605</v>
      </c>
      <c r="C306" t="s">
        <v>611</v>
      </c>
      <c r="D306">
        <v>6700</v>
      </c>
      <c r="E306" t="s">
        <v>1602</v>
      </c>
      <c r="F306" t="s">
        <v>982</v>
      </c>
      <c r="G306">
        <v>73125</v>
      </c>
      <c r="H306" t="s">
        <v>1045</v>
      </c>
      <c r="I306" t="s">
        <v>1008</v>
      </c>
      <c r="J306" t="s">
        <v>1603</v>
      </c>
      <c r="K306" t="s">
        <v>1604</v>
      </c>
    </row>
    <row r="307" spans="1:11">
      <c r="A307" t="s">
        <v>1912</v>
      </c>
      <c r="B307">
        <v>202606</v>
      </c>
      <c r="C307" t="s">
        <v>611</v>
      </c>
      <c r="D307">
        <v>6700</v>
      </c>
      <c r="E307" t="s">
        <v>1602</v>
      </c>
      <c r="F307" t="s">
        <v>982</v>
      </c>
      <c r="G307">
        <v>73125</v>
      </c>
      <c r="H307" t="s">
        <v>1045</v>
      </c>
      <c r="I307" t="s">
        <v>1008</v>
      </c>
      <c r="J307" t="s">
        <v>1603</v>
      </c>
      <c r="K307" t="s">
        <v>1604</v>
      </c>
    </row>
    <row r="308" spans="1:11">
      <c r="A308" t="s">
        <v>1913</v>
      </c>
      <c r="B308">
        <v>202607</v>
      </c>
      <c r="C308" t="s">
        <v>611</v>
      </c>
      <c r="D308">
        <v>6700</v>
      </c>
      <c r="E308" t="s">
        <v>1602</v>
      </c>
      <c r="F308" t="s">
        <v>982</v>
      </c>
      <c r="G308">
        <v>73125</v>
      </c>
      <c r="H308" t="s">
        <v>1045</v>
      </c>
      <c r="I308" t="s">
        <v>1008</v>
      </c>
      <c r="J308" t="s">
        <v>1603</v>
      </c>
      <c r="K308" t="s">
        <v>1604</v>
      </c>
    </row>
    <row r="309" spans="1:11">
      <c r="A309" t="s">
        <v>1914</v>
      </c>
      <c r="B309">
        <v>202608</v>
      </c>
      <c r="C309" t="s">
        <v>611</v>
      </c>
      <c r="D309">
        <v>6700</v>
      </c>
      <c r="E309" t="s">
        <v>1602</v>
      </c>
      <c r="F309" t="s">
        <v>982</v>
      </c>
      <c r="G309">
        <v>73125</v>
      </c>
      <c r="H309" t="s">
        <v>1045</v>
      </c>
      <c r="I309" t="s">
        <v>1008</v>
      </c>
      <c r="J309" t="s">
        <v>1603</v>
      </c>
      <c r="K309" t="s">
        <v>1604</v>
      </c>
    </row>
    <row r="310" spans="1:11">
      <c r="A310" t="s">
        <v>1915</v>
      </c>
      <c r="B310">
        <v>202609</v>
      </c>
      <c r="C310" t="s">
        <v>611</v>
      </c>
      <c r="D310">
        <v>6700</v>
      </c>
      <c r="E310" t="s">
        <v>1602</v>
      </c>
      <c r="F310" t="s">
        <v>982</v>
      </c>
      <c r="G310">
        <v>73125</v>
      </c>
      <c r="H310" t="s">
        <v>1045</v>
      </c>
      <c r="I310" t="s">
        <v>1008</v>
      </c>
      <c r="J310" t="s">
        <v>1603</v>
      </c>
      <c r="K310" t="s">
        <v>1604</v>
      </c>
    </row>
    <row r="311" spans="1:11">
      <c r="A311" t="s">
        <v>1916</v>
      </c>
      <c r="B311">
        <v>202610</v>
      </c>
      <c r="C311" t="s">
        <v>611</v>
      </c>
      <c r="D311">
        <v>6700</v>
      </c>
      <c r="E311" t="s">
        <v>1614</v>
      </c>
      <c r="F311" t="s">
        <v>985</v>
      </c>
      <c r="G311">
        <v>73125</v>
      </c>
      <c r="H311" t="s">
        <v>1045</v>
      </c>
      <c r="I311" t="s">
        <v>1008</v>
      </c>
      <c r="J311" t="s">
        <v>1603</v>
      </c>
      <c r="K311" t="s">
        <v>1604</v>
      </c>
    </row>
    <row r="312" spans="1:11">
      <c r="A312" t="s">
        <v>1917</v>
      </c>
      <c r="B312">
        <v>202611</v>
      </c>
      <c r="C312" t="s">
        <v>611</v>
      </c>
      <c r="D312">
        <v>6700</v>
      </c>
      <c r="E312" t="s">
        <v>1614</v>
      </c>
      <c r="F312" t="s">
        <v>985</v>
      </c>
      <c r="G312">
        <v>73125</v>
      </c>
      <c r="H312" t="s">
        <v>1045</v>
      </c>
      <c r="I312" t="s">
        <v>1008</v>
      </c>
      <c r="J312" t="s">
        <v>1603</v>
      </c>
      <c r="K312" t="s">
        <v>1604</v>
      </c>
    </row>
    <row r="313" spans="1:11">
      <c r="A313" t="s">
        <v>1918</v>
      </c>
      <c r="B313">
        <v>202612</v>
      </c>
      <c r="C313" t="s">
        <v>611</v>
      </c>
      <c r="D313">
        <v>6700</v>
      </c>
      <c r="E313" t="s">
        <v>1614</v>
      </c>
      <c r="F313" t="s">
        <v>985</v>
      </c>
      <c r="G313">
        <v>73125</v>
      </c>
      <c r="H313" t="s">
        <v>1045</v>
      </c>
      <c r="I313" t="s">
        <v>1008</v>
      </c>
      <c r="J313" t="s">
        <v>1603</v>
      </c>
      <c r="K313" t="s">
        <v>1604</v>
      </c>
    </row>
    <row r="314" spans="1:11">
      <c r="A314" t="s">
        <v>1919</v>
      </c>
      <c r="B314">
        <v>202601</v>
      </c>
      <c r="C314" t="s">
        <v>611</v>
      </c>
      <c r="D314">
        <v>7130</v>
      </c>
      <c r="E314" t="s">
        <v>1602</v>
      </c>
      <c r="F314" t="s">
        <v>982</v>
      </c>
      <c r="G314">
        <v>73125</v>
      </c>
      <c r="H314" t="s">
        <v>1045</v>
      </c>
      <c r="I314" t="s">
        <v>1008</v>
      </c>
      <c r="J314" t="s">
        <v>1603</v>
      </c>
      <c r="K314" t="s">
        <v>1604</v>
      </c>
    </row>
    <row r="315" spans="1:11">
      <c r="A315" t="s">
        <v>1920</v>
      </c>
      <c r="B315">
        <v>202602</v>
      </c>
      <c r="C315" t="s">
        <v>611</v>
      </c>
      <c r="D315">
        <v>7130</v>
      </c>
      <c r="E315" t="s">
        <v>1602</v>
      </c>
      <c r="F315" t="s">
        <v>982</v>
      </c>
      <c r="G315">
        <v>73125</v>
      </c>
      <c r="H315" t="s">
        <v>1045</v>
      </c>
      <c r="I315" t="s">
        <v>1008</v>
      </c>
      <c r="J315" t="s">
        <v>1603</v>
      </c>
      <c r="K315" t="s">
        <v>1604</v>
      </c>
    </row>
    <row r="316" spans="1:11">
      <c r="A316" t="s">
        <v>1921</v>
      </c>
      <c r="B316">
        <v>202603</v>
      </c>
      <c r="C316" t="s">
        <v>611</v>
      </c>
      <c r="D316">
        <v>7130</v>
      </c>
      <c r="E316" t="s">
        <v>1602</v>
      </c>
      <c r="F316" t="s">
        <v>982</v>
      </c>
      <c r="G316">
        <v>73125</v>
      </c>
      <c r="H316" t="s">
        <v>1045</v>
      </c>
      <c r="I316" t="s">
        <v>1008</v>
      </c>
      <c r="J316" t="s">
        <v>1603</v>
      </c>
      <c r="K316" t="s">
        <v>1604</v>
      </c>
    </row>
    <row r="317" spans="1:11">
      <c r="A317" t="s">
        <v>1922</v>
      </c>
      <c r="B317">
        <v>202604</v>
      </c>
      <c r="C317" t="s">
        <v>611</v>
      </c>
      <c r="D317">
        <v>7130</v>
      </c>
      <c r="E317" t="s">
        <v>1602</v>
      </c>
      <c r="F317" t="s">
        <v>982</v>
      </c>
      <c r="G317">
        <v>73125</v>
      </c>
      <c r="H317" t="s">
        <v>1045</v>
      </c>
      <c r="I317" t="s">
        <v>1008</v>
      </c>
      <c r="J317" t="s">
        <v>1603</v>
      </c>
      <c r="K317" t="s">
        <v>1604</v>
      </c>
    </row>
    <row r="318" spans="1:11">
      <c r="A318" t="s">
        <v>1923</v>
      </c>
      <c r="B318">
        <v>202605</v>
      </c>
      <c r="C318" t="s">
        <v>611</v>
      </c>
      <c r="D318">
        <v>7130</v>
      </c>
      <c r="E318" t="s">
        <v>1602</v>
      </c>
      <c r="F318" t="s">
        <v>982</v>
      </c>
      <c r="G318">
        <v>73125</v>
      </c>
      <c r="H318" t="s">
        <v>1045</v>
      </c>
      <c r="I318" t="s">
        <v>1008</v>
      </c>
      <c r="J318" t="s">
        <v>1603</v>
      </c>
      <c r="K318" t="s">
        <v>1604</v>
      </c>
    </row>
    <row r="319" spans="1:11">
      <c r="A319" t="s">
        <v>1924</v>
      </c>
      <c r="B319">
        <v>202606</v>
      </c>
      <c r="C319" t="s">
        <v>611</v>
      </c>
      <c r="D319">
        <v>7130</v>
      </c>
      <c r="E319" t="s">
        <v>1602</v>
      </c>
      <c r="F319" t="s">
        <v>982</v>
      </c>
      <c r="G319">
        <v>73125</v>
      </c>
      <c r="H319" t="s">
        <v>1045</v>
      </c>
      <c r="I319" t="s">
        <v>1008</v>
      </c>
      <c r="J319" t="s">
        <v>1603</v>
      </c>
      <c r="K319" t="s">
        <v>1604</v>
      </c>
    </row>
    <row r="320" spans="1:11">
      <c r="A320" t="s">
        <v>1925</v>
      </c>
      <c r="B320">
        <v>202607</v>
      </c>
      <c r="C320" t="s">
        <v>611</v>
      </c>
      <c r="D320">
        <v>7130</v>
      </c>
      <c r="E320" t="s">
        <v>1602</v>
      </c>
      <c r="F320" t="s">
        <v>982</v>
      </c>
      <c r="G320">
        <v>73125</v>
      </c>
      <c r="H320" t="s">
        <v>1045</v>
      </c>
      <c r="I320" t="s">
        <v>1008</v>
      </c>
      <c r="J320" t="s">
        <v>1603</v>
      </c>
      <c r="K320" t="s">
        <v>1604</v>
      </c>
    </row>
    <row r="321" spans="1:11">
      <c r="A321" t="s">
        <v>1926</v>
      </c>
      <c r="B321">
        <v>202608</v>
      </c>
      <c r="C321" t="s">
        <v>611</v>
      </c>
      <c r="D321">
        <v>7130</v>
      </c>
      <c r="E321" t="s">
        <v>1602</v>
      </c>
      <c r="F321" t="s">
        <v>982</v>
      </c>
      <c r="G321">
        <v>73125</v>
      </c>
      <c r="H321" t="s">
        <v>1045</v>
      </c>
      <c r="I321" t="s">
        <v>1008</v>
      </c>
      <c r="J321" t="s">
        <v>1603</v>
      </c>
      <c r="K321" t="s">
        <v>1604</v>
      </c>
    </row>
    <row r="322" spans="1:11">
      <c r="A322" t="s">
        <v>1927</v>
      </c>
      <c r="B322">
        <v>202609</v>
      </c>
      <c r="C322" t="s">
        <v>611</v>
      </c>
      <c r="D322">
        <v>7130</v>
      </c>
      <c r="E322" t="s">
        <v>1602</v>
      </c>
      <c r="F322" t="s">
        <v>982</v>
      </c>
      <c r="G322">
        <v>73125</v>
      </c>
      <c r="H322" t="s">
        <v>1045</v>
      </c>
      <c r="I322" t="s">
        <v>1008</v>
      </c>
      <c r="J322" t="s">
        <v>1603</v>
      </c>
      <c r="K322" t="s">
        <v>1604</v>
      </c>
    </row>
    <row r="323" spans="1:11">
      <c r="A323" t="s">
        <v>1928</v>
      </c>
      <c r="B323">
        <v>202610</v>
      </c>
      <c r="C323" t="s">
        <v>611</v>
      </c>
      <c r="D323">
        <v>7130</v>
      </c>
      <c r="E323" t="s">
        <v>1614</v>
      </c>
      <c r="F323" t="s">
        <v>985</v>
      </c>
      <c r="G323">
        <v>73125</v>
      </c>
      <c r="H323" t="s">
        <v>1045</v>
      </c>
      <c r="I323" t="s">
        <v>1008</v>
      </c>
      <c r="J323" t="s">
        <v>1603</v>
      </c>
      <c r="K323" t="s">
        <v>1604</v>
      </c>
    </row>
    <row r="324" spans="1:11">
      <c r="A324" t="s">
        <v>1929</v>
      </c>
      <c r="B324">
        <v>202611</v>
      </c>
      <c r="C324" t="s">
        <v>611</v>
      </c>
      <c r="D324">
        <v>7130</v>
      </c>
      <c r="E324" t="s">
        <v>1614</v>
      </c>
      <c r="F324" t="s">
        <v>985</v>
      </c>
      <c r="G324">
        <v>73125</v>
      </c>
      <c r="H324" t="s">
        <v>1045</v>
      </c>
      <c r="I324" t="s">
        <v>1008</v>
      </c>
      <c r="J324" t="s">
        <v>1603</v>
      </c>
      <c r="K324" t="s">
        <v>1604</v>
      </c>
    </row>
    <row r="325" spans="1:11">
      <c r="A325" t="s">
        <v>1930</v>
      </c>
      <c r="B325">
        <v>202612</v>
      </c>
      <c r="C325" t="s">
        <v>611</v>
      </c>
      <c r="D325">
        <v>7130</v>
      </c>
      <c r="E325" t="s">
        <v>1614</v>
      </c>
      <c r="F325" t="s">
        <v>985</v>
      </c>
      <c r="G325">
        <v>73125</v>
      </c>
      <c r="H325" t="s">
        <v>1045</v>
      </c>
      <c r="I325" t="s">
        <v>1008</v>
      </c>
      <c r="J325" t="s">
        <v>1603</v>
      </c>
      <c r="K325" t="s">
        <v>1604</v>
      </c>
    </row>
    <row r="326" spans="1:11">
      <c r="A326" t="s">
        <v>1931</v>
      </c>
      <c r="B326">
        <v>202601</v>
      </c>
      <c r="C326" t="s">
        <v>616</v>
      </c>
      <c r="D326">
        <v>5000</v>
      </c>
      <c r="E326" t="s">
        <v>1602</v>
      </c>
      <c r="F326" t="s">
        <v>982</v>
      </c>
      <c r="G326">
        <v>2421401</v>
      </c>
      <c r="H326" t="s">
        <v>1038</v>
      </c>
      <c r="I326" t="s">
        <v>1009</v>
      </c>
      <c r="J326" t="s">
        <v>1603</v>
      </c>
      <c r="K326" t="s">
        <v>1932</v>
      </c>
    </row>
    <row r="327" spans="1:11">
      <c r="A327" t="s">
        <v>1933</v>
      </c>
      <c r="B327">
        <v>202602</v>
      </c>
      <c r="C327" t="s">
        <v>616</v>
      </c>
      <c r="D327">
        <v>5000</v>
      </c>
      <c r="E327" t="s">
        <v>1602</v>
      </c>
      <c r="F327" t="s">
        <v>982</v>
      </c>
      <c r="G327">
        <v>2421401</v>
      </c>
      <c r="H327" t="s">
        <v>1038</v>
      </c>
      <c r="I327" t="s">
        <v>1009</v>
      </c>
      <c r="J327" t="s">
        <v>1603</v>
      </c>
      <c r="K327" t="s">
        <v>1932</v>
      </c>
    </row>
    <row r="328" spans="1:11">
      <c r="A328" t="s">
        <v>1934</v>
      </c>
      <c r="B328">
        <v>202603</v>
      </c>
      <c r="C328" t="s">
        <v>616</v>
      </c>
      <c r="D328">
        <v>5000</v>
      </c>
      <c r="E328" t="s">
        <v>1602</v>
      </c>
      <c r="F328" t="s">
        <v>982</v>
      </c>
      <c r="G328">
        <v>2421401</v>
      </c>
      <c r="H328" t="s">
        <v>1038</v>
      </c>
      <c r="I328" t="s">
        <v>1009</v>
      </c>
      <c r="J328" t="s">
        <v>1603</v>
      </c>
      <c r="K328" t="s">
        <v>1932</v>
      </c>
    </row>
    <row r="329" spans="1:11">
      <c r="A329" t="s">
        <v>1935</v>
      </c>
      <c r="B329">
        <v>202604</v>
      </c>
      <c r="C329" t="s">
        <v>616</v>
      </c>
      <c r="D329">
        <v>5000</v>
      </c>
      <c r="E329" t="s">
        <v>1602</v>
      </c>
      <c r="F329" t="s">
        <v>982</v>
      </c>
      <c r="G329">
        <v>2421401</v>
      </c>
      <c r="H329" t="s">
        <v>1038</v>
      </c>
      <c r="I329" t="s">
        <v>1009</v>
      </c>
      <c r="J329" t="s">
        <v>1603</v>
      </c>
      <c r="K329" t="s">
        <v>1932</v>
      </c>
    </row>
    <row r="330" spans="1:11">
      <c r="A330" t="s">
        <v>1936</v>
      </c>
      <c r="B330">
        <v>202605</v>
      </c>
      <c r="C330" t="s">
        <v>616</v>
      </c>
      <c r="D330">
        <v>5000</v>
      </c>
      <c r="E330" t="s">
        <v>1602</v>
      </c>
      <c r="F330" t="s">
        <v>982</v>
      </c>
      <c r="G330">
        <v>2421401</v>
      </c>
      <c r="H330" t="s">
        <v>1038</v>
      </c>
      <c r="I330" t="s">
        <v>1009</v>
      </c>
      <c r="J330" t="s">
        <v>1603</v>
      </c>
      <c r="K330" t="s">
        <v>1932</v>
      </c>
    </row>
    <row r="331" spans="1:11">
      <c r="A331" t="s">
        <v>1937</v>
      </c>
      <c r="B331">
        <v>202606</v>
      </c>
      <c r="C331" t="s">
        <v>616</v>
      </c>
      <c r="D331">
        <v>5000</v>
      </c>
      <c r="E331" t="s">
        <v>1602</v>
      </c>
      <c r="F331" t="s">
        <v>982</v>
      </c>
      <c r="G331">
        <v>2421401</v>
      </c>
      <c r="H331" t="s">
        <v>1038</v>
      </c>
      <c r="I331" t="s">
        <v>1009</v>
      </c>
      <c r="J331" t="s">
        <v>1603</v>
      </c>
      <c r="K331" t="s">
        <v>1932</v>
      </c>
    </row>
    <row r="332" spans="1:11">
      <c r="A332" t="s">
        <v>1938</v>
      </c>
      <c r="B332">
        <v>202607</v>
      </c>
      <c r="C332" t="s">
        <v>616</v>
      </c>
      <c r="D332">
        <v>5000</v>
      </c>
      <c r="E332" t="s">
        <v>1602</v>
      </c>
      <c r="F332" t="s">
        <v>982</v>
      </c>
      <c r="G332">
        <v>2421401</v>
      </c>
      <c r="H332" t="s">
        <v>1038</v>
      </c>
      <c r="I332" t="s">
        <v>1009</v>
      </c>
      <c r="J332" t="s">
        <v>1603</v>
      </c>
      <c r="K332" t="s">
        <v>1932</v>
      </c>
    </row>
    <row r="333" spans="1:11">
      <c r="A333" t="s">
        <v>1939</v>
      </c>
      <c r="B333">
        <v>202608</v>
      </c>
      <c r="C333" t="s">
        <v>616</v>
      </c>
      <c r="D333">
        <v>5000</v>
      </c>
      <c r="E333" t="s">
        <v>1602</v>
      </c>
      <c r="F333" t="s">
        <v>982</v>
      </c>
      <c r="G333">
        <v>2421401</v>
      </c>
      <c r="H333" t="s">
        <v>1038</v>
      </c>
      <c r="I333" t="s">
        <v>1009</v>
      </c>
      <c r="J333" t="s">
        <v>1603</v>
      </c>
      <c r="K333" t="s">
        <v>1932</v>
      </c>
    </row>
    <row r="334" spans="1:11">
      <c r="A334" t="s">
        <v>1940</v>
      </c>
      <c r="B334">
        <v>202609</v>
      </c>
      <c r="C334" t="s">
        <v>616</v>
      </c>
      <c r="D334">
        <v>5000</v>
      </c>
      <c r="E334" t="s">
        <v>1602</v>
      </c>
      <c r="F334" t="s">
        <v>982</v>
      </c>
      <c r="G334">
        <v>2421401</v>
      </c>
      <c r="H334" t="s">
        <v>1038</v>
      </c>
      <c r="I334" t="s">
        <v>1009</v>
      </c>
      <c r="J334" t="s">
        <v>1603</v>
      </c>
      <c r="K334" t="s">
        <v>1932</v>
      </c>
    </row>
    <row r="335" spans="1:11">
      <c r="A335" t="s">
        <v>1941</v>
      </c>
      <c r="B335">
        <v>202610</v>
      </c>
      <c r="C335" t="s">
        <v>616</v>
      </c>
      <c r="D335">
        <v>5000</v>
      </c>
      <c r="E335" t="s">
        <v>1614</v>
      </c>
      <c r="F335" t="s">
        <v>985</v>
      </c>
      <c r="G335">
        <v>2421401</v>
      </c>
      <c r="H335" t="s">
        <v>1038</v>
      </c>
      <c r="I335" t="s">
        <v>1009</v>
      </c>
      <c r="J335" t="s">
        <v>1603</v>
      </c>
      <c r="K335" t="s">
        <v>1932</v>
      </c>
    </row>
    <row r="336" spans="1:11">
      <c r="A336" t="s">
        <v>1942</v>
      </c>
      <c r="B336">
        <v>202611</v>
      </c>
      <c r="C336" t="s">
        <v>616</v>
      </c>
      <c r="D336">
        <v>5000</v>
      </c>
      <c r="E336" t="s">
        <v>1614</v>
      </c>
      <c r="F336" t="s">
        <v>985</v>
      </c>
      <c r="G336">
        <v>2421401</v>
      </c>
      <c r="H336" t="s">
        <v>1038</v>
      </c>
      <c r="I336" t="s">
        <v>1009</v>
      </c>
      <c r="J336" t="s">
        <v>1603</v>
      </c>
      <c r="K336" t="s">
        <v>1932</v>
      </c>
    </row>
    <row r="337" spans="1:11">
      <c r="A337" t="s">
        <v>1943</v>
      </c>
      <c r="B337">
        <v>202612</v>
      </c>
      <c r="C337" t="s">
        <v>616</v>
      </c>
      <c r="D337">
        <v>5000</v>
      </c>
      <c r="E337" t="s">
        <v>1614</v>
      </c>
      <c r="F337" t="s">
        <v>985</v>
      </c>
      <c r="G337">
        <v>2421403</v>
      </c>
      <c r="H337" t="s">
        <v>1038</v>
      </c>
      <c r="I337" t="s">
        <v>1009</v>
      </c>
      <c r="J337" t="s">
        <v>1603</v>
      </c>
      <c r="K337" t="s">
        <v>1932</v>
      </c>
    </row>
    <row r="338" spans="1:11">
      <c r="A338" t="s">
        <v>1944</v>
      </c>
      <c r="B338">
        <v>202601</v>
      </c>
      <c r="C338" t="s">
        <v>616</v>
      </c>
      <c r="D338">
        <v>5080</v>
      </c>
      <c r="E338" t="s">
        <v>1602</v>
      </c>
      <c r="F338" t="s">
        <v>982</v>
      </c>
      <c r="G338">
        <v>233790</v>
      </c>
      <c r="H338" t="s">
        <v>1038</v>
      </c>
      <c r="I338" t="s">
        <v>1009</v>
      </c>
      <c r="J338" t="s">
        <v>1603</v>
      </c>
      <c r="K338" t="s">
        <v>1932</v>
      </c>
    </row>
    <row r="339" spans="1:11">
      <c r="A339" t="s">
        <v>1945</v>
      </c>
      <c r="B339">
        <v>202602</v>
      </c>
      <c r="C339" t="s">
        <v>616</v>
      </c>
      <c r="D339">
        <v>5080</v>
      </c>
      <c r="E339" t="s">
        <v>1602</v>
      </c>
      <c r="F339" t="s">
        <v>982</v>
      </c>
      <c r="G339">
        <v>233790</v>
      </c>
      <c r="H339" t="s">
        <v>1038</v>
      </c>
      <c r="I339" t="s">
        <v>1009</v>
      </c>
      <c r="J339" t="s">
        <v>1603</v>
      </c>
      <c r="K339" t="s">
        <v>1932</v>
      </c>
    </row>
    <row r="340" spans="1:11">
      <c r="A340" t="s">
        <v>1946</v>
      </c>
      <c r="B340">
        <v>202603</v>
      </c>
      <c r="C340" t="s">
        <v>616</v>
      </c>
      <c r="D340">
        <v>5080</v>
      </c>
      <c r="E340" t="s">
        <v>1602</v>
      </c>
      <c r="F340" t="s">
        <v>982</v>
      </c>
      <c r="G340">
        <v>233790</v>
      </c>
      <c r="H340" t="s">
        <v>1038</v>
      </c>
      <c r="I340" t="s">
        <v>1009</v>
      </c>
      <c r="J340" t="s">
        <v>1603</v>
      </c>
      <c r="K340" t="s">
        <v>1932</v>
      </c>
    </row>
    <row r="341" spans="1:11">
      <c r="A341" t="s">
        <v>1947</v>
      </c>
      <c r="B341">
        <v>202604</v>
      </c>
      <c r="C341" t="s">
        <v>616</v>
      </c>
      <c r="D341">
        <v>5080</v>
      </c>
      <c r="E341" t="s">
        <v>1602</v>
      </c>
      <c r="F341" t="s">
        <v>982</v>
      </c>
      <c r="G341">
        <v>233790</v>
      </c>
      <c r="H341" t="s">
        <v>1038</v>
      </c>
      <c r="I341" t="s">
        <v>1009</v>
      </c>
      <c r="J341" t="s">
        <v>1603</v>
      </c>
      <c r="K341" t="s">
        <v>1932</v>
      </c>
    </row>
    <row r="342" spans="1:11">
      <c r="A342" t="s">
        <v>1948</v>
      </c>
      <c r="B342">
        <v>202605</v>
      </c>
      <c r="C342" t="s">
        <v>616</v>
      </c>
      <c r="D342">
        <v>5080</v>
      </c>
      <c r="E342" t="s">
        <v>1602</v>
      </c>
      <c r="F342" t="s">
        <v>982</v>
      </c>
      <c r="G342">
        <v>233790</v>
      </c>
      <c r="H342" t="s">
        <v>1038</v>
      </c>
      <c r="I342" t="s">
        <v>1009</v>
      </c>
      <c r="J342" t="s">
        <v>1603</v>
      </c>
      <c r="K342" t="s">
        <v>1932</v>
      </c>
    </row>
    <row r="343" spans="1:11">
      <c r="A343" t="s">
        <v>1949</v>
      </c>
      <c r="B343">
        <v>202606</v>
      </c>
      <c r="C343" t="s">
        <v>616</v>
      </c>
      <c r="D343">
        <v>5080</v>
      </c>
      <c r="E343" t="s">
        <v>1602</v>
      </c>
      <c r="F343" t="s">
        <v>982</v>
      </c>
      <c r="G343">
        <v>409132</v>
      </c>
      <c r="H343" t="s">
        <v>1038</v>
      </c>
      <c r="I343" t="s">
        <v>1009</v>
      </c>
      <c r="J343" t="s">
        <v>1603</v>
      </c>
      <c r="K343" t="s">
        <v>1932</v>
      </c>
    </row>
    <row r="344" spans="1:11">
      <c r="A344" t="s">
        <v>1950</v>
      </c>
      <c r="B344">
        <v>202607</v>
      </c>
      <c r="C344" t="s">
        <v>616</v>
      </c>
      <c r="D344">
        <v>5080</v>
      </c>
      <c r="E344" t="s">
        <v>1602</v>
      </c>
      <c r="F344" t="s">
        <v>982</v>
      </c>
      <c r="G344">
        <v>233790</v>
      </c>
      <c r="H344" t="s">
        <v>1038</v>
      </c>
      <c r="I344" t="s">
        <v>1009</v>
      </c>
      <c r="J344" t="s">
        <v>1603</v>
      </c>
      <c r="K344" t="s">
        <v>1932</v>
      </c>
    </row>
    <row r="345" spans="1:11">
      <c r="A345" t="s">
        <v>1951</v>
      </c>
      <c r="B345">
        <v>202608</v>
      </c>
      <c r="C345" t="s">
        <v>616</v>
      </c>
      <c r="D345">
        <v>5080</v>
      </c>
      <c r="E345" t="s">
        <v>1602</v>
      </c>
      <c r="F345" t="s">
        <v>982</v>
      </c>
      <c r="G345">
        <v>233790</v>
      </c>
      <c r="H345" t="s">
        <v>1038</v>
      </c>
      <c r="I345" t="s">
        <v>1009</v>
      </c>
      <c r="J345" t="s">
        <v>1603</v>
      </c>
      <c r="K345" t="s">
        <v>1932</v>
      </c>
    </row>
    <row r="346" spans="1:11">
      <c r="A346" t="s">
        <v>1952</v>
      </c>
      <c r="B346">
        <v>202609</v>
      </c>
      <c r="C346" t="s">
        <v>616</v>
      </c>
      <c r="D346">
        <v>5080</v>
      </c>
      <c r="E346" t="s">
        <v>1602</v>
      </c>
      <c r="F346" t="s">
        <v>982</v>
      </c>
      <c r="G346">
        <v>233790</v>
      </c>
      <c r="H346" t="s">
        <v>1038</v>
      </c>
      <c r="I346" t="s">
        <v>1009</v>
      </c>
      <c r="J346" t="s">
        <v>1603</v>
      </c>
      <c r="K346" t="s">
        <v>1932</v>
      </c>
    </row>
    <row r="347" spans="1:11">
      <c r="A347" t="s">
        <v>1953</v>
      </c>
      <c r="B347">
        <v>202610</v>
      </c>
      <c r="C347" t="s">
        <v>616</v>
      </c>
      <c r="D347">
        <v>5080</v>
      </c>
      <c r="E347" t="s">
        <v>1614</v>
      </c>
      <c r="F347" t="s">
        <v>985</v>
      </c>
      <c r="G347">
        <v>233790</v>
      </c>
      <c r="H347" t="s">
        <v>1038</v>
      </c>
      <c r="I347" t="s">
        <v>1009</v>
      </c>
      <c r="J347" t="s">
        <v>1603</v>
      </c>
      <c r="K347" t="s">
        <v>1932</v>
      </c>
    </row>
    <row r="348" spans="1:11">
      <c r="A348" t="s">
        <v>1954</v>
      </c>
      <c r="B348">
        <v>202611</v>
      </c>
      <c r="C348" t="s">
        <v>616</v>
      </c>
      <c r="D348">
        <v>5080</v>
      </c>
      <c r="E348" t="s">
        <v>1614</v>
      </c>
      <c r="F348" t="s">
        <v>985</v>
      </c>
      <c r="G348">
        <v>233790</v>
      </c>
      <c r="H348" t="s">
        <v>1038</v>
      </c>
      <c r="I348" t="s">
        <v>1009</v>
      </c>
      <c r="J348" t="s">
        <v>1603</v>
      </c>
      <c r="K348" t="s">
        <v>1932</v>
      </c>
    </row>
    <row r="349" spans="1:11">
      <c r="A349" t="s">
        <v>1955</v>
      </c>
      <c r="B349">
        <v>202612</v>
      </c>
      <c r="C349" t="s">
        <v>616</v>
      </c>
      <c r="D349">
        <v>5080</v>
      </c>
      <c r="E349" t="s">
        <v>1614</v>
      </c>
      <c r="F349" t="s">
        <v>985</v>
      </c>
      <c r="G349">
        <v>233797</v>
      </c>
      <c r="H349" t="s">
        <v>1038</v>
      </c>
      <c r="I349" t="s">
        <v>1009</v>
      </c>
      <c r="J349" t="s">
        <v>1603</v>
      </c>
      <c r="K349" t="s">
        <v>1932</v>
      </c>
    </row>
    <row r="350" spans="1:11">
      <c r="A350" t="s">
        <v>1956</v>
      </c>
      <c r="B350">
        <v>202601</v>
      </c>
      <c r="C350" t="s">
        <v>616</v>
      </c>
      <c r="D350">
        <v>5400</v>
      </c>
      <c r="E350" t="s">
        <v>1602</v>
      </c>
      <c r="F350" t="s">
        <v>982</v>
      </c>
      <c r="G350">
        <v>333986</v>
      </c>
      <c r="H350" t="s">
        <v>1038</v>
      </c>
      <c r="I350" t="s">
        <v>1009</v>
      </c>
      <c r="J350" t="s">
        <v>1603</v>
      </c>
      <c r="K350" t="s">
        <v>1932</v>
      </c>
    </row>
    <row r="351" spans="1:11">
      <c r="A351" t="s">
        <v>1957</v>
      </c>
      <c r="B351">
        <v>202602</v>
      </c>
      <c r="C351" t="s">
        <v>616</v>
      </c>
      <c r="D351">
        <v>5400</v>
      </c>
      <c r="E351" t="s">
        <v>1602</v>
      </c>
      <c r="F351" t="s">
        <v>982</v>
      </c>
      <c r="G351">
        <v>333986</v>
      </c>
      <c r="H351" t="s">
        <v>1038</v>
      </c>
      <c r="I351" t="s">
        <v>1009</v>
      </c>
      <c r="J351" t="s">
        <v>1603</v>
      </c>
      <c r="K351" t="s">
        <v>1932</v>
      </c>
    </row>
    <row r="352" spans="1:11">
      <c r="A352" t="s">
        <v>1958</v>
      </c>
      <c r="B352">
        <v>202603</v>
      </c>
      <c r="C352" t="s">
        <v>616</v>
      </c>
      <c r="D352">
        <v>5400</v>
      </c>
      <c r="E352" t="s">
        <v>1602</v>
      </c>
      <c r="F352" t="s">
        <v>982</v>
      </c>
      <c r="G352">
        <v>333986</v>
      </c>
      <c r="H352" t="s">
        <v>1038</v>
      </c>
      <c r="I352" t="s">
        <v>1009</v>
      </c>
      <c r="J352" t="s">
        <v>1603</v>
      </c>
      <c r="K352" t="s">
        <v>1932</v>
      </c>
    </row>
    <row r="353" spans="1:11">
      <c r="A353" t="s">
        <v>1959</v>
      </c>
      <c r="B353">
        <v>202604</v>
      </c>
      <c r="C353" t="s">
        <v>616</v>
      </c>
      <c r="D353">
        <v>5400</v>
      </c>
      <c r="E353" t="s">
        <v>1602</v>
      </c>
      <c r="F353" t="s">
        <v>982</v>
      </c>
      <c r="G353">
        <v>333986</v>
      </c>
      <c r="H353" t="s">
        <v>1038</v>
      </c>
      <c r="I353" t="s">
        <v>1009</v>
      </c>
      <c r="J353" t="s">
        <v>1603</v>
      </c>
      <c r="K353" t="s">
        <v>1932</v>
      </c>
    </row>
    <row r="354" spans="1:11">
      <c r="A354" t="s">
        <v>1960</v>
      </c>
      <c r="B354">
        <v>202605</v>
      </c>
      <c r="C354" t="s">
        <v>616</v>
      </c>
      <c r="D354">
        <v>5400</v>
      </c>
      <c r="E354" t="s">
        <v>1602</v>
      </c>
      <c r="F354" t="s">
        <v>982</v>
      </c>
      <c r="G354">
        <v>333986</v>
      </c>
      <c r="H354" t="s">
        <v>1038</v>
      </c>
      <c r="I354" t="s">
        <v>1009</v>
      </c>
      <c r="J354" t="s">
        <v>1603</v>
      </c>
      <c r="K354" t="s">
        <v>1932</v>
      </c>
    </row>
    <row r="355" spans="1:11">
      <c r="A355" t="s">
        <v>1961</v>
      </c>
      <c r="B355">
        <v>202606</v>
      </c>
      <c r="C355" t="s">
        <v>616</v>
      </c>
      <c r="D355">
        <v>5400</v>
      </c>
      <c r="E355" t="s">
        <v>1602</v>
      </c>
      <c r="F355" t="s">
        <v>982</v>
      </c>
      <c r="G355">
        <v>333986</v>
      </c>
      <c r="H355" t="s">
        <v>1038</v>
      </c>
      <c r="I355" t="s">
        <v>1009</v>
      </c>
      <c r="J355" t="s">
        <v>1603</v>
      </c>
      <c r="K355" t="s">
        <v>1932</v>
      </c>
    </row>
    <row r="356" spans="1:11">
      <c r="A356" t="s">
        <v>1962</v>
      </c>
      <c r="B356">
        <v>202607</v>
      </c>
      <c r="C356" t="s">
        <v>616</v>
      </c>
      <c r="D356">
        <v>5400</v>
      </c>
      <c r="E356" t="s">
        <v>1602</v>
      </c>
      <c r="F356" t="s">
        <v>982</v>
      </c>
      <c r="G356">
        <v>333986</v>
      </c>
      <c r="H356" t="s">
        <v>1038</v>
      </c>
      <c r="I356" t="s">
        <v>1009</v>
      </c>
      <c r="J356" t="s">
        <v>1603</v>
      </c>
      <c r="K356" t="s">
        <v>1932</v>
      </c>
    </row>
    <row r="357" spans="1:11">
      <c r="A357" t="s">
        <v>1963</v>
      </c>
      <c r="B357">
        <v>202608</v>
      </c>
      <c r="C357" t="s">
        <v>616</v>
      </c>
      <c r="D357">
        <v>5400</v>
      </c>
      <c r="E357" t="s">
        <v>1602</v>
      </c>
      <c r="F357" t="s">
        <v>982</v>
      </c>
      <c r="G357">
        <v>333986</v>
      </c>
      <c r="H357" t="s">
        <v>1038</v>
      </c>
      <c r="I357" t="s">
        <v>1009</v>
      </c>
      <c r="J357" t="s">
        <v>1603</v>
      </c>
      <c r="K357" t="s">
        <v>1932</v>
      </c>
    </row>
    <row r="358" spans="1:11">
      <c r="A358" t="s">
        <v>1964</v>
      </c>
      <c r="B358">
        <v>202609</v>
      </c>
      <c r="C358" t="s">
        <v>616</v>
      </c>
      <c r="D358">
        <v>5400</v>
      </c>
      <c r="E358" t="s">
        <v>1602</v>
      </c>
      <c r="F358" t="s">
        <v>982</v>
      </c>
      <c r="G358">
        <v>333986</v>
      </c>
      <c r="H358" t="s">
        <v>1038</v>
      </c>
      <c r="I358" t="s">
        <v>1009</v>
      </c>
      <c r="J358" t="s">
        <v>1603</v>
      </c>
      <c r="K358" t="s">
        <v>1932</v>
      </c>
    </row>
    <row r="359" spans="1:11">
      <c r="A359" t="s">
        <v>1965</v>
      </c>
      <c r="B359">
        <v>202610</v>
      </c>
      <c r="C359" t="s">
        <v>616</v>
      </c>
      <c r="D359">
        <v>5400</v>
      </c>
      <c r="E359" t="s">
        <v>1614</v>
      </c>
      <c r="F359" t="s">
        <v>985</v>
      </c>
      <c r="G359">
        <v>333986</v>
      </c>
      <c r="H359" t="s">
        <v>1038</v>
      </c>
      <c r="I359" t="s">
        <v>1009</v>
      </c>
      <c r="J359" t="s">
        <v>1603</v>
      </c>
      <c r="K359" t="s">
        <v>1932</v>
      </c>
    </row>
    <row r="360" spans="1:11">
      <c r="A360" t="s">
        <v>1966</v>
      </c>
      <c r="B360">
        <v>202611</v>
      </c>
      <c r="C360" t="s">
        <v>616</v>
      </c>
      <c r="D360">
        <v>5400</v>
      </c>
      <c r="E360" t="s">
        <v>1614</v>
      </c>
      <c r="F360" t="s">
        <v>985</v>
      </c>
      <c r="G360">
        <v>333986</v>
      </c>
      <c r="H360" t="s">
        <v>1038</v>
      </c>
      <c r="I360" t="s">
        <v>1009</v>
      </c>
      <c r="J360" t="s">
        <v>1603</v>
      </c>
      <c r="K360" t="s">
        <v>1932</v>
      </c>
    </row>
    <row r="361" spans="1:11">
      <c r="A361" t="s">
        <v>1967</v>
      </c>
      <c r="B361">
        <v>202612</v>
      </c>
      <c r="C361" t="s">
        <v>616</v>
      </c>
      <c r="D361">
        <v>5400</v>
      </c>
      <c r="E361" t="s">
        <v>1614</v>
      </c>
      <c r="F361" t="s">
        <v>985</v>
      </c>
      <c r="G361">
        <v>333988</v>
      </c>
      <c r="H361" t="s">
        <v>1038</v>
      </c>
      <c r="I361" t="s">
        <v>1009</v>
      </c>
      <c r="J361" t="s">
        <v>1603</v>
      </c>
      <c r="K361" t="s">
        <v>1932</v>
      </c>
    </row>
    <row r="362" spans="1:11">
      <c r="A362" t="s">
        <v>1968</v>
      </c>
      <c r="B362">
        <v>202601</v>
      </c>
      <c r="C362" t="s">
        <v>616</v>
      </c>
      <c r="D362">
        <v>5420</v>
      </c>
      <c r="E362" t="s">
        <v>1602</v>
      </c>
      <c r="F362" t="s">
        <v>982</v>
      </c>
      <c r="G362">
        <v>242019</v>
      </c>
      <c r="H362" t="s">
        <v>1038</v>
      </c>
      <c r="I362" t="s">
        <v>1009</v>
      </c>
      <c r="J362" t="s">
        <v>1603</v>
      </c>
      <c r="K362" t="s">
        <v>1604</v>
      </c>
    </row>
    <row r="363" spans="1:11">
      <c r="A363" t="s">
        <v>1969</v>
      </c>
      <c r="B363">
        <v>202602</v>
      </c>
      <c r="C363" t="s">
        <v>616</v>
      </c>
      <c r="D363">
        <v>5420</v>
      </c>
      <c r="E363" t="s">
        <v>1602</v>
      </c>
      <c r="F363" t="s">
        <v>982</v>
      </c>
      <c r="G363">
        <v>242019</v>
      </c>
      <c r="H363" t="s">
        <v>1038</v>
      </c>
      <c r="I363" t="s">
        <v>1009</v>
      </c>
      <c r="J363" t="s">
        <v>1603</v>
      </c>
      <c r="K363" t="s">
        <v>1604</v>
      </c>
    </row>
    <row r="364" spans="1:11">
      <c r="A364" t="s">
        <v>1970</v>
      </c>
      <c r="B364">
        <v>202603</v>
      </c>
      <c r="C364" t="s">
        <v>616</v>
      </c>
      <c r="D364">
        <v>5420</v>
      </c>
      <c r="E364" t="s">
        <v>1602</v>
      </c>
      <c r="F364" t="s">
        <v>982</v>
      </c>
      <c r="G364">
        <v>242019</v>
      </c>
      <c r="H364" t="s">
        <v>1038</v>
      </c>
      <c r="I364" t="s">
        <v>1009</v>
      </c>
      <c r="J364" t="s">
        <v>1603</v>
      </c>
      <c r="K364" t="s">
        <v>1604</v>
      </c>
    </row>
    <row r="365" spans="1:11">
      <c r="A365" t="s">
        <v>1971</v>
      </c>
      <c r="B365">
        <v>202604</v>
      </c>
      <c r="C365" t="s">
        <v>616</v>
      </c>
      <c r="D365">
        <v>5420</v>
      </c>
      <c r="E365" t="s">
        <v>1602</v>
      </c>
      <c r="F365" t="s">
        <v>982</v>
      </c>
      <c r="G365">
        <v>242019</v>
      </c>
      <c r="H365" t="s">
        <v>1038</v>
      </c>
      <c r="I365" t="s">
        <v>1009</v>
      </c>
      <c r="J365" t="s">
        <v>1603</v>
      </c>
      <c r="K365" t="s">
        <v>1604</v>
      </c>
    </row>
    <row r="366" spans="1:11">
      <c r="A366" t="s">
        <v>1972</v>
      </c>
      <c r="B366">
        <v>202605</v>
      </c>
      <c r="C366" t="s">
        <v>616</v>
      </c>
      <c r="D366">
        <v>5420</v>
      </c>
      <c r="E366" t="s">
        <v>1602</v>
      </c>
      <c r="F366" t="s">
        <v>982</v>
      </c>
      <c r="G366">
        <v>242019</v>
      </c>
      <c r="H366" t="s">
        <v>1038</v>
      </c>
      <c r="I366" t="s">
        <v>1009</v>
      </c>
      <c r="J366" t="s">
        <v>1603</v>
      </c>
      <c r="K366" t="s">
        <v>1604</v>
      </c>
    </row>
    <row r="367" spans="1:11">
      <c r="A367" t="s">
        <v>1973</v>
      </c>
      <c r="B367">
        <v>202606</v>
      </c>
      <c r="C367" t="s">
        <v>616</v>
      </c>
      <c r="D367">
        <v>5420</v>
      </c>
      <c r="E367" t="s">
        <v>1602</v>
      </c>
      <c r="F367" t="s">
        <v>982</v>
      </c>
      <c r="G367">
        <v>242019</v>
      </c>
      <c r="H367" t="s">
        <v>1038</v>
      </c>
      <c r="I367" t="s">
        <v>1009</v>
      </c>
      <c r="J367" t="s">
        <v>1603</v>
      </c>
      <c r="K367" t="s">
        <v>1604</v>
      </c>
    </row>
    <row r="368" spans="1:11">
      <c r="A368" t="s">
        <v>1974</v>
      </c>
      <c r="B368">
        <v>202607</v>
      </c>
      <c r="C368" t="s">
        <v>616</v>
      </c>
      <c r="D368">
        <v>5420</v>
      </c>
      <c r="E368" t="s">
        <v>1602</v>
      </c>
      <c r="F368" t="s">
        <v>982</v>
      </c>
      <c r="G368">
        <v>242019</v>
      </c>
      <c r="H368" t="s">
        <v>1038</v>
      </c>
      <c r="I368" t="s">
        <v>1009</v>
      </c>
      <c r="J368" t="s">
        <v>1603</v>
      </c>
      <c r="K368" t="s">
        <v>1604</v>
      </c>
    </row>
    <row r="369" spans="1:11">
      <c r="A369" t="s">
        <v>1975</v>
      </c>
      <c r="B369">
        <v>202608</v>
      </c>
      <c r="C369" t="s">
        <v>616</v>
      </c>
      <c r="D369">
        <v>5420</v>
      </c>
      <c r="E369" t="s">
        <v>1602</v>
      </c>
      <c r="F369" t="s">
        <v>982</v>
      </c>
      <c r="G369">
        <v>242019</v>
      </c>
      <c r="H369" t="s">
        <v>1038</v>
      </c>
      <c r="I369" t="s">
        <v>1009</v>
      </c>
      <c r="J369" t="s">
        <v>1603</v>
      </c>
      <c r="K369" t="s">
        <v>1604</v>
      </c>
    </row>
    <row r="370" spans="1:11">
      <c r="A370" t="s">
        <v>1976</v>
      </c>
      <c r="B370">
        <v>202609</v>
      </c>
      <c r="C370" t="s">
        <v>616</v>
      </c>
      <c r="D370">
        <v>5420</v>
      </c>
      <c r="E370" t="s">
        <v>1602</v>
      </c>
      <c r="F370" t="s">
        <v>982</v>
      </c>
      <c r="G370">
        <v>242019</v>
      </c>
      <c r="H370" t="s">
        <v>1038</v>
      </c>
      <c r="I370" t="s">
        <v>1009</v>
      </c>
      <c r="J370" t="s">
        <v>1603</v>
      </c>
      <c r="K370" t="s">
        <v>1604</v>
      </c>
    </row>
    <row r="371" spans="1:11">
      <c r="A371" t="s">
        <v>1977</v>
      </c>
      <c r="B371">
        <v>202610</v>
      </c>
      <c r="C371" t="s">
        <v>616</v>
      </c>
      <c r="D371">
        <v>5420</v>
      </c>
      <c r="E371" t="s">
        <v>1614</v>
      </c>
      <c r="F371" t="s">
        <v>985</v>
      </c>
      <c r="G371">
        <v>242019</v>
      </c>
      <c r="H371" t="s">
        <v>1038</v>
      </c>
      <c r="I371" t="s">
        <v>1009</v>
      </c>
      <c r="J371" t="s">
        <v>1603</v>
      </c>
      <c r="K371" t="s">
        <v>1604</v>
      </c>
    </row>
    <row r="372" spans="1:11">
      <c r="A372" t="s">
        <v>1978</v>
      </c>
      <c r="B372">
        <v>202611</v>
      </c>
      <c r="C372" t="s">
        <v>616</v>
      </c>
      <c r="D372">
        <v>5420</v>
      </c>
      <c r="E372" t="s">
        <v>1614</v>
      </c>
      <c r="F372" t="s">
        <v>985</v>
      </c>
      <c r="G372">
        <v>242019</v>
      </c>
      <c r="H372" t="s">
        <v>1038</v>
      </c>
      <c r="I372" t="s">
        <v>1009</v>
      </c>
      <c r="J372" t="s">
        <v>1603</v>
      </c>
      <c r="K372" t="s">
        <v>1604</v>
      </c>
    </row>
    <row r="373" spans="1:11">
      <c r="A373" t="s">
        <v>1979</v>
      </c>
      <c r="B373">
        <v>202612</v>
      </c>
      <c r="C373" t="s">
        <v>616</v>
      </c>
      <c r="D373">
        <v>5420</v>
      </c>
      <c r="E373" t="s">
        <v>1614</v>
      </c>
      <c r="F373" t="s">
        <v>985</v>
      </c>
      <c r="G373">
        <v>242021</v>
      </c>
      <c r="H373" t="s">
        <v>1038</v>
      </c>
      <c r="I373" t="s">
        <v>1009</v>
      </c>
      <c r="J373" t="s">
        <v>1603</v>
      </c>
      <c r="K373" t="s">
        <v>1604</v>
      </c>
    </row>
    <row r="374" spans="1:11">
      <c r="A374" t="s">
        <v>1980</v>
      </c>
      <c r="B374">
        <v>202601</v>
      </c>
      <c r="C374" t="s">
        <v>616</v>
      </c>
      <c r="D374">
        <v>5100</v>
      </c>
      <c r="E374" t="s">
        <v>1602</v>
      </c>
      <c r="F374" t="s">
        <v>982</v>
      </c>
      <c r="G374">
        <v>161346</v>
      </c>
      <c r="H374" t="s">
        <v>1038</v>
      </c>
      <c r="I374" t="s">
        <v>1009</v>
      </c>
      <c r="J374" t="s">
        <v>1603</v>
      </c>
      <c r="K374" t="s">
        <v>1604</v>
      </c>
    </row>
    <row r="375" spans="1:11">
      <c r="A375" t="s">
        <v>1981</v>
      </c>
      <c r="B375">
        <v>202602</v>
      </c>
      <c r="C375" t="s">
        <v>616</v>
      </c>
      <c r="D375">
        <v>5100</v>
      </c>
      <c r="E375" t="s">
        <v>1602</v>
      </c>
      <c r="F375" t="s">
        <v>982</v>
      </c>
      <c r="G375">
        <v>161346</v>
      </c>
      <c r="H375" t="s">
        <v>1038</v>
      </c>
      <c r="I375" t="s">
        <v>1009</v>
      </c>
      <c r="J375" t="s">
        <v>1603</v>
      </c>
      <c r="K375" t="s">
        <v>1604</v>
      </c>
    </row>
    <row r="376" spans="1:11">
      <c r="A376" t="s">
        <v>1982</v>
      </c>
      <c r="B376">
        <v>202603</v>
      </c>
      <c r="C376" t="s">
        <v>616</v>
      </c>
      <c r="D376">
        <v>5100</v>
      </c>
      <c r="E376" t="s">
        <v>1602</v>
      </c>
      <c r="F376" t="s">
        <v>982</v>
      </c>
      <c r="G376">
        <v>161346</v>
      </c>
      <c r="H376" t="s">
        <v>1038</v>
      </c>
      <c r="I376" t="s">
        <v>1009</v>
      </c>
      <c r="J376" t="s">
        <v>1603</v>
      </c>
      <c r="K376" t="s">
        <v>1604</v>
      </c>
    </row>
    <row r="377" spans="1:11">
      <c r="A377" t="s">
        <v>1983</v>
      </c>
      <c r="B377">
        <v>202604</v>
      </c>
      <c r="C377" t="s">
        <v>616</v>
      </c>
      <c r="D377">
        <v>5100</v>
      </c>
      <c r="E377" t="s">
        <v>1602</v>
      </c>
      <c r="F377" t="s">
        <v>982</v>
      </c>
      <c r="G377">
        <v>161346</v>
      </c>
      <c r="H377" t="s">
        <v>1038</v>
      </c>
      <c r="I377" t="s">
        <v>1009</v>
      </c>
      <c r="J377" t="s">
        <v>1603</v>
      </c>
      <c r="K377" t="s">
        <v>1604</v>
      </c>
    </row>
    <row r="378" spans="1:11">
      <c r="A378" t="s">
        <v>1984</v>
      </c>
      <c r="B378">
        <v>202605</v>
      </c>
      <c r="C378" t="s">
        <v>616</v>
      </c>
      <c r="D378">
        <v>5100</v>
      </c>
      <c r="E378" t="s">
        <v>1602</v>
      </c>
      <c r="F378" t="s">
        <v>982</v>
      </c>
      <c r="G378">
        <v>161346</v>
      </c>
      <c r="H378" t="s">
        <v>1038</v>
      </c>
      <c r="I378" t="s">
        <v>1009</v>
      </c>
      <c r="J378" t="s">
        <v>1603</v>
      </c>
      <c r="K378" t="s">
        <v>1604</v>
      </c>
    </row>
    <row r="379" spans="1:11">
      <c r="A379" t="s">
        <v>1985</v>
      </c>
      <c r="B379">
        <v>202606</v>
      </c>
      <c r="C379" t="s">
        <v>616</v>
      </c>
      <c r="D379">
        <v>5100</v>
      </c>
      <c r="E379" t="s">
        <v>1602</v>
      </c>
      <c r="F379" t="s">
        <v>982</v>
      </c>
      <c r="G379">
        <v>161346</v>
      </c>
      <c r="H379" t="s">
        <v>1038</v>
      </c>
      <c r="I379" t="s">
        <v>1009</v>
      </c>
      <c r="J379" t="s">
        <v>1603</v>
      </c>
      <c r="K379" t="s">
        <v>1604</v>
      </c>
    </row>
    <row r="380" spans="1:11">
      <c r="A380" t="s">
        <v>1986</v>
      </c>
      <c r="B380">
        <v>202607</v>
      </c>
      <c r="C380" t="s">
        <v>616</v>
      </c>
      <c r="D380">
        <v>5100</v>
      </c>
      <c r="E380" t="s">
        <v>1602</v>
      </c>
      <c r="F380" t="s">
        <v>982</v>
      </c>
      <c r="G380">
        <v>161346</v>
      </c>
      <c r="H380" t="s">
        <v>1038</v>
      </c>
      <c r="I380" t="s">
        <v>1009</v>
      </c>
      <c r="J380" t="s">
        <v>1603</v>
      </c>
      <c r="K380" t="s">
        <v>1604</v>
      </c>
    </row>
    <row r="381" spans="1:11">
      <c r="A381" t="s">
        <v>1987</v>
      </c>
      <c r="B381">
        <v>202608</v>
      </c>
      <c r="C381" t="s">
        <v>616</v>
      </c>
      <c r="D381">
        <v>5100</v>
      </c>
      <c r="E381" t="s">
        <v>1602</v>
      </c>
      <c r="F381" t="s">
        <v>982</v>
      </c>
      <c r="G381">
        <v>161346</v>
      </c>
      <c r="H381" t="s">
        <v>1038</v>
      </c>
      <c r="I381" t="s">
        <v>1009</v>
      </c>
      <c r="J381" t="s">
        <v>1603</v>
      </c>
      <c r="K381" t="s">
        <v>1604</v>
      </c>
    </row>
    <row r="382" spans="1:11">
      <c r="A382" t="s">
        <v>1988</v>
      </c>
      <c r="B382">
        <v>202609</v>
      </c>
      <c r="C382" t="s">
        <v>616</v>
      </c>
      <c r="D382">
        <v>5100</v>
      </c>
      <c r="E382" t="s">
        <v>1602</v>
      </c>
      <c r="F382" t="s">
        <v>982</v>
      </c>
      <c r="G382">
        <v>161346</v>
      </c>
      <c r="H382" t="s">
        <v>1038</v>
      </c>
      <c r="I382" t="s">
        <v>1009</v>
      </c>
      <c r="J382" t="s">
        <v>1603</v>
      </c>
      <c r="K382" t="s">
        <v>1604</v>
      </c>
    </row>
    <row r="383" spans="1:11">
      <c r="A383" t="s">
        <v>1989</v>
      </c>
      <c r="B383">
        <v>202610</v>
      </c>
      <c r="C383" t="s">
        <v>616</v>
      </c>
      <c r="D383">
        <v>5100</v>
      </c>
      <c r="E383" t="s">
        <v>1614</v>
      </c>
      <c r="F383" t="s">
        <v>985</v>
      </c>
      <c r="G383">
        <v>161346</v>
      </c>
      <c r="H383" t="s">
        <v>1038</v>
      </c>
      <c r="I383" t="s">
        <v>1009</v>
      </c>
      <c r="J383" t="s">
        <v>1603</v>
      </c>
      <c r="K383" t="s">
        <v>1604</v>
      </c>
    </row>
    <row r="384" spans="1:11">
      <c r="A384" t="s">
        <v>1990</v>
      </c>
      <c r="B384">
        <v>202611</v>
      </c>
      <c r="C384" t="s">
        <v>616</v>
      </c>
      <c r="D384">
        <v>5100</v>
      </c>
      <c r="E384" t="s">
        <v>1614</v>
      </c>
      <c r="F384" t="s">
        <v>985</v>
      </c>
      <c r="G384">
        <v>161346</v>
      </c>
      <c r="H384" t="s">
        <v>1038</v>
      </c>
      <c r="I384" t="s">
        <v>1009</v>
      </c>
      <c r="J384" t="s">
        <v>1603</v>
      </c>
      <c r="K384" t="s">
        <v>1604</v>
      </c>
    </row>
    <row r="385" spans="1:11">
      <c r="A385" t="s">
        <v>1991</v>
      </c>
      <c r="B385">
        <v>202612</v>
      </c>
      <c r="C385" t="s">
        <v>616</v>
      </c>
      <c r="D385">
        <v>5100</v>
      </c>
      <c r="E385" t="s">
        <v>1614</v>
      </c>
      <c r="F385" t="s">
        <v>985</v>
      </c>
      <c r="G385">
        <v>161347</v>
      </c>
      <c r="H385" t="s">
        <v>1038</v>
      </c>
      <c r="I385" t="s">
        <v>1009</v>
      </c>
      <c r="J385" t="s">
        <v>1603</v>
      </c>
      <c r="K385" t="s">
        <v>1604</v>
      </c>
    </row>
    <row r="386" spans="1:11">
      <c r="A386" t="s">
        <v>1992</v>
      </c>
      <c r="B386">
        <v>202601</v>
      </c>
      <c r="C386" t="s">
        <v>616</v>
      </c>
      <c r="D386">
        <v>6300</v>
      </c>
      <c r="E386" t="s">
        <v>1602</v>
      </c>
      <c r="F386" t="s">
        <v>982</v>
      </c>
      <c r="G386">
        <v>322692</v>
      </c>
      <c r="H386" t="s">
        <v>1038</v>
      </c>
      <c r="I386" t="s">
        <v>1009</v>
      </c>
      <c r="J386" t="s">
        <v>1603</v>
      </c>
      <c r="K386" t="s">
        <v>1604</v>
      </c>
    </row>
    <row r="387" spans="1:11">
      <c r="A387" t="s">
        <v>1993</v>
      </c>
      <c r="B387">
        <v>202602</v>
      </c>
      <c r="C387" t="s">
        <v>616</v>
      </c>
      <c r="D387">
        <v>6300</v>
      </c>
      <c r="E387" t="s">
        <v>1602</v>
      </c>
      <c r="F387" t="s">
        <v>982</v>
      </c>
      <c r="G387">
        <v>322692</v>
      </c>
      <c r="H387" t="s">
        <v>1038</v>
      </c>
      <c r="I387" t="s">
        <v>1009</v>
      </c>
      <c r="J387" t="s">
        <v>1603</v>
      </c>
      <c r="K387" t="s">
        <v>1604</v>
      </c>
    </row>
    <row r="388" spans="1:11">
      <c r="A388" t="s">
        <v>1994</v>
      </c>
      <c r="B388">
        <v>202603</v>
      </c>
      <c r="C388" t="s">
        <v>616</v>
      </c>
      <c r="D388">
        <v>6300</v>
      </c>
      <c r="E388" t="s">
        <v>1602</v>
      </c>
      <c r="F388" t="s">
        <v>982</v>
      </c>
      <c r="G388">
        <v>322692</v>
      </c>
      <c r="H388" t="s">
        <v>1038</v>
      </c>
      <c r="I388" t="s">
        <v>1009</v>
      </c>
      <c r="J388" t="s">
        <v>1603</v>
      </c>
      <c r="K388" t="s">
        <v>1604</v>
      </c>
    </row>
    <row r="389" spans="1:11">
      <c r="A389" t="s">
        <v>1995</v>
      </c>
      <c r="B389">
        <v>202604</v>
      </c>
      <c r="C389" t="s">
        <v>616</v>
      </c>
      <c r="D389">
        <v>6300</v>
      </c>
      <c r="E389" t="s">
        <v>1602</v>
      </c>
      <c r="F389" t="s">
        <v>982</v>
      </c>
      <c r="G389">
        <v>322692</v>
      </c>
      <c r="H389" t="s">
        <v>1038</v>
      </c>
      <c r="I389" t="s">
        <v>1009</v>
      </c>
      <c r="J389" t="s">
        <v>1603</v>
      </c>
      <c r="K389" t="s">
        <v>1604</v>
      </c>
    </row>
    <row r="390" spans="1:11">
      <c r="A390" t="s">
        <v>1996</v>
      </c>
      <c r="B390">
        <v>202605</v>
      </c>
      <c r="C390" t="s">
        <v>616</v>
      </c>
      <c r="D390">
        <v>6300</v>
      </c>
      <c r="E390" t="s">
        <v>1602</v>
      </c>
      <c r="F390" t="s">
        <v>982</v>
      </c>
      <c r="G390">
        <v>322692</v>
      </c>
      <c r="H390" t="s">
        <v>1038</v>
      </c>
      <c r="I390" t="s">
        <v>1009</v>
      </c>
      <c r="J390" t="s">
        <v>1603</v>
      </c>
      <c r="K390" t="s">
        <v>1604</v>
      </c>
    </row>
    <row r="391" spans="1:11">
      <c r="A391" t="s">
        <v>1997</v>
      </c>
      <c r="B391">
        <v>202606</v>
      </c>
      <c r="C391" t="s">
        <v>616</v>
      </c>
      <c r="D391">
        <v>6300</v>
      </c>
      <c r="E391" t="s">
        <v>1602</v>
      </c>
      <c r="F391" t="s">
        <v>982</v>
      </c>
      <c r="G391">
        <v>322692</v>
      </c>
      <c r="H391" t="s">
        <v>1038</v>
      </c>
      <c r="I391" t="s">
        <v>1009</v>
      </c>
      <c r="J391" t="s">
        <v>1603</v>
      </c>
      <c r="K391" t="s">
        <v>1604</v>
      </c>
    </row>
    <row r="392" spans="1:11">
      <c r="A392" t="s">
        <v>1998</v>
      </c>
      <c r="B392">
        <v>202607</v>
      </c>
      <c r="C392" t="s">
        <v>616</v>
      </c>
      <c r="D392">
        <v>6300</v>
      </c>
      <c r="E392" t="s">
        <v>1602</v>
      </c>
      <c r="F392" t="s">
        <v>982</v>
      </c>
      <c r="G392">
        <v>322692</v>
      </c>
      <c r="H392" t="s">
        <v>1038</v>
      </c>
      <c r="I392" t="s">
        <v>1009</v>
      </c>
      <c r="J392" t="s">
        <v>1603</v>
      </c>
      <c r="K392" t="s">
        <v>1604</v>
      </c>
    </row>
    <row r="393" spans="1:11">
      <c r="A393" t="s">
        <v>1999</v>
      </c>
      <c r="B393">
        <v>202608</v>
      </c>
      <c r="C393" t="s">
        <v>616</v>
      </c>
      <c r="D393">
        <v>6300</v>
      </c>
      <c r="E393" t="s">
        <v>1602</v>
      </c>
      <c r="F393" t="s">
        <v>982</v>
      </c>
      <c r="G393">
        <v>322692</v>
      </c>
      <c r="H393" t="s">
        <v>1038</v>
      </c>
      <c r="I393" t="s">
        <v>1009</v>
      </c>
      <c r="J393" t="s">
        <v>1603</v>
      </c>
      <c r="K393" t="s">
        <v>1604</v>
      </c>
    </row>
    <row r="394" spans="1:11">
      <c r="A394" t="s">
        <v>2000</v>
      </c>
      <c r="B394">
        <v>202609</v>
      </c>
      <c r="C394" t="s">
        <v>616</v>
      </c>
      <c r="D394">
        <v>6300</v>
      </c>
      <c r="E394" t="s">
        <v>1602</v>
      </c>
      <c r="F394" t="s">
        <v>982</v>
      </c>
      <c r="G394">
        <v>322692</v>
      </c>
      <c r="H394" t="s">
        <v>1038</v>
      </c>
      <c r="I394" t="s">
        <v>1009</v>
      </c>
      <c r="J394" t="s">
        <v>1603</v>
      </c>
      <c r="K394" t="s">
        <v>1604</v>
      </c>
    </row>
    <row r="395" spans="1:11">
      <c r="A395" t="s">
        <v>2001</v>
      </c>
      <c r="B395">
        <v>202610</v>
      </c>
      <c r="C395" t="s">
        <v>616</v>
      </c>
      <c r="D395">
        <v>6300</v>
      </c>
      <c r="E395" t="s">
        <v>1614</v>
      </c>
      <c r="F395" t="s">
        <v>985</v>
      </c>
      <c r="G395">
        <v>322692</v>
      </c>
      <c r="H395" t="s">
        <v>1038</v>
      </c>
      <c r="I395" t="s">
        <v>1009</v>
      </c>
      <c r="J395" t="s">
        <v>1603</v>
      </c>
      <c r="K395" t="s">
        <v>1604</v>
      </c>
    </row>
    <row r="396" spans="1:11">
      <c r="A396" t="s">
        <v>2002</v>
      </c>
      <c r="B396">
        <v>202611</v>
      </c>
      <c r="C396" t="s">
        <v>616</v>
      </c>
      <c r="D396">
        <v>6300</v>
      </c>
      <c r="E396" t="s">
        <v>1614</v>
      </c>
      <c r="F396" t="s">
        <v>985</v>
      </c>
      <c r="G396">
        <v>322692</v>
      </c>
      <c r="H396" t="s">
        <v>1038</v>
      </c>
      <c r="I396" t="s">
        <v>1009</v>
      </c>
      <c r="J396" t="s">
        <v>1603</v>
      </c>
      <c r="K396" t="s">
        <v>1604</v>
      </c>
    </row>
    <row r="397" spans="1:11">
      <c r="A397" t="s">
        <v>2003</v>
      </c>
      <c r="B397">
        <v>202612</v>
      </c>
      <c r="C397" t="s">
        <v>616</v>
      </c>
      <c r="D397">
        <v>6300</v>
      </c>
      <c r="E397" t="s">
        <v>1614</v>
      </c>
      <c r="F397" t="s">
        <v>985</v>
      </c>
      <c r="G397">
        <v>322694</v>
      </c>
      <c r="H397" t="s">
        <v>1038</v>
      </c>
      <c r="I397" t="s">
        <v>1009</v>
      </c>
      <c r="J397" t="s">
        <v>1603</v>
      </c>
      <c r="K397" t="s">
        <v>1604</v>
      </c>
    </row>
    <row r="398" spans="1:11">
      <c r="A398" t="s">
        <v>2004</v>
      </c>
      <c r="B398">
        <v>202601</v>
      </c>
      <c r="C398" t="s">
        <v>616</v>
      </c>
      <c r="D398">
        <v>6550</v>
      </c>
      <c r="E398" t="s">
        <v>1602</v>
      </c>
      <c r="F398" t="s">
        <v>982</v>
      </c>
      <c r="G398">
        <v>121009</v>
      </c>
      <c r="H398" t="s">
        <v>1038</v>
      </c>
      <c r="I398" t="s">
        <v>1009</v>
      </c>
      <c r="J398" t="s">
        <v>1603</v>
      </c>
      <c r="K398" t="s">
        <v>1604</v>
      </c>
    </row>
    <row r="399" spans="1:11">
      <c r="A399" t="s">
        <v>2005</v>
      </c>
      <c r="B399">
        <v>202602</v>
      </c>
      <c r="C399" t="s">
        <v>616</v>
      </c>
      <c r="D399">
        <v>6550</v>
      </c>
      <c r="E399" t="s">
        <v>1602</v>
      </c>
      <c r="F399" t="s">
        <v>982</v>
      </c>
      <c r="G399">
        <v>121009</v>
      </c>
      <c r="H399" t="s">
        <v>1038</v>
      </c>
      <c r="I399" t="s">
        <v>1009</v>
      </c>
      <c r="J399" t="s">
        <v>1603</v>
      </c>
      <c r="K399" t="s">
        <v>1604</v>
      </c>
    </row>
    <row r="400" spans="1:11">
      <c r="A400" t="s">
        <v>2006</v>
      </c>
      <c r="B400">
        <v>202603</v>
      </c>
      <c r="C400" t="s">
        <v>616</v>
      </c>
      <c r="D400">
        <v>6550</v>
      </c>
      <c r="E400" t="s">
        <v>1602</v>
      </c>
      <c r="F400" t="s">
        <v>982</v>
      </c>
      <c r="G400">
        <v>121009</v>
      </c>
      <c r="H400" t="s">
        <v>1038</v>
      </c>
      <c r="I400" t="s">
        <v>1009</v>
      </c>
      <c r="J400" t="s">
        <v>1603</v>
      </c>
      <c r="K400" t="s">
        <v>1604</v>
      </c>
    </row>
    <row r="401" spans="1:11">
      <c r="A401" t="s">
        <v>2007</v>
      </c>
      <c r="B401">
        <v>202604</v>
      </c>
      <c r="C401" t="s">
        <v>616</v>
      </c>
      <c r="D401">
        <v>6550</v>
      </c>
      <c r="E401" t="s">
        <v>1602</v>
      </c>
      <c r="F401" t="s">
        <v>982</v>
      </c>
      <c r="G401">
        <v>121009</v>
      </c>
      <c r="H401" t="s">
        <v>1038</v>
      </c>
      <c r="I401" t="s">
        <v>1009</v>
      </c>
      <c r="J401" t="s">
        <v>1603</v>
      </c>
      <c r="K401" t="s">
        <v>1604</v>
      </c>
    </row>
    <row r="402" spans="1:11">
      <c r="A402" t="s">
        <v>2008</v>
      </c>
      <c r="B402">
        <v>202605</v>
      </c>
      <c r="C402" t="s">
        <v>616</v>
      </c>
      <c r="D402">
        <v>6550</v>
      </c>
      <c r="E402" t="s">
        <v>1602</v>
      </c>
      <c r="F402" t="s">
        <v>982</v>
      </c>
      <c r="G402">
        <v>121009</v>
      </c>
      <c r="H402" t="s">
        <v>1038</v>
      </c>
      <c r="I402" t="s">
        <v>1009</v>
      </c>
      <c r="J402" t="s">
        <v>1603</v>
      </c>
      <c r="K402" t="s">
        <v>1604</v>
      </c>
    </row>
    <row r="403" spans="1:11">
      <c r="A403" t="s">
        <v>2009</v>
      </c>
      <c r="B403">
        <v>202606</v>
      </c>
      <c r="C403" t="s">
        <v>616</v>
      </c>
      <c r="D403">
        <v>6550</v>
      </c>
      <c r="E403" t="s">
        <v>1602</v>
      </c>
      <c r="F403" t="s">
        <v>982</v>
      </c>
      <c r="G403">
        <v>121009</v>
      </c>
      <c r="H403" t="s">
        <v>1038</v>
      </c>
      <c r="I403" t="s">
        <v>1009</v>
      </c>
      <c r="J403" t="s">
        <v>1603</v>
      </c>
      <c r="K403" t="s">
        <v>1604</v>
      </c>
    </row>
    <row r="404" spans="1:11">
      <c r="A404" t="s">
        <v>2010</v>
      </c>
      <c r="B404">
        <v>202607</v>
      </c>
      <c r="C404" t="s">
        <v>616</v>
      </c>
      <c r="D404">
        <v>6550</v>
      </c>
      <c r="E404" t="s">
        <v>1602</v>
      </c>
      <c r="F404" t="s">
        <v>982</v>
      </c>
      <c r="G404">
        <v>121009</v>
      </c>
      <c r="H404" t="s">
        <v>1038</v>
      </c>
      <c r="I404" t="s">
        <v>1009</v>
      </c>
      <c r="J404" t="s">
        <v>1603</v>
      </c>
      <c r="K404" t="s">
        <v>1604</v>
      </c>
    </row>
    <row r="405" spans="1:11">
      <c r="A405" t="s">
        <v>2011</v>
      </c>
      <c r="B405">
        <v>202608</v>
      </c>
      <c r="C405" t="s">
        <v>616</v>
      </c>
      <c r="D405">
        <v>6550</v>
      </c>
      <c r="E405" t="s">
        <v>1602</v>
      </c>
      <c r="F405" t="s">
        <v>982</v>
      </c>
      <c r="G405">
        <v>121009</v>
      </c>
      <c r="H405" t="s">
        <v>1038</v>
      </c>
      <c r="I405" t="s">
        <v>1009</v>
      </c>
      <c r="J405" t="s">
        <v>1603</v>
      </c>
      <c r="K405" t="s">
        <v>1604</v>
      </c>
    </row>
    <row r="406" spans="1:11">
      <c r="A406" t="s">
        <v>2012</v>
      </c>
      <c r="B406">
        <v>202609</v>
      </c>
      <c r="C406" t="s">
        <v>616</v>
      </c>
      <c r="D406">
        <v>6550</v>
      </c>
      <c r="E406" t="s">
        <v>1602</v>
      </c>
      <c r="F406" t="s">
        <v>982</v>
      </c>
      <c r="G406">
        <v>121009</v>
      </c>
      <c r="H406" t="s">
        <v>1038</v>
      </c>
      <c r="I406" t="s">
        <v>1009</v>
      </c>
      <c r="J406" t="s">
        <v>1603</v>
      </c>
      <c r="K406" t="s">
        <v>1604</v>
      </c>
    </row>
    <row r="407" spans="1:11">
      <c r="A407" t="s">
        <v>2013</v>
      </c>
      <c r="B407">
        <v>202610</v>
      </c>
      <c r="C407" t="s">
        <v>616</v>
      </c>
      <c r="D407">
        <v>6550</v>
      </c>
      <c r="E407" t="s">
        <v>1614</v>
      </c>
      <c r="F407" t="s">
        <v>985</v>
      </c>
      <c r="G407">
        <v>121009</v>
      </c>
      <c r="H407" t="s">
        <v>1038</v>
      </c>
      <c r="I407" t="s">
        <v>1009</v>
      </c>
      <c r="J407" t="s">
        <v>1603</v>
      </c>
      <c r="K407" t="s">
        <v>1604</v>
      </c>
    </row>
    <row r="408" spans="1:11">
      <c r="A408" t="s">
        <v>2014</v>
      </c>
      <c r="B408">
        <v>202611</v>
      </c>
      <c r="C408" t="s">
        <v>616</v>
      </c>
      <c r="D408">
        <v>6550</v>
      </c>
      <c r="E408" t="s">
        <v>1614</v>
      </c>
      <c r="F408" t="s">
        <v>985</v>
      </c>
      <c r="G408">
        <v>121009</v>
      </c>
      <c r="H408" t="s">
        <v>1038</v>
      </c>
      <c r="I408" t="s">
        <v>1009</v>
      </c>
      <c r="J408" t="s">
        <v>1603</v>
      </c>
      <c r="K408" t="s">
        <v>1604</v>
      </c>
    </row>
    <row r="409" spans="1:11">
      <c r="A409" t="s">
        <v>2015</v>
      </c>
      <c r="B409">
        <v>202612</v>
      </c>
      <c r="C409" t="s">
        <v>616</v>
      </c>
      <c r="D409">
        <v>6550</v>
      </c>
      <c r="E409" t="s">
        <v>1614</v>
      </c>
      <c r="F409" t="s">
        <v>985</v>
      </c>
      <c r="G409">
        <v>121016</v>
      </c>
      <c r="H409" t="s">
        <v>1038</v>
      </c>
      <c r="I409" t="s">
        <v>1009</v>
      </c>
      <c r="J409" t="s">
        <v>1603</v>
      </c>
      <c r="K409" t="s">
        <v>1604</v>
      </c>
    </row>
    <row r="410" spans="1:11">
      <c r="A410" t="s">
        <v>2016</v>
      </c>
      <c r="B410">
        <v>202601</v>
      </c>
      <c r="C410" t="s">
        <v>616</v>
      </c>
      <c r="D410">
        <v>6700</v>
      </c>
      <c r="E410" t="s">
        <v>1602</v>
      </c>
      <c r="F410" t="s">
        <v>982</v>
      </c>
      <c r="G410">
        <v>121009</v>
      </c>
      <c r="H410" t="s">
        <v>1038</v>
      </c>
      <c r="I410" t="s">
        <v>1009</v>
      </c>
      <c r="J410" t="s">
        <v>1603</v>
      </c>
      <c r="K410" t="s">
        <v>1604</v>
      </c>
    </row>
    <row r="411" spans="1:11">
      <c r="A411" t="s">
        <v>2017</v>
      </c>
      <c r="B411">
        <v>202602</v>
      </c>
      <c r="C411" t="s">
        <v>616</v>
      </c>
      <c r="D411">
        <v>6700</v>
      </c>
      <c r="E411" t="s">
        <v>1602</v>
      </c>
      <c r="F411" t="s">
        <v>982</v>
      </c>
      <c r="G411">
        <v>121009</v>
      </c>
      <c r="H411" t="s">
        <v>1038</v>
      </c>
      <c r="I411" t="s">
        <v>1009</v>
      </c>
      <c r="J411" t="s">
        <v>1603</v>
      </c>
      <c r="K411" t="s">
        <v>1604</v>
      </c>
    </row>
    <row r="412" spans="1:11">
      <c r="A412" t="s">
        <v>2018</v>
      </c>
      <c r="B412">
        <v>202603</v>
      </c>
      <c r="C412" t="s">
        <v>616</v>
      </c>
      <c r="D412">
        <v>6700</v>
      </c>
      <c r="E412" t="s">
        <v>1602</v>
      </c>
      <c r="F412" t="s">
        <v>982</v>
      </c>
      <c r="G412">
        <v>121009</v>
      </c>
      <c r="H412" t="s">
        <v>1038</v>
      </c>
      <c r="I412" t="s">
        <v>1009</v>
      </c>
      <c r="J412" t="s">
        <v>1603</v>
      </c>
      <c r="K412" t="s">
        <v>1604</v>
      </c>
    </row>
    <row r="413" spans="1:11">
      <c r="A413" t="s">
        <v>2019</v>
      </c>
      <c r="B413">
        <v>202604</v>
      </c>
      <c r="C413" t="s">
        <v>616</v>
      </c>
      <c r="D413">
        <v>6700</v>
      </c>
      <c r="E413" t="s">
        <v>1602</v>
      </c>
      <c r="F413" t="s">
        <v>982</v>
      </c>
      <c r="G413">
        <v>121009</v>
      </c>
      <c r="H413" t="s">
        <v>1038</v>
      </c>
      <c r="I413" t="s">
        <v>1009</v>
      </c>
      <c r="J413" t="s">
        <v>1603</v>
      </c>
      <c r="K413" t="s">
        <v>1604</v>
      </c>
    </row>
    <row r="414" spans="1:11">
      <c r="A414" t="s">
        <v>2020</v>
      </c>
      <c r="B414">
        <v>202605</v>
      </c>
      <c r="C414" t="s">
        <v>616</v>
      </c>
      <c r="D414">
        <v>6700</v>
      </c>
      <c r="E414" t="s">
        <v>1602</v>
      </c>
      <c r="F414" t="s">
        <v>982</v>
      </c>
      <c r="G414">
        <v>121009</v>
      </c>
      <c r="H414" t="s">
        <v>1038</v>
      </c>
      <c r="I414" t="s">
        <v>1009</v>
      </c>
      <c r="J414" t="s">
        <v>1603</v>
      </c>
      <c r="K414" t="s">
        <v>1604</v>
      </c>
    </row>
    <row r="415" spans="1:11">
      <c r="A415" t="s">
        <v>2021</v>
      </c>
      <c r="B415">
        <v>202606</v>
      </c>
      <c r="C415" t="s">
        <v>616</v>
      </c>
      <c r="D415">
        <v>6700</v>
      </c>
      <c r="E415" t="s">
        <v>1602</v>
      </c>
      <c r="F415" t="s">
        <v>982</v>
      </c>
      <c r="G415">
        <v>121009</v>
      </c>
      <c r="H415" t="s">
        <v>1038</v>
      </c>
      <c r="I415" t="s">
        <v>1009</v>
      </c>
      <c r="J415" t="s">
        <v>1603</v>
      </c>
      <c r="K415" t="s">
        <v>1604</v>
      </c>
    </row>
    <row r="416" spans="1:11">
      <c r="A416" t="s">
        <v>2022</v>
      </c>
      <c r="B416">
        <v>202607</v>
      </c>
      <c r="C416" t="s">
        <v>616</v>
      </c>
      <c r="D416">
        <v>6700</v>
      </c>
      <c r="E416" t="s">
        <v>1602</v>
      </c>
      <c r="F416" t="s">
        <v>982</v>
      </c>
      <c r="G416">
        <v>121009</v>
      </c>
      <c r="H416" t="s">
        <v>1038</v>
      </c>
      <c r="I416" t="s">
        <v>1009</v>
      </c>
      <c r="J416" t="s">
        <v>1603</v>
      </c>
      <c r="K416" t="s">
        <v>1604</v>
      </c>
    </row>
    <row r="417" spans="1:11">
      <c r="A417" t="s">
        <v>2023</v>
      </c>
      <c r="B417">
        <v>202608</v>
      </c>
      <c r="C417" t="s">
        <v>616</v>
      </c>
      <c r="D417">
        <v>6700</v>
      </c>
      <c r="E417" t="s">
        <v>1602</v>
      </c>
      <c r="F417" t="s">
        <v>982</v>
      </c>
      <c r="G417">
        <v>121009</v>
      </c>
      <c r="H417" t="s">
        <v>1038</v>
      </c>
      <c r="I417" t="s">
        <v>1009</v>
      </c>
      <c r="J417" t="s">
        <v>1603</v>
      </c>
      <c r="K417" t="s">
        <v>1604</v>
      </c>
    </row>
    <row r="418" spans="1:11">
      <c r="A418" t="s">
        <v>2024</v>
      </c>
      <c r="B418">
        <v>202609</v>
      </c>
      <c r="C418" t="s">
        <v>616</v>
      </c>
      <c r="D418">
        <v>6700</v>
      </c>
      <c r="E418" t="s">
        <v>1602</v>
      </c>
      <c r="F418" t="s">
        <v>982</v>
      </c>
      <c r="G418">
        <v>121009</v>
      </c>
      <c r="H418" t="s">
        <v>1038</v>
      </c>
      <c r="I418" t="s">
        <v>1009</v>
      </c>
      <c r="J418" t="s">
        <v>1603</v>
      </c>
      <c r="K418" t="s">
        <v>1604</v>
      </c>
    </row>
    <row r="419" spans="1:11">
      <c r="A419" t="s">
        <v>2025</v>
      </c>
      <c r="B419">
        <v>202610</v>
      </c>
      <c r="C419" t="s">
        <v>616</v>
      </c>
      <c r="D419">
        <v>6700</v>
      </c>
      <c r="E419" t="s">
        <v>1614</v>
      </c>
      <c r="F419" t="s">
        <v>985</v>
      </c>
      <c r="G419">
        <v>121009</v>
      </c>
      <c r="H419" t="s">
        <v>1038</v>
      </c>
      <c r="I419" t="s">
        <v>1009</v>
      </c>
      <c r="J419" t="s">
        <v>1603</v>
      </c>
      <c r="K419" t="s">
        <v>1604</v>
      </c>
    </row>
    <row r="420" spans="1:11">
      <c r="A420" t="s">
        <v>2026</v>
      </c>
      <c r="B420">
        <v>202611</v>
      </c>
      <c r="C420" t="s">
        <v>616</v>
      </c>
      <c r="D420">
        <v>6700</v>
      </c>
      <c r="E420" t="s">
        <v>1614</v>
      </c>
      <c r="F420" t="s">
        <v>985</v>
      </c>
      <c r="G420">
        <v>121009</v>
      </c>
      <c r="H420" t="s">
        <v>1038</v>
      </c>
      <c r="I420" t="s">
        <v>1009</v>
      </c>
      <c r="J420" t="s">
        <v>1603</v>
      </c>
      <c r="K420" t="s">
        <v>1604</v>
      </c>
    </row>
    <row r="421" spans="1:11">
      <c r="A421" t="s">
        <v>2027</v>
      </c>
      <c r="B421">
        <v>202612</v>
      </c>
      <c r="C421" t="s">
        <v>616</v>
      </c>
      <c r="D421">
        <v>6700</v>
      </c>
      <c r="E421" t="s">
        <v>1614</v>
      </c>
      <c r="F421" t="s">
        <v>985</v>
      </c>
      <c r="G421">
        <v>121016</v>
      </c>
      <c r="H421" t="s">
        <v>1038</v>
      </c>
      <c r="I421" t="s">
        <v>1009</v>
      </c>
      <c r="J421" t="s">
        <v>1603</v>
      </c>
      <c r="K421" t="s">
        <v>1604</v>
      </c>
    </row>
    <row r="422" spans="1:11">
      <c r="A422" t="s">
        <v>2028</v>
      </c>
      <c r="B422">
        <v>202601</v>
      </c>
      <c r="C422" t="s">
        <v>616</v>
      </c>
      <c r="D422">
        <v>7130</v>
      </c>
      <c r="E422" t="s">
        <v>1602</v>
      </c>
      <c r="F422" t="s">
        <v>982</v>
      </c>
      <c r="G422">
        <v>121009</v>
      </c>
      <c r="H422" t="s">
        <v>1038</v>
      </c>
      <c r="I422" t="s">
        <v>1009</v>
      </c>
      <c r="J422" t="s">
        <v>1603</v>
      </c>
      <c r="K422" t="s">
        <v>1604</v>
      </c>
    </row>
    <row r="423" spans="1:11">
      <c r="A423" t="s">
        <v>2029</v>
      </c>
      <c r="B423">
        <v>202602</v>
      </c>
      <c r="C423" t="s">
        <v>616</v>
      </c>
      <c r="D423">
        <v>7130</v>
      </c>
      <c r="E423" t="s">
        <v>1602</v>
      </c>
      <c r="F423" t="s">
        <v>982</v>
      </c>
      <c r="G423">
        <v>121009</v>
      </c>
      <c r="H423" t="s">
        <v>1038</v>
      </c>
      <c r="I423" t="s">
        <v>1009</v>
      </c>
      <c r="J423" t="s">
        <v>1603</v>
      </c>
      <c r="K423" t="s">
        <v>1604</v>
      </c>
    </row>
    <row r="424" spans="1:11">
      <c r="A424" t="s">
        <v>2030</v>
      </c>
      <c r="B424">
        <v>202603</v>
      </c>
      <c r="C424" t="s">
        <v>616</v>
      </c>
      <c r="D424">
        <v>7130</v>
      </c>
      <c r="E424" t="s">
        <v>1602</v>
      </c>
      <c r="F424" t="s">
        <v>982</v>
      </c>
      <c r="G424">
        <v>121009</v>
      </c>
      <c r="H424" t="s">
        <v>1038</v>
      </c>
      <c r="I424" t="s">
        <v>1009</v>
      </c>
      <c r="J424" t="s">
        <v>1603</v>
      </c>
      <c r="K424" t="s">
        <v>1604</v>
      </c>
    </row>
    <row r="425" spans="1:11">
      <c r="A425" t="s">
        <v>2031</v>
      </c>
      <c r="B425">
        <v>202604</v>
      </c>
      <c r="C425" t="s">
        <v>616</v>
      </c>
      <c r="D425">
        <v>7130</v>
      </c>
      <c r="E425" t="s">
        <v>1602</v>
      </c>
      <c r="F425" t="s">
        <v>982</v>
      </c>
      <c r="G425">
        <v>121009</v>
      </c>
      <c r="H425" t="s">
        <v>1038</v>
      </c>
      <c r="I425" t="s">
        <v>1009</v>
      </c>
      <c r="J425" t="s">
        <v>1603</v>
      </c>
      <c r="K425" t="s">
        <v>1604</v>
      </c>
    </row>
    <row r="426" spans="1:11">
      <c r="A426" t="s">
        <v>2032</v>
      </c>
      <c r="B426">
        <v>202605</v>
      </c>
      <c r="C426" t="s">
        <v>616</v>
      </c>
      <c r="D426">
        <v>7130</v>
      </c>
      <c r="E426" t="s">
        <v>1602</v>
      </c>
      <c r="F426" t="s">
        <v>982</v>
      </c>
      <c r="G426">
        <v>121009</v>
      </c>
      <c r="H426" t="s">
        <v>1038</v>
      </c>
      <c r="I426" t="s">
        <v>1009</v>
      </c>
      <c r="J426" t="s">
        <v>1603</v>
      </c>
      <c r="K426" t="s">
        <v>1604</v>
      </c>
    </row>
    <row r="427" spans="1:11">
      <c r="A427" t="s">
        <v>2033</v>
      </c>
      <c r="B427">
        <v>202606</v>
      </c>
      <c r="C427" t="s">
        <v>616</v>
      </c>
      <c r="D427">
        <v>7130</v>
      </c>
      <c r="E427" t="s">
        <v>1602</v>
      </c>
      <c r="F427" t="s">
        <v>982</v>
      </c>
      <c r="G427">
        <v>121009</v>
      </c>
      <c r="H427" t="s">
        <v>1038</v>
      </c>
      <c r="I427" t="s">
        <v>1009</v>
      </c>
      <c r="J427" t="s">
        <v>1603</v>
      </c>
      <c r="K427" t="s">
        <v>1604</v>
      </c>
    </row>
    <row r="428" spans="1:11">
      <c r="A428" t="s">
        <v>2034</v>
      </c>
      <c r="B428">
        <v>202607</v>
      </c>
      <c r="C428" t="s">
        <v>616</v>
      </c>
      <c r="D428">
        <v>7130</v>
      </c>
      <c r="E428" t="s">
        <v>1602</v>
      </c>
      <c r="F428" t="s">
        <v>982</v>
      </c>
      <c r="G428">
        <v>121009</v>
      </c>
      <c r="H428" t="s">
        <v>1038</v>
      </c>
      <c r="I428" t="s">
        <v>1009</v>
      </c>
      <c r="J428" t="s">
        <v>1603</v>
      </c>
      <c r="K428" t="s">
        <v>1604</v>
      </c>
    </row>
    <row r="429" spans="1:11">
      <c r="A429" t="s">
        <v>2035</v>
      </c>
      <c r="B429">
        <v>202608</v>
      </c>
      <c r="C429" t="s">
        <v>616</v>
      </c>
      <c r="D429">
        <v>7130</v>
      </c>
      <c r="E429" t="s">
        <v>1602</v>
      </c>
      <c r="F429" t="s">
        <v>982</v>
      </c>
      <c r="G429">
        <v>121009</v>
      </c>
      <c r="H429" t="s">
        <v>1038</v>
      </c>
      <c r="I429" t="s">
        <v>1009</v>
      </c>
      <c r="J429" t="s">
        <v>1603</v>
      </c>
      <c r="K429" t="s">
        <v>1604</v>
      </c>
    </row>
    <row r="430" spans="1:11">
      <c r="A430" t="s">
        <v>2036</v>
      </c>
      <c r="B430">
        <v>202609</v>
      </c>
      <c r="C430" t="s">
        <v>616</v>
      </c>
      <c r="D430">
        <v>7130</v>
      </c>
      <c r="E430" t="s">
        <v>1602</v>
      </c>
      <c r="F430" t="s">
        <v>982</v>
      </c>
      <c r="G430">
        <v>121009</v>
      </c>
      <c r="H430" t="s">
        <v>1038</v>
      </c>
      <c r="I430" t="s">
        <v>1009</v>
      </c>
      <c r="J430" t="s">
        <v>1603</v>
      </c>
      <c r="K430" t="s">
        <v>1604</v>
      </c>
    </row>
    <row r="431" spans="1:11">
      <c r="A431" t="s">
        <v>2037</v>
      </c>
      <c r="B431">
        <v>202610</v>
      </c>
      <c r="C431" t="s">
        <v>616</v>
      </c>
      <c r="D431">
        <v>7130</v>
      </c>
      <c r="E431" t="s">
        <v>1614</v>
      </c>
      <c r="F431" t="s">
        <v>985</v>
      </c>
      <c r="G431">
        <v>121009</v>
      </c>
      <c r="H431" t="s">
        <v>1038</v>
      </c>
      <c r="I431" t="s">
        <v>1009</v>
      </c>
      <c r="J431" t="s">
        <v>1603</v>
      </c>
      <c r="K431" t="s">
        <v>1604</v>
      </c>
    </row>
    <row r="432" spans="1:11">
      <c r="A432" t="s">
        <v>2038</v>
      </c>
      <c r="B432">
        <v>202611</v>
      </c>
      <c r="C432" t="s">
        <v>616</v>
      </c>
      <c r="D432">
        <v>7130</v>
      </c>
      <c r="E432" t="s">
        <v>1614</v>
      </c>
      <c r="F432" t="s">
        <v>985</v>
      </c>
      <c r="G432">
        <v>121009</v>
      </c>
      <c r="H432" t="s">
        <v>1038</v>
      </c>
      <c r="I432" t="s">
        <v>1009</v>
      </c>
      <c r="J432" t="s">
        <v>1603</v>
      </c>
      <c r="K432" t="s">
        <v>1604</v>
      </c>
    </row>
    <row r="433" spans="1:11">
      <c r="A433" t="s">
        <v>2039</v>
      </c>
      <c r="B433">
        <v>202612</v>
      </c>
      <c r="C433" t="s">
        <v>616</v>
      </c>
      <c r="D433">
        <v>7130</v>
      </c>
      <c r="E433" t="s">
        <v>1614</v>
      </c>
      <c r="F433" t="s">
        <v>985</v>
      </c>
      <c r="G433">
        <v>121015</v>
      </c>
      <c r="H433" t="s">
        <v>1038</v>
      </c>
      <c r="I433" t="s">
        <v>1009</v>
      </c>
      <c r="J433" t="s">
        <v>1603</v>
      </c>
      <c r="K433" t="s">
        <v>1604</v>
      </c>
    </row>
    <row r="434" spans="1:11">
      <c r="A434" t="s">
        <v>2040</v>
      </c>
      <c r="B434">
        <v>202609</v>
      </c>
      <c r="C434" t="s">
        <v>606</v>
      </c>
      <c r="D434">
        <v>7790</v>
      </c>
      <c r="E434" t="s">
        <v>1602</v>
      </c>
      <c r="F434" t="s">
        <v>982</v>
      </c>
      <c r="G434">
        <v>350000</v>
      </c>
      <c r="H434" t="s">
        <v>1042</v>
      </c>
      <c r="I434" t="s">
        <v>1005</v>
      </c>
      <c r="J434" t="s">
        <v>2041</v>
      </c>
      <c r="K434" t="s">
        <v>2042</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7BF8F-2D38-43FD-BC5A-D406B2891A24}">
  <dimension ref="A1:E40"/>
  <sheetViews>
    <sheetView workbookViewId="0">
      <selection sqref="A1:E148"/>
    </sheetView>
  </sheetViews>
  <sheetFormatPr defaultRowHeight="14.5"/>
  <cols>
    <col min="1" max="1" width="28.1796875" customWidth="1"/>
    <col min="2" max="2" width="32.7265625" customWidth="1"/>
    <col min="3" max="4" width="17.26953125" customWidth="1"/>
    <col min="5" max="5" width="76.36328125" customWidth="1"/>
  </cols>
  <sheetData>
    <row r="1" spans="1:5" ht="23.5">
      <c r="A1" s="54" t="s">
        <v>2044</v>
      </c>
      <c r="B1" s="54"/>
      <c r="C1" s="54"/>
      <c r="D1" s="54"/>
      <c r="E1" s="54"/>
    </row>
    <row r="2" spans="1:5">
      <c r="A2" s="55" t="s">
        <v>2045</v>
      </c>
      <c r="B2" s="55"/>
      <c r="C2" s="55"/>
      <c r="D2" s="55"/>
      <c r="E2" s="55"/>
    </row>
    <row r="4" spans="1:5">
      <c r="A4" t="s">
        <v>2046</v>
      </c>
      <c r="B4" t="s">
        <v>2047</v>
      </c>
      <c r="C4" t="s">
        <v>2048</v>
      </c>
      <c r="D4" t="s">
        <v>977</v>
      </c>
      <c r="E4" t="s">
        <v>2049</v>
      </c>
    </row>
    <row r="5" spans="1:5" ht="29">
      <c r="A5" t="s">
        <v>2050</v>
      </c>
      <c r="B5" t="s">
        <v>2051</v>
      </c>
      <c r="C5" t="s">
        <v>1170</v>
      </c>
      <c r="D5" t="s">
        <v>2052</v>
      </c>
      <c r="E5" s="52" t="s">
        <v>2053</v>
      </c>
    </row>
    <row r="6" spans="1:5" ht="29">
      <c r="A6" t="s">
        <v>2050</v>
      </c>
      <c r="B6" t="s">
        <v>2054</v>
      </c>
      <c r="C6" t="s">
        <v>1170</v>
      </c>
      <c r="D6" t="s">
        <v>2052</v>
      </c>
      <c r="E6" s="52" t="s">
        <v>2055</v>
      </c>
    </row>
    <row r="7" spans="1:5">
      <c r="A7" t="s">
        <v>2050</v>
      </c>
      <c r="B7" t="s">
        <v>2056</v>
      </c>
      <c r="C7" t="s">
        <v>1170</v>
      </c>
      <c r="D7" t="s">
        <v>2052</v>
      </c>
      <c r="E7" s="52" t="s">
        <v>2057</v>
      </c>
    </row>
    <row r="8" spans="1:5">
      <c r="A8" t="s">
        <v>2050</v>
      </c>
      <c r="B8" t="s">
        <v>2058</v>
      </c>
      <c r="C8" s="53">
        <v>0</v>
      </c>
      <c r="D8" t="s">
        <v>2052</v>
      </c>
      <c r="E8" s="52" t="s">
        <v>2059</v>
      </c>
    </row>
    <row r="9" spans="1:5" ht="72.5">
      <c r="A9" t="s">
        <v>2050</v>
      </c>
      <c r="B9" t="s">
        <v>2060</v>
      </c>
      <c r="C9" t="s">
        <v>1170</v>
      </c>
      <c r="D9" t="s">
        <v>2052</v>
      </c>
      <c r="E9" s="52" t="s">
        <v>2061</v>
      </c>
    </row>
    <row r="10" spans="1:5" ht="29">
      <c r="A10" t="s">
        <v>2062</v>
      </c>
      <c r="B10" t="s">
        <v>2063</v>
      </c>
      <c r="C10" t="s">
        <v>1170</v>
      </c>
      <c r="D10" t="s">
        <v>2052</v>
      </c>
      <c r="E10" s="52" t="s">
        <v>2064</v>
      </c>
    </row>
    <row r="11" spans="1:5">
      <c r="A11" t="s">
        <v>2062</v>
      </c>
      <c r="B11" t="s">
        <v>2065</v>
      </c>
      <c r="C11" t="s">
        <v>1170</v>
      </c>
      <c r="D11" t="s">
        <v>2052</v>
      </c>
      <c r="E11" s="52" t="s">
        <v>2066</v>
      </c>
    </row>
    <row r="12" spans="1:5">
      <c r="A12" t="s">
        <v>2062</v>
      </c>
      <c r="B12" t="s">
        <v>2067</v>
      </c>
      <c r="C12" t="s">
        <v>1170</v>
      </c>
      <c r="D12" t="s">
        <v>2052</v>
      </c>
      <c r="E12" s="52" t="s">
        <v>2068</v>
      </c>
    </row>
    <row r="13" spans="1:5">
      <c r="A13" t="s">
        <v>2062</v>
      </c>
      <c r="B13" t="s">
        <v>2069</v>
      </c>
      <c r="C13" t="s">
        <v>1170</v>
      </c>
      <c r="D13" t="s">
        <v>2052</v>
      </c>
      <c r="E13" s="52" t="s">
        <v>2070</v>
      </c>
    </row>
    <row r="14" spans="1:5">
      <c r="A14" t="s">
        <v>2062</v>
      </c>
      <c r="B14" t="s">
        <v>2071</v>
      </c>
      <c r="C14" s="53">
        <v>0</v>
      </c>
      <c r="D14" t="s">
        <v>2052</v>
      </c>
      <c r="E14" s="52" t="s">
        <v>2072</v>
      </c>
    </row>
    <row r="15" spans="1:5">
      <c r="A15" t="s">
        <v>2073</v>
      </c>
      <c r="B15" t="s">
        <v>2074</v>
      </c>
      <c r="C15" t="s">
        <v>1170</v>
      </c>
      <c r="D15" t="s">
        <v>2052</v>
      </c>
      <c r="E15" s="52" t="s">
        <v>2075</v>
      </c>
    </row>
    <row r="16" spans="1:5">
      <c r="A16" t="s">
        <v>2073</v>
      </c>
      <c r="B16" t="s">
        <v>2076</v>
      </c>
      <c r="C16" t="s">
        <v>1170</v>
      </c>
      <c r="D16" t="s">
        <v>2052</v>
      </c>
      <c r="E16" s="52" t="s">
        <v>2077</v>
      </c>
    </row>
    <row r="17" spans="1:5">
      <c r="A17" t="s">
        <v>2073</v>
      </c>
      <c r="B17" t="s">
        <v>2078</v>
      </c>
      <c r="C17" t="s">
        <v>1170</v>
      </c>
      <c r="D17" t="s">
        <v>2052</v>
      </c>
      <c r="E17" s="52" t="s">
        <v>2079</v>
      </c>
    </row>
    <row r="18" spans="1:5">
      <c r="A18" t="s">
        <v>2073</v>
      </c>
      <c r="B18" t="s">
        <v>2080</v>
      </c>
      <c r="C18" s="53">
        <v>0</v>
      </c>
      <c r="D18" t="s">
        <v>2052</v>
      </c>
      <c r="E18" s="52" t="s">
        <v>2081</v>
      </c>
    </row>
    <row r="19" spans="1:5">
      <c r="A19" t="s">
        <v>2073</v>
      </c>
      <c r="B19" t="s">
        <v>2082</v>
      </c>
      <c r="C19" t="s">
        <v>1170</v>
      </c>
      <c r="D19" t="s">
        <v>2083</v>
      </c>
      <c r="E19" s="52" t="s">
        <v>2084</v>
      </c>
    </row>
    <row r="20" spans="1:5">
      <c r="A20" t="s">
        <v>2085</v>
      </c>
      <c r="B20" t="s">
        <v>2086</v>
      </c>
      <c r="C20" t="s">
        <v>1170</v>
      </c>
      <c r="D20" t="s">
        <v>2052</v>
      </c>
      <c r="E20" s="52" t="s">
        <v>2087</v>
      </c>
    </row>
    <row r="21" spans="1:5">
      <c r="A21" t="s">
        <v>2085</v>
      </c>
      <c r="B21" t="s">
        <v>2088</v>
      </c>
      <c r="C21" t="s">
        <v>1170</v>
      </c>
      <c r="D21" t="s">
        <v>2052</v>
      </c>
      <c r="E21" s="52" t="s">
        <v>2089</v>
      </c>
    </row>
    <row r="22" spans="1:5">
      <c r="A22" t="s">
        <v>2085</v>
      </c>
      <c r="B22" t="s">
        <v>2090</v>
      </c>
      <c r="C22" t="s">
        <v>1170</v>
      </c>
      <c r="D22" t="s">
        <v>2052</v>
      </c>
      <c r="E22" s="52" t="s">
        <v>2091</v>
      </c>
    </row>
    <row r="23" spans="1:5">
      <c r="A23" t="s">
        <v>2085</v>
      </c>
      <c r="B23" t="s">
        <v>2092</v>
      </c>
      <c r="C23">
        <v>0</v>
      </c>
      <c r="D23" t="s">
        <v>2052</v>
      </c>
      <c r="E23" s="52" t="s">
        <v>2093</v>
      </c>
    </row>
    <row r="24" spans="1:5">
      <c r="A24" t="s">
        <v>2085</v>
      </c>
      <c r="B24" t="s">
        <v>2094</v>
      </c>
      <c r="C24">
        <v>0</v>
      </c>
      <c r="D24" t="s">
        <v>2052</v>
      </c>
      <c r="E24" s="52" t="s">
        <v>2095</v>
      </c>
    </row>
    <row r="25" spans="1:5" ht="43.5">
      <c r="A25" t="s">
        <v>2096</v>
      </c>
      <c r="B25" t="s">
        <v>2097</v>
      </c>
      <c r="C25">
        <v>0</v>
      </c>
      <c r="D25" t="s">
        <v>2052</v>
      </c>
      <c r="E25" s="52" t="s">
        <v>2098</v>
      </c>
    </row>
    <row r="26" spans="1:5" ht="43.5">
      <c r="A26" t="s">
        <v>2096</v>
      </c>
      <c r="B26" t="s">
        <v>2099</v>
      </c>
      <c r="C26">
        <v>0</v>
      </c>
      <c r="D26" t="s">
        <v>2052</v>
      </c>
      <c r="E26" s="52" t="s">
        <v>2100</v>
      </c>
    </row>
    <row r="27" spans="1:5" ht="43.5">
      <c r="A27" t="s">
        <v>2096</v>
      </c>
      <c r="B27" t="s">
        <v>2101</v>
      </c>
      <c r="C27">
        <v>0</v>
      </c>
      <c r="D27" t="s">
        <v>2052</v>
      </c>
      <c r="E27" s="52" t="s">
        <v>2102</v>
      </c>
    </row>
    <row r="28" spans="1:5">
      <c r="A28" t="s">
        <v>2096</v>
      </c>
      <c r="B28" t="s">
        <v>2103</v>
      </c>
      <c r="C28" s="53">
        <v>0</v>
      </c>
      <c r="D28" t="s">
        <v>2052</v>
      </c>
      <c r="E28" s="52" t="s">
        <v>2104</v>
      </c>
    </row>
    <row r="29" spans="1:5" ht="58">
      <c r="A29" t="s">
        <v>2096</v>
      </c>
      <c r="B29" t="s">
        <v>2105</v>
      </c>
      <c r="C29" s="53">
        <v>0</v>
      </c>
      <c r="D29" t="s">
        <v>2052</v>
      </c>
      <c r="E29" s="52" t="s">
        <v>2106</v>
      </c>
    </row>
    <row r="30" spans="1:5" ht="58">
      <c r="A30" t="s">
        <v>2107</v>
      </c>
      <c r="B30" t="s">
        <v>2108</v>
      </c>
      <c r="C30">
        <v>0</v>
      </c>
      <c r="D30" t="s">
        <v>2052</v>
      </c>
      <c r="E30" s="52" t="s">
        <v>2109</v>
      </c>
    </row>
    <row r="31" spans="1:5" ht="58">
      <c r="A31" t="s">
        <v>2107</v>
      </c>
      <c r="B31" t="s">
        <v>2110</v>
      </c>
      <c r="C31">
        <v>0</v>
      </c>
      <c r="D31" t="s">
        <v>2052</v>
      </c>
      <c r="E31" s="52" t="s">
        <v>2111</v>
      </c>
    </row>
    <row r="32" spans="1:5" ht="58">
      <c r="A32" t="s">
        <v>2107</v>
      </c>
      <c r="B32" t="s">
        <v>2112</v>
      </c>
      <c r="C32" t="s">
        <v>1170</v>
      </c>
      <c r="D32" t="s">
        <v>2052</v>
      </c>
      <c r="E32" s="52" t="s">
        <v>2113</v>
      </c>
    </row>
    <row r="33" spans="1:5">
      <c r="A33" t="s">
        <v>2114</v>
      </c>
      <c r="B33" t="s">
        <v>2115</v>
      </c>
      <c r="C33" t="s">
        <v>1170</v>
      </c>
      <c r="D33" t="s">
        <v>2052</v>
      </c>
      <c r="E33" s="52" t="s">
        <v>2116</v>
      </c>
    </row>
    <row r="34" spans="1:5">
      <c r="A34" t="s">
        <v>2114</v>
      </c>
      <c r="B34" t="s">
        <v>2117</v>
      </c>
      <c r="C34" t="s">
        <v>1170</v>
      </c>
      <c r="D34" t="s">
        <v>2052</v>
      </c>
      <c r="E34" s="52" t="s">
        <v>2118</v>
      </c>
    </row>
    <row r="35" spans="1:5" ht="29">
      <c r="A35" t="s">
        <v>2114</v>
      </c>
      <c r="B35" t="s">
        <v>2119</v>
      </c>
      <c r="C35" s="53">
        <v>0</v>
      </c>
      <c r="D35" t="s">
        <v>2052</v>
      </c>
      <c r="E35" s="52" t="s">
        <v>2120</v>
      </c>
    </row>
    <row r="36" spans="1:5" ht="43.5">
      <c r="A36" t="s">
        <v>2121</v>
      </c>
      <c r="B36" t="s">
        <v>2122</v>
      </c>
      <c r="C36" t="s">
        <v>1170</v>
      </c>
      <c r="D36" t="s">
        <v>2052</v>
      </c>
      <c r="E36" s="52" t="s">
        <v>2123</v>
      </c>
    </row>
    <row r="37" spans="1:5" ht="43.5">
      <c r="A37" t="s">
        <v>2121</v>
      </c>
      <c r="B37" t="s">
        <v>2124</v>
      </c>
      <c r="C37" t="s">
        <v>1170</v>
      </c>
      <c r="D37" t="s">
        <v>2052</v>
      </c>
      <c r="E37" s="52" t="s">
        <v>2125</v>
      </c>
    </row>
    <row r="38" spans="1:5">
      <c r="A38" t="s">
        <v>2121</v>
      </c>
      <c r="B38" t="s">
        <v>2126</v>
      </c>
      <c r="C38" t="s">
        <v>1170</v>
      </c>
      <c r="D38" t="s">
        <v>2052</v>
      </c>
      <c r="E38" s="52" t="s">
        <v>2127</v>
      </c>
    </row>
    <row r="39" spans="1:5" ht="58">
      <c r="A39" t="s">
        <v>2121</v>
      </c>
      <c r="B39" t="s">
        <v>2128</v>
      </c>
      <c r="C39" s="53">
        <v>0</v>
      </c>
      <c r="D39" t="s">
        <v>2052</v>
      </c>
      <c r="E39" s="52" t="s">
        <v>2129</v>
      </c>
    </row>
    <row r="40" spans="1:5" ht="72.5">
      <c r="A40" t="s">
        <v>2130</v>
      </c>
      <c r="B40" t="s">
        <v>2131</v>
      </c>
      <c r="C40" t="s">
        <v>2132</v>
      </c>
      <c r="D40" t="s">
        <v>2052</v>
      </c>
      <c r="E40" s="52" t="s">
        <v>2133</v>
      </c>
    </row>
  </sheetData>
  <mergeCells count="2">
    <mergeCell ref="A1:E1"/>
    <mergeCell ref="A2:E2"/>
  </mergeCell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0AA8-BCD8-4C8D-B04E-F388CCDE4199}">
  <dimension ref="A1:K13"/>
  <sheetViews>
    <sheetView workbookViewId="0"/>
  </sheetViews>
  <sheetFormatPr defaultRowHeight="14.5"/>
  <sheetData>
    <row r="1" spans="1:11">
      <c r="A1" t="s">
        <v>2182</v>
      </c>
      <c r="B1" t="s">
        <v>2183</v>
      </c>
      <c r="C1" t="s">
        <v>2184</v>
      </c>
      <c r="D1" t="s">
        <v>2185</v>
      </c>
      <c r="F1" t="s">
        <v>2186</v>
      </c>
      <c r="G1" t="s">
        <v>2183</v>
      </c>
      <c r="H1" t="s">
        <v>2187</v>
      </c>
      <c r="J1" t="s">
        <v>2266</v>
      </c>
      <c r="K1" t="s">
        <v>2268</v>
      </c>
    </row>
    <row r="2" spans="1:11">
      <c r="A2" t="s">
        <v>935</v>
      </c>
      <c r="B2">
        <v>10846144</v>
      </c>
      <c r="C2">
        <v>10725571</v>
      </c>
      <c r="D2" t="s">
        <v>1602</v>
      </c>
      <c r="F2" t="s">
        <v>2188</v>
      </c>
      <c r="G2">
        <v>14000000</v>
      </c>
      <c r="H2">
        <v>87499</v>
      </c>
      <c r="J2" t="s">
        <v>2327</v>
      </c>
      <c r="K2">
        <f>'Variance Actions'!F11</f>
        <v>-982596</v>
      </c>
    </row>
    <row r="3" spans="1:11">
      <c r="A3" t="s">
        <v>939</v>
      </c>
      <c r="B3">
        <v>10846144</v>
      </c>
      <c r="C3">
        <v>10725571</v>
      </c>
      <c r="D3" t="s">
        <v>1602</v>
      </c>
      <c r="F3" t="s">
        <v>2189</v>
      </c>
      <c r="G3">
        <v>38500000</v>
      </c>
      <c r="H3">
        <v>-3496</v>
      </c>
      <c r="J3" t="s">
        <v>2328</v>
      </c>
      <c r="K3">
        <f>'Variance Actions'!F12</f>
        <v>678600</v>
      </c>
    </row>
    <row r="4" spans="1:11">
      <c r="A4" t="s">
        <v>941</v>
      </c>
      <c r="B4">
        <v>10846144</v>
      </c>
      <c r="C4">
        <v>10755321</v>
      </c>
      <c r="D4" t="s">
        <v>1602</v>
      </c>
      <c r="F4" t="s">
        <v>2190</v>
      </c>
      <c r="G4">
        <v>29250000</v>
      </c>
      <c r="H4">
        <v>1148940</v>
      </c>
      <c r="J4" t="s">
        <v>2329</v>
      </c>
      <c r="K4">
        <f>'Variance Actions'!F13</f>
        <v>407439</v>
      </c>
    </row>
    <row r="5" spans="1:11">
      <c r="A5" t="s">
        <v>943</v>
      </c>
      <c r="B5">
        <v>10846144</v>
      </c>
      <c r="C5">
        <v>10725571</v>
      </c>
      <c r="D5" t="s">
        <v>1602</v>
      </c>
      <c r="F5" t="s">
        <v>2191</v>
      </c>
      <c r="G5">
        <v>48403825</v>
      </c>
      <c r="H5">
        <v>-710685</v>
      </c>
      <c r="J5" t="s">
        <v>2330</v>
      </c>
      <c r="K5">
        <f>'Variance Actions'!F14</f>
        <v>404254</v>
      </c>
    </row>
    <row r="6" spans="1:11">
      <c r="A6" t="s">
        <v>945</v>
      </c>
      <c r="B6">
        <v>10846144</v>
      </c>
      <c r="C6">
        <v>10744821</v>
      </c>
      <c r="D6" t="s">
        <v>1602</v>
      </c>
      <c r="J6" t="s">
        <v>2331</v>
      </c>
      <c r="K6">
        <f>'Variance Actions'!F15</f>
        <v>376740</v>
      </c>
    </row>
    <row r="7" spans="1:11">
      <c r="A7" t="s">
        <v>947</v>
      </c>
      <c r="B7">
        <v>10846144</v>
      </c>
      <c r="C7">
        <v>11202192</v>
      </c>
      <c r="D7" t="s">
        <v>1602</v>
      </c>
      <c r="J7" t="s">
        <v>2332</v>
      </c>
      <c r="K7">
        <f>'Variance Actions'!F16</f>
        <v>-350000</v>
      </c>
    </row>
    <row r="8" spans="1:11">
      <c r="A8" t="s">
        <v>949</v>
      </c>
      <c r="B8">
        <v>10846144</v>
      </c>
      <c r="C8">
        <v>10725571</v>
      </c>
      <c r="D8" t="s">
        <v>1602</v>
      </c>
      <c r="J8" t="s">
        <v>2333</v>
      </c>
      <c r="K8">
        <f>'Variance Actions'!F17</f>
        <v>146999</v>
      </c>
    </row>
    <row r="9" spans="1:11">
      <c r="A9" t="s">
        <v>952</v>
      </c>
      <c r="B9">
        <v>10846144</v>
      </c>
      <c r="C9">
        <v>10725571</v>
      </c>
      <c r="D9" t="s">
        <v>1602</v>
      </c>
      <c r="J9" t="s">
        <v>2334</v>
      </c>
      <c r="K9">
        <f>'Variance Actions'!F18</f>
        <v>-135528</v>
      </c>
    </row>
    <row r="10" spans="1:11">
      <c r="A10" t="s">
        <v>954</v>
      </c>
      <c r="B10">
        <v>10846144</v>
      </c>
      <c r="C10">
        <v>11124571</v>
      </c>
      <c r="D10" t="s">
        <v>1602</v>
      </c>
      <c r="J10" t="s">
        <v>2335</v>
      </c>
      <c r="K10">
        <f>'Variance Actions'!F19</f>
        <v>93600</v>
      </c>
    </row>
    <row r="11" spans="1:11">
      <c r="A11" t="s">
        <v>956</v>
      </c>
      <c r="B11">
        <v>10846144</v>
      </c>
      <c r="C11">
        <v>10725571</v>
      </c>
      <c r="D11" t="s">
        <v>1614</v>
      </c>
      <c r="J11" t="s">
        <v>2336</v>
      </c>
      <c r="K11">
        <f>'Variance Actions'!F20</f>
        <v>-59500</v>
      </c>
    </row>
    <row r="12" spans="1:11">
      <c r="A12" t="s">
        <v>960</v>
      </c>
      <c r="B12">
        <v>10846144</v>
      </c>
      <c r="C12">
        <v>10725571</v>
      </c>
      <c r="D12" t="s">
        <v>1614</v>
      </c>
      <c r="J12" t="s">
        <v>2337</v>
      </c>
      <c r="K12">
        <f>'Variance Actions'!F21</f>
        <v>-57750</v>
      </c>
    </row>
    <row r="13" spans="1:11">
      <c r="A13" t="s">
        <v>962</v>
      </c>
      <c r="B13">
        <v>10846241</v>
      </c>
      <c r="C13">
        <v>10725665</v>
      </c>
      <c r="D13" t="s">
        <v>1614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D5B6290-1DDE-4587-B983-825DC4B02A6B}">
  <ds:schemaRefs/>
</ds:datastoreItem>
</file>

<file path=customXml/itemProps2.xml><?xml version="1.0" encoding="utf-8"?>
<ds:datastoreItem xmlns:ds="http://schemas.openxmlformats.org/officeDocument/2006/customXml" ds:itemID="{DDF185BC-8983-46F2-AB76-0383B0287E7E}">
  <ds:schemaRefs/>
</ds:datastoreItem>
</file>

<file path=customXml/itemProps3.xml><?xml version="1.0" encoding="utf-8"?>
<ds:datastoreItem xmlns:ds="http://schemas.openxmlformats.org/officeDocument/2006/customXml" ds:itemID="{CA9607A9-1383-4E6C-94FA-59F048984CE9}">
  <ds:schemaRefs/>
</ds:datastoreItem>
</file>

<file path=customXml/itemProps4.xml><?xml version="1.0" encoding="utf-8"?>
<ds:datastoreItem xmlns:ds="http://schemas.openxmlformats.org/officeDocument/2006/customXml" ds:itemID="{4D306E52-05AC-437B-84C1-9AF9022DDF79}">
  <ds:schemaRefs/>
</ds:datastoreItem>
</file>

<file path=customXml/itemProps5.xml><?xml version="1.0" encoding="utf-8"?>
<ds:datastoreItem xmlns:ds="http://schemas.openxmlformats.org/officeDocument/2006/customXml" ds:itemID="{73AFB963-8172-4CC2-AFBF-6A9AD8D624E3}">
  <ds:schemaRefs/>
</ds:datastoreItem>
</file>

<file path=customXml/itemProps6.xml><?xml version="1.0" encoding="utf-8"?>
<ds:datastoreItem xmlns:ds="http://schemas.openxmlformats.org/officeDocument/2006/customXml" ds:itemID="{B9353EC4-E9D3-4BDE-821D-4FCC7A2F51C8}">
  <ds:schemaRefs/>
</ds:datastoreItem>
</file>

<file path=customXml/itemProps7.xml><?xml version="1.0" encoding="utf-8"?>
<ds:datastoreItem xmlns:ds="http://schemas.openxmlformats.org/officeDocument/2006/customXml" ds:itemID="{CD918F0F-9B2A-4DD5-9F4D-DD6816A62E77}">
  <ds:schemaRefs/>
</ds:datastoreItem>
</file>

<file path=customXml/itemProps8.xml><?xml version="1.0" encoding="utf-8"?>
<ds:datastoreItem xmlns:ds="http://schemas.openxmlformats.org/officeDocument/2006/customXml" ds:itemID="{343DDB04-F63F-4B5D-A259-E9B15BACCEF7}">
  <ds:schemaRefs/>
</ds:datastoreItem>
</file>

<file path=customXml/itemProps9.xml><?xml version="1.0" encoding="utf-8"?>
<ds:datastoreItem xmlns:ds="http://schemas.openxmlformats.org/officeDocument/2006/customXml" ds:itemID="{20D66C43-8AB6-460A-B113-6C47B7A5E3D7}">
  <ds:schemaRefs>
    <ds:schemaRef ds:uri="http://schemas.microsoft.com/DataMashup"/>
  </ds:schemaRefs>
</ds:datastoreItem>
</file>

<file path=customXml/itemProps10.xml><?xml version="1.0" encoding="utf-8"?>
<ds:datastoreItem xmlns:ds="http://schemas.openxmlformats.org/officeDocument/2006/customXml" ds:itemID="{CBC2A3A9-7F88-46FE-AD42-50C4B72C33F6}">
  <ds:schemaRefs/>
</ds:datastoreItem>
</file>

<file path=customXml/itemProps11.xml><?xml version="1.0" encoding="utf-8"?>
<ds:datastoreItem xmlns:ds="http://schemas.openxmlformats.org/officeDocument/2006/customXml" ds:itemID="{0F3A56C2-C766-41BD-8AA1-7E1B6F33A1DA}">
  <ds:schemaRefs/>
</ds:datastoreItem>
</file>

<file path=customXml/itemProps12.xml><?xml version="1.0" encoding="utf-8"?>
<ds:datastoreItem xmlns:ds="http://schemas.openxmlformats.org/officeDocument/2006/customXml" ds:itemID="{C40D9CE4-157F-4B96-B859-060EEC1EDB17}">
  <ds:schemaRefs/>
</ds:datastoreItem>
</file>

<file path=customXml/itemProps13.xml><?xml version="1.0" encoding="utf-8"?>
<ds:datastoreItem xmlns:ds="http://schemas.openxmlformats.org/officeDocument/2006/customXml" ds:itemID="{ADD681F8-A866-4539-A3F3-2C56E70B02AB}">
  <ds:schemaRefs/>
</ds:datastoreItem>
</file>

<file path=customXml/itemProps14.xml><?xml version="1.0" encoding="utf-8"?>
<ds:datastoreItem xmlns:ds="http://schemas.openxmlformats.org/officeDocument/2006/customXml" ds:itemID="{65E10218-DB30-4642-B65E-5A9BAE567A19}">
  <ds:schemaRefs/>
</ds:datastoreItem>
</file>

<file path=customXml/itemProps15.xml><?xml version="1.0" encoding="utf-8"?>
<ds:datastoreItem xmlns:ds="http://schemas.openxmlformats.org/officeDocument/2006/customXml" ds:itemID="{CE9CA522-FEEC-4A3A-A8C3-81BDEE631EE6}">
  <ds:schemaRefs/>
</ds:datastoreItem>
</file>

<file path=customXml/itemProps16.xml><?xml version="1.0" encoding="utf-8"?>
<ds:datastoreItem xmlns:ds="http://schemas.openxmlformats.org/officeDocument/2006/customXml" ds:itemID="{9594B02C-64D9-4978-84B9-FD39A761A969}">
  <ds:schemaRefs/>
</ds:datastoreItem>
</file>

<file path=customXml/itemProps17.xml><?xml version="1.0" encoding="utf-8"?>
<ds:datastoreItem xmlns:ds="http://schemas.openxmlformats.org/officeDocument/2006/customXml" ds:itemID="{B6054DD2-C1CE-460A-B6E5-16D912D5D6DB}">
  <ds:schemaRefs/>
</ds:datastoreItem>
</file>

<file path=customXml/itemProps18.xml><?xml version="1.0" encoding="utf-8"?>
<ds:datastoreItem xmlns:ds="http://schemas.openxmlformats.org/officeDocument/2006/customXml" ds:itemID="{CBFDC313-BB16-4EFF-B862-4C5D1B52E511}">
  <ds:schemaRefs/>
</ds:datastoreItem>
</file>

<file path=customXml/itemProps19.xml><?xml version="1.0" encoding="utf-8"?>
<ds:datastoreItem xmlns:ds="http://schemas.openxmlformats.org/officeDocument/2006/customXml" ds:itemID="{5CD16C47-2FBE-49E8-8AAF-2862A872BD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Executive Report</vt:lpstr>
      <vt:lpstr>Unit Analysis</vt:lpstr>
      <vt:lpstr>Variance Actions</vt:lpstr>
      <vt:lpstr>2027 Plan Report</vt:lpstr>
      <vt:lpstr>Budget Process 2027</vt:lpstr>
      <vt:lpstr>Forecast Methods 2027</vt:lpstr>
      <vt:lpstr>Model Guide</vt:lpstr>
      <vt:lpstr>gr_data</vt:lpstr>
      <vt:lpstr>bud2026</vt:lpstr>
      <vt:lpstr>bud2027</vt:lpstr>
      <vt:lpstr>org_data</vt:lpstr>
      <vt:lpstr>meta_data</vt:lpstr>
      <vt:lpstr>bud_prosess</vt:lpstr>
      <vt:lpstr>bud_prosess2</vt:lpstr>
      <vt:lpstr>bud_metoder</vt:lpstr>
      <vt:lpstr>bud_metoder2</vt:lpstr>
      <vt:lpstr>meta_data2</vt:lpstr>
      <vt:lpstr>DimAccountHierarchy</vt:lpstr>
      <vt:lpstr>DimDate</vt:lpstr>
      <vt:lpstr>DimDate_2027</vt:lpstr>
      <vt:lpstr>DimForecastVersion</vt:lpstr>
      <vt:lpstr>DimOrganization</vt:lpstr>
      <vt:lpstr>Relationships</vt:lpstr>
      <vt:lpstr>FactAction</vt:lpstr>
      <vt:lpstr>FactAction_2027</vt:lpstr>
      <vt:lpstr>FactEVM</vt:lpstr>
      <vt:lpstr>FactFTE</vt:lpstr>
      <vt:lpstr>FactFTE_2027</vt:lpstr>
      <vt:lpstr>FactStudents</vt:lpstr>
      <vt:lpstr>FactStudents_2027</vt:lpstr>
      <vt:lpstr>FactBudget</vt:lpstr>
      <vt:lpstr>FactBudget_2027</vt:lpstr>
      <vt:lpstr>FactGL</vt:lpstr>
      <vt:lpstr>DAX Measures</vt:lpstr>
      <vt:lpstr>Chart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Ellingsen</dc:creator>
  <cp:lastModifiedBy>Frank Ellingsen</cp:lastModifiedBy>
  <dcterms:created xsi:type="dcterms:W3CDTF">2026-09-28T10:08:15Z</dcterms:created>
  <dcterms:modified xsi:type="dcterms:W3CDTF">2026-09-28T17:27:27Z</dcterms:modified>
</cp:coreProperties>
</file>